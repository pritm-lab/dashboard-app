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rit Meena\Downloads\"/>
    </mc:Choice>
  </mc:AlternateContent>
  <xr:revisionPtr revIDLastSave="0" documentId="13_ncr:1_{FF41D39D-610C-4DAB-BB4D-31F9DC4CDF93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TOP User Error VS Account" sheetId="12" state="hidden" r:id="rId1"/>
    <sheet name="Auditors Status" sheetId="10" state="hidden" r:id="rId2"/>
    <sheet name="Status Wise Quality" sheetId="8" state="hidden" r:id="rId3"/>
    <sheet name="DashBoard" sheetId="22" r:id="rId4"/>
    <sheet name="Master Pivot" sheetId="23" r:id="rId5"/>
    <sheet name="Top" sheetId="20" r:id="rId6"/>
    <sheet name="MT-Hospital-Doctor" sheetId="21" r:id="rId7"/>
    <sheet name="Doctor" sheetId="19" r:id="rId8"/>
    <sheet name="Error Details " sheetId="6" r:id="rId9"/>
    <sheet name="Responsible MT Details" sheetId="5" r:id="rId10"/>
    <sheet name="Responsible QA Details" sheetId="4" r:id="rId11"/>
    <sheet name="Tejas Patel's Error Details" sheetId="13" state="hidden" r:id="rId12"/>
    <sheet name="Group" sheetId="14" state="hidden" r:id="rId13"/>
    <sheet name="others" sheetId="17" state="hidden" r:id="rId14"/>
    <sheet name="Data" sheetId="2" r:id="rId15"/>
  </sheets>
  <definedNames>
    <definedName name="_xlnm._FilterDatabase" localSheetId="14" hidden="1">Data!$A$1:$BH$352</definedName>
    <definedName name="_xlnm._FilterDatabase" localSheetId="12" hidden="1">Group!$A$1:$H$166</definedName>
    <definedName name="_xlnm._FilterDatabase" localSheetId="6" hidden="1">'MT-Hospital-Doctor'!$A$1:$H$145</definedName>
    <definedName name="Data">OFFSET(Data!$A$1,0,0,COUNTA(Data!$A:$A),COUNTA(Data!$A$1:$BJ$1))</definedName>
  </definedNames>
  <calcPr calcId="191029"/>
  <pivotCaches>
    <pivotCache cacheId="164" r:id="rId16"/>
    <pivotCache cacheId="165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5" i="21" l="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E11" i="20"/>
  <c r="E10" i="20"/>
  <c r="E9" i="20"/>
  <c r="E8" i="20"/>
  <c r="E7" i="20"/>
  <c r="E6" i="20"/>
  <c r="E5" i="20"/>
  <c r="E4" i="20"/>
  <c r="E3" i="20"/>
  <c r="E2" i="20"/>
  <c r="AA10" i="22"/>
  <c r="AA9" i="22"/>
  <c r="H3" i="22"/>
  <c r="B3" i="22"/>
  <c r="E3" i="22"/>
  <c r="K3" i="22"/>
  <c r="BG3" i="2" l="1"/>
  <c r="BH3" i="2"/>
  <c r="BG4" i="2"/>
  <c r="BH4" i="2"/>
  <c r="BG5" i="2"/>
  <c r="BH5" i="2"/>
  <c r="BG6" i="2"/>
  <c r="BH6" i="2"/>
  <c r="BG7" i="2"/>
  <c r="BH7" i="2"/>
  <c r="BG8" i="2"/>
  <c r="BH8" i="2"/>
  <c r="BG9" i="2"/>
  <c r="BH9" i="2"/>
  <c r="BG10" i="2"/>
  <c r="BH10" i="2"/>
  <c r="BG11" i="2"/>
  <c r="BH11" i="2"/>
  <c r="BG12" i="2"/>
  <c r="BH12" i="2"/>
  <c r="BG13" i="2"/>
  <c r="BH13" i="2"/>
  <c r="BG14" i="2"/>
  <c r="BH14" i="2"/>
  <c r="BG15" i="2"/>
  <c r="BH15" i="2"/>
  <c r="BG16" i="2"/>
  <c r="BH16" i="2"/>
  <c r="BG17" i="2"/>
  <c r="BH17" i="2"/>
  <c r="BG18" i="2"/>
  <c r="BH18" i="2"/>
  <c r="BG19" i="2"/>
  <c r="BH19" i="2"/>
  <c r="BG20" i="2"/>
  <c r="BH20" i="2"/>
  <c r="BG21" i="2"/>
  <c r="BH21" i="2"/>
  <c r="BG22" i="2"/>
  <c r="BH22" i="2"/>
  <c r="BG23" i="2"/>
  <c r="BH23" i="2"/>
  <c r="BG24" i="2"/>
  <c r="BH24" i="2"/>
  <c r="BG25" i="2"/>
  <c r="BH25" i="2"/>
  <c r="BG26" i="2"/>
  <c r="BH26" i="2"/>
  <c r="BG27" i="2"/>
  <c r="BH27" i="2"/>
  <c r="BG28" i="2"/>
  <c r="BH28" i="2"/>
  <c r="BG29" i="2"/>
  <c r="BH29" i="2"/>
  <c r="BG30" i="2"/>
  <c r="BH30" i="2"/>
  <c r="BG31" i="2"/>
  <c r="BH31" i="2"/>
  <c r="BG32" i="2"/>
  <c r="BH32" i="2"/>
  <c r="BG33" i="2"/>
  <c r="BH33" i="2"/>
  <c r="BG34" i="2"/>
  <c r="BH34" i="2"/>
  <c r="BG35" i="2"/>
  <c r="BH35" i="2"/>
  <c r="BG36" i="2"/>
  <c r="BH36" i="2"/>
  <c r="BG37" i="2"/>
  <c r="BH37" i="2"/>
  <c r="BG38" i="2"/>
  <c r="BH38" i="2"/>
  <c r="BG39" i="2"/>
  <c r="BH39" i="2"/>
  <c r="BG40" i="2"/>
  <c r="BH40" i="2"/>
  <c r="BG41" i="2"/>
  <c r="BH41" i="2"/>
  <c r="BG42" i="2"/>
  <c r="BH42" i="2"/>
  <c r="BG43" i="2"/>
  <c r="BH43" i="2"/>
  <c r="BG44" i="2"/>
  <c r="BH44" i="2"/>
  <c r="BG45" i="2"/>
  <c r="BH45" i="2"/>
  <c r="BG46" i="2"/>
  <c r="BH46" i="2"/>
  <c r="BG47" i="2"/>
  <c r="BH47" i="2"/>
  <c r="BG48" i="2"/>
  <c r="BH48" i="2"/>
  <c r="BG49" i="2"/>
  <c r="BH49" i="2"/>
  <c r="BG50" i="2"/>
  <c r="BH50" i="2"/>
  <c r="BG51" i="2"/>
  <c r="BH51" i="2"/>
  <c r="BG52" i="2"/>
  <c r="BH52" i="2"/>
  <c r="BG53" i="2"/>
  <c r="BH53" i="2"/>
  <c r="BG54" i="2"/>
  <c r="BH54" i="2"/>
  <c r="BG55" i="2"/>
  <c r="BH55" i="2"/>
  <c r="BG56" i="2"/>
  <c r="BH56" i="2"/>
  <c r="BG57" i="2"/>
  <c r="BH57" i="2"/>
  <c r="BG58" i="2"/>
  <c r="BH58" i="2"/>
  <c r="BG59" i="2"/>
  <c r="BH59" i="2"/>
  <c r="BG60" i="2"/>
  <c r="BH60" i="2"/>
  <c r="BG61" i="2"/>
  <c r="BH61" i="2"/>
  <c r="BG62" i="2"/>
  <c r="BH62" i="2"/>
  <c r="BG63" i="2"/>
  <c r="BH63" i="2"/>
  <c r="BG64" i="2"/>
  <c r="BH64" i="2"/>
  <c r="BG65" i="2"/>
  <c r="BH65" i="2"/>
  <c r="BG66" i="2"/>
  <c r="BH66" i="2"/>
  <c r="BG67" i="2"/>
  <c r="BH67" i="2"/>
  <c r="BG68" i="2"/>
  <c r="BH68" i="2"/>
  <c r="BG69" i="2"/>
  <c r="BH69" i="2"/>
  <c r="BG70" i="2"/>
  <c r="BH70" i="2"/>
  <c r="BG71" i="2"/>
  <c r="BH71" i="2"/>
  <c r="BG72" i="2"/>
  <c r="BH72" i="2"/>
  <c r="BG73" i="2"/>
  <c r="BH73" i="2"/>
  <c r="BG74" i="2"/>
  <c r="BH74" i="2"/>
  <c r="BG75" i="2"/>
  <c r="BH75" i="2"/>
  <c r="BG76" i="2"/>
  <c r="BH76" i="2"/>
  <c r="BG77" i="2"/>
  <c r="BH77" i="2"/>
  <c r="BG78" i="2"/>
  <c r="BH78" i="2"/>
  <c r="BG79" i="2"/>
  <c r="BH79" i="2"/>
  <c r="BG80" i="2"/>
  <c r="BH80" i="2"/>
  <c r="BG81" i="2"/>
  <c r="BH81" i="2"/>
  <c r="BG82" i="2"/>
  <c r="BH82" i="2"/>
  <c r="BG83" i="2"/>
  <c r="BH83" i="2"/>
  <c r="BG84" i="2"/>
  <c r="BH84" i="2"/>
  <c r="BG85" i="2"/>
  <c r="BH85" i="2"/>
  <c r="BG86" i="2"/>
  <c r="BH86" i="2"/>
  <c r="BG87" i="2"/>
  <c r="BH87" i="2"/>
  <c r="BG88" i="2"/>
  <c r="BH88" i="2"/>
  <c r="BG89" i="2"/>
  <c r="BH89" i="2"/>
  <c r="BG90" i="2"/>
  <c r="BH90" i="2"/>
  <c r="BG91" i="2"/>
  <c r="BH91" i="2"/>
  <c r="BG92" i="2"/>
  <c r="BH92" i="2"/>
  <c r="BG93" i="2"/>
  <c r="BH93" i="2"/>
  <c r="BG94" i="2"/>
  <c r="BH94" i="2"/>
  <c r="BG95" i="2"/>
  <c r="BH95" i="2"/>
  <c r="BG96" i="2"/>
  <c r="BH96" i="2"/>
  <c r="BG97" i="2"/>
  <c r="BH97" i="2"/>
  <c r="BG98" i="2"/>
  <c r="BH98" i="2"/>
  <c r="BG99" i="2"/>
  <c r="BH99" i="2"/>
  <c r="BG100" i="2"/>
  <c r="BH100" i="2"/>
  <c r="BG101" i="2"/>
  <c r="BH101" i="2"/>
  <c r="BG102" i="2"/>
  <c r="BH102" i="2"/>
  <c r="BG103" i="2"/>
  <c r="BH103" i="2"/>
  <c r="BG104" i="2"/>
  <c r="BH104" i="2"/>
  <c r="BG105" i="2"/>
  <c r="BH105" i="2"/>
  <c r="BG106" i="2"/>
  <c r="BH106" i="2"/>
  <c r="BG107" i="2"/>
  <c r="BH107" i="2"/>
  <c r="BG108" i="2"/>
  <c r="BH108" i="2"/>
  <c r="BG109" i="2"/>
  <c r="BH109" i="2"/>
  <c r="BG110" i="2"/>
  <c r="BH110" i="2"/>
  <c r="BG111" i="2"/>
  <c r="BH111" i="2"/>
  <c r="BG112" i="2"/>
  <c r="BH112" i="2"/>
  <c r="BG113" i="2"/>
  <c r="BH113" i="2"/>
  <c r="BG114" i="2"/>
  <c r="BH114" i="2"/>
  <c r="BG115" i="2"/>
  <c r="BH115" i="2"/>
  <c r="BG116" i="2"/>
  <c r="BH116" i="2"/>
  <c r="BG117" i="2"/>
  <c r="BH117" i="2"/>
  <c r="BG118" i="2"/>
  <c r="BH118" i="2"/>
  <c r="BG119" i="2"/>
  <c r="BH119" i="2"/>
  <c r="BG120" i="2"/>
  <c r="BH120" i="2"/>
  <c r="BG121" i="2"/>
  <c r="BH121" i="2"/>
  <c r="BG122" i="2"/>
  <c r="BH122" i="2"/>
  <c r="BG123" i="2"/>
  <c r="BH123" i="2"/>
  <c r="BG124" i="2"/>
  <c r="BH124" i="2"/>
  <c r="BG125" i="2"/>
  <c r="BH125" i="2"/>
  <c r="BG126" i="2"/>
  <c r="BH126" i="2"/>
  <c r="BG127" i="2"/>
  <c r="BH127" i="2"/>
  <c r="BG128" i="2"/>
  <c r="BH128" i="2"/>
  <c r="BG129" i="2"/>
  <c r="BH129" i="2"/>
  <c r="BG130" i="2"/>
  <c r="BH130" i="2"/>
  <c r="BG131" i="2"/>
  <c r="BH131" i="2"/>
  <c r="BG132" i="2"/>
  <c r="BH132" i="2"/>
  <c r="BG133" i="2"/>
  <c r="BH133" i="2"/>
  <c r="BG134" i="2"/>
  <c r="BH134" i="2"/>
  <c r="BG135" i="2"/>
  <c r="BH135" i="2"/>
  <c r="BG136" i="2"/>
  <c r="BH136" i="2"/>
  <c r="BG137" i="2"/>
  <c r="BH137" i="2"/>
  <c r="BG138" i="2"/>
  <c r="BH138" i="2"/>
  <c r="BG139" i="2"/>
  <c r="BH139" i="2"/>
  <c r="BG140" i="2"/>
  <c r="BH140" i="2"/>
  <c r="BG141" i="2"/>
  <c r="BH141" i="2"/>
  <c r="BG142" i="2"/>
  <c r="BH142" i="2"/>
  <c r="BG143" i="2"/>
  <c r="BH143" i="2"/>
  <c r="BG144" i="2"/>
  <c r="BH144" i="2"/>
  <c r="BG145" i="2"/>
  <c r="BH145" i="2"/>
  <c r="BG146" i="2"/>
  <c r="BH146" i="2"/>
  <c r="BG147" i="2"/>
  <c r="BH147" i="2"/>
  <c r="BG148" i="2"/>
  <c r="BH148" i="2"/>
  <c r="BG149" i="2"/>
  <c r="BH149" i="2"/>
  <c r="BG150" i="2"/>
  <c r="BH150" i="2"/>
  <c r="BG151" i="2"/>
  <c r="BH151" i="2"/>
  <c r="BG152" i="2"/>
  <c r="BH152" i="2"/>
  <c r="BG153" i="2"/>
  <c r="BH153" i="2"/>
  <c r="BG154" i="2"/>
  <c r="BH154" i="2"/>
  <c r="BG155" i="2"/>
  <c r="BH155" i="2"/>
  <c r="BG156" i="2"/>
  <c r="BH156" i="2"/>
  <c r="BG157" i="2"/>
  <c r="BH157" i="2"/>
  <c r="BG158" i="2"/>
  <c r="BH158" i="2"/>
  <c r="BG159" i="2"/>
  <c r="BH159" i="2"/>
  <c r="BG160" i="2"/>
  <c r="BH160" i="2"/>
  <c r="BG161" i="2"/>
  <c r="BH161" i="2"/>
  <c r="BG162" i="2"/>
  <c r="BH162" i="2"/>
  <c r="BG163" i="2"/>
  <c r="BH163" i="2"/>
  <c r="BG164" i="2"/>
  <c r="BH164" i="2"/>
  <c r="BG165" i="2"/>
  <c r="BH165" i="2"/>
  <c r="BG166" i="2"/>
  <c r="BH166" i="2"/>
  <c r="BG167" i="2"/>
  <c r="BH167" i="2"/>
  <c r="BG168" i="2"/>
  <c r="BH168" i="2"/>
  <c r="BG169" i="2"/>
  <c r="BH169" i="2"/>
  <c r="BG170" i="2"/>
  <c r="BH170" i="2"/>
  <c r="BG171" i="2"/>
  <c r="BH171" i="2"/>
  <c r="BG172" i="2"/>
  <c r="BH172" i="2"/>
  <c r="BG173" i="2"/>
  <c r="BH173" i="2"/>
  <c r="BG174" i="2"/>
  <c r="BH174" i="2"/>
  <c r="BG175" i="2"/>
  <c r="BH175" i="2"/>
  <c r="BG176" i="2"/>
  <c r="BH176" i="2"/>
  <c r="BG177" i="2"/>
  <c r="BH177" i="2"/>
  <c r="BG178" i="2"/>
  <c r="BH178" i="2"/>
  <c r="BG179" i="2"/>
  <c r="BH179" i="2"/>
  <c r="BG180" i="2"/>
  <c r="BH180" i="2"/>
  <c r="BG181" i="2"/>
  <c r="BH181" i="2"/>
  <c r="BG182" i="2"/>
  <c r="BH182" i="2"/>
  <c r="BG183" i="2"/>
  <c r="BH183" i="2"/>
  <c r="BG184" i="2"/>
  <c r="BH184" i="2"/>
  <c r="BG185" i="2"/>
  <c r="BH185" i="2"/>
  <c r="BG186" i="2"/>
  <c r="BH186" i="2"/>
  <c r="BG187" i="2"/>
  <c r="BH187" i="2"/>
  <c r="BG188" i="2"/>
  <c r="BH188" i="2"/>
  <c r="BG189" i="2"/>
  <c r="BH189" i="2"/>
  <c r="BG190" i="2"/>
  <c r="BH190" i="2"/>
  <c r="BG191" i="2"/>
  <c r="BH191" i="2"/>
  <c r="BG192" i="2"/>
  <c r="BH192" i="2"/>
  <c r="BG193" i="2"/>
  <c r="BH193" i="2"/>
  <c r="BG194" i="2"/>
  <c r="BH194" i="2"/>
  <c r="BG195" i="2"/>
  <c r="BH195" i="2"/>
  <c r="BG196" i="2"/>
  <c r="BH196" i="2"/>
  <c r="BG197" i="2"/>
  <c r="BH197" i="2"/>
  <c r="BG198" i="2"/>
  <c r="BH198" i="2"/>
  <c r="BG199" i="2"/>
  <c r="BH199" i="2"/>
  <c r="BG200" i="2"/>
  <c r="BH200" i="2"/>
  <c r="BG201" i="2"/>
  <c r="BH201" i="2"/>
  <c r="BG202" i="2"/>
  <c r="BH202" i="2"/>
  <c r="BG203" i="2"/>
  <c r="BH203" i="2"/>
  <c r="BG204" i="2"/>
  <c r="BH204" i="2"/>
  <c r="BG205" i="2"/>
  <c r="BH205" i="2"/>
  <c r="BG206" i="2"/>
  <c r="BH206" i="2"/>
  <c r="BG207" i="2"/>
  <c r="BH207" i="2"/>
  <c r="BG208" i="2"/>
  <c r="BH208" i="2"/>
  <c r="BG209" i="2"/>
  <c r="BH209" i="2"/>
  <c r="BG210" i="2"/>
  <c r="BH210" i="2"/>
  <c r="BG211" i="2"/>
  <c r="BH211" i="2"/>
  <c r="BG212" i="2"/>
  <c r="BH212" i="2"/>
  <c r="BG213" i="2"/>
  <c r="BH213" i="2"/>
  <c r="BG214" i="2"/>
  <c r="BH214" i="2"/>
  <c r="BG215" i="2"/>
  <c r="BH215" i="2"/>
  <c r="BG216" i="2"/>
  <c r="BH216" i="2"/>
  <c r="BG217" i="2"/>
  <c r="BH217" i="2"/>
  <c r="BG218" i="2"/>
  <c r="BH218" i="2"/>
  <c r="BG219" i="2"/>
  <c r="BH219" i="2"/>
  <c r="BG220" i="2"/>
  <c r="BH220" i="2"/>
  <c r="BG221" i="2"/>
  <c r="BH221" i="2"/>
  <c r="BG222" i="2"/>
  <c r="BH222" i="2"/>
  <c r="BG223" i="2"/>
  <c r="BH223" i="2"/>
  <c r="BG224" i="2"/>
  <c r="BH224" i="2"/>
  <c r="BG225" i="2"/>
  <c r="BH225" i="2"/>
  <c r="BG226" i="2"/>
  <c r="BH226" i="2"/>
  <c r="BG227" i="2"/>
  <c r="BH227" i="2"/>
  <c r="BG228" i="2"/>
  <c r="BH228" i="2"/>
  <c r="BG229" i="2"/>
  <c r="BH229" i="2"/>
  <c r="BG230" i="2"/>
  <c r="BH230" i="2"/>
  <c r="BG231" i="2"/>
  <c r="BH231" i="2"/>
  <c r="BG232" i="2"/>
  <c r="BH232" i="2"/>
  <c r="BG233" i="2"/>
  <c r="BH233" i="2"/>
  <c r="BG234" i="2"/>
  <c r="BH234" i="2"/>
  <c r="BG235" i="2"/>
  <c r="BH235" i="2"/>
  <c r="BG236" i="2"/>
  <c r="BH236" i="2"/>
  <c r="BG237" i="2"/>
  <c r="BH237" i="2"/>
  <c r="BG238" i="2"/>
  <c r="BH238" i="2"/>
  <c r="BG239" i="2"/>
  <c r="BH239" i="2"/>
  <c r="BG240" i="2"/>
  <c r="BH240" i="2"/>
  <c r="BG241" i="2"/>
  <c r="BH241" i="2"/>
  <c r="BG242" i="2"/>
  <c r="BH242" i="2"/>
  <c r="BG243" i="2"/>
  <c r="BH243" i="2"/>
  <c r="BG244" i="2"/>
  <c r="BH244" i="2"/>
  <c r="BG245" i="2"/>
  <c r="BH245" i="2"/>
  <c r="BG246" i="2"/>
  <c r="BH246" i="2"/>
  <c r="BG247" i="2"/>
  <c r="BH247" i="2"/>
  <c r="BG248" i="2"/>
  <c r="BH248" i="2"/>
  <c r="BG249" i="2"/>
  <c r="BH249" i="2"/>
  <c r="BG250" i="2"/>
  <c r="BH250" i="2"/>
  <c r="BG251" i="2"/>
  <c r="BH251" i="2"/>
  <c r="BG252" i="2"/>
  <c r="BH252" i="2"/>
  <c r="BG253" i="2"/>
  <c r="BH253" i="2"/>
  <c r="BG254" i="2"/>
  <c r="BH254" i="2"/>
  <c r="BG255" i="2"/>
  <c r="BH255" i="2"/>
  <c r="BG256" i="2"/>
  <c r="BH256" i="2"/>
  <c r="BG257" i="2"/>
  <c r="BH257" i="2"/>
  <c r="BG258" i="2"/>
  <c r="BH258" i="2"/>
  <c r="BG259" i="2"/>
  <c r="BH259" i="2"/>
  <c r="BG260" i="2"/>
  <c r="BH260" i="2"/>
  <c r="BG261" i="2"/>
  <c r="BH261" i="2"/>
  <c r="BG262" i="2"/>
  <c r="BH262" i="2"/>
  <c r="BG263" i="2"/>
  <c r="BH263" i="2"/>
  <c r="BG264" i="2"/>
  <c r="BH264" i="2"/>
  <c r="BG265" i="2"/>
  <c r="BH265" i="2"/>
  <c r="BG266" i="2"/>
  <c r="BH266" i="2"/>
  <c r="BG267" i="2"/>
  <c r="BH267" i="2"/>
  <c r="BG268" i="2"/>
  <c r="BH268" i="2"/>
  <c r="BG269" i="2"/>
  <c r="BH269" i="2"/>
  <c r="BG270" i="2"/>
  <c r="BH270" i="2"/>
  <c r="BG271" i="2"/>
  <c r="BH271" i="2"/>
  <c r="BG272" i="2"/>
  <c r="BH272" i="2"/>
  <c r="BG273" i="2"/>
  <c r="BH273" i="2"/>
  <c r="BG274" i="2"/>
  <c r="BH274" i="2"/>
  <c r="BG275" i="2"/>
  <c r="BH275" i="2"/>
  <c r="BG276" i="2"/>
  <c r="BH276" i="2"/>
  <c r="BG277" i="2"/>
  <c r="BH277" i="2"/>
  <c r="BG278" i="2"/>
  <c r="BH278" i="2"/>
  <c r="BG279" i="2"/>
  <c r="BH279" i="2"/>
  <c r="BG280" i="2"/>
  <c r="BH280" i="2"/>
  <c r="BG281" i="2"/>
  <c r="BH281" i="2"/>
  <c r="BG282" i="2"/>
  <c r="BH282" i="2"/>
  <c r="BG283" i="2"/>
  <c r="BH283" i="2"/>
  <c r="BG284" i="2"/>
  <c r="BH284" i="2"/>
  <c r="BG285" i="2"/>
  <c r="BH285" i="2"/>
  <c r="BG286" i="2"/>
  <c r="BH286" i="2"/>
  <c r="BG287" i="2"/>
  <c r="BH287" i="2"/>
  <c r="BG288" i="2"/>
  <c r="BH288" i="2"/>
  <c r="BG289" i="2"/>
  <c r="BH289" i="2"/>
  <c r="BG290" i="2"/>
  <c r="BH290" i="2"/>
  <c r="BG291" i="2"/>
  <c r="BH291" i="2"/>
  <c r="BG292" i="2"/>
  <c r="BH292" i="2"/>
  <c r="BG293" i="2"/>
  <c r="BH293" i="2"/>
  <c r="BG294" i="2"/>
  <c r="BH294" i="2"/>
  <c r="BG295" i="2"/>
  <c r="BH295" i="2"/>
  <c r="BG296" i="2"/>
  <c r="BH296" i="2"/>
  <c r="BG297" i="2"/>
  <c r="BH297" i="2"/>
  <c r="BG298" i="2"/>
  <c r="BH298" i="2"/>
  <c r="BG299" i="2"/>
  <c r="BH299" i="2"/>
  <c r="BG300" i="2"/>
  <c r="BH300" i="2"/>
  <c r="BG301" i="2"/>
  <c r="BH301" i="2"/>
  <c r="BG302" i="2"/>
  <c r="BH302" i="2"/>
  <c r="BG303" i="2"/>
  <c r="BH303" i="2"/>
  <c r="BG304" i="2"/>
  <c r="BH304" i="2"/>
  <c r="BG305" i="2"/>
  <c r="BH305" i="2"/>
  <c r="BG306" i="2"/>
  <c r="BH306" i="2"/>
  <c r="BG307" i="2"/>
  <c r="BH307" i="2"/>
  <c r="BG308" i="2"/>
  <c r="BH308" i="2"/>
  <c r="BG309" i="2"/>
  <c r="BH309" i="2"/>
  <c r="BG310" i="2"/>
  <c r="BH310" i="2"/>
  <c r="BG311" i="2"/>
  <c r="BH311" i="2"/>
  <c r="BG312" i="2"/>
  <c r="BH312" i="2"/>
  <c r="BG313" i="2"/>
  <c r="BH313" i="2"/>
  <c r="BG314" i="2"/>
  <c r="BH314" i="2"/>
  <c r="BG315" i="2"/>
  <c r="BH315" i="2"/>
  <c r="BG316" i="2"/>
  <c r="BH316" i="2"/>
  <c r="BG317" i="2"/>
  <c r="BH317" i="2"/>
  <c r="BG318" i="2"/>
  <c r="BH318" i="2"/>
  <c r="BG319" i="2"/>
  <c r="BH319" i="2"/>
  <c r="BG320" i="2"/>
  <c r="BH320" i="2"/>
  <c r="BG321" i="2"/>
  <c r="BH321" i="2"/>
  <c r="BG322" i="2"/>
  <c r="BH322" i="2"/>
  <c r="BG323" i="2"/>
  <c r="BH323" i="2"/>
  <c r="BG324" i="2"/>
  <c r="BH324" i="2"/>
  <c r="BG325" i="2"/>
  <c r="BH325" i="2"/>
  <c r="BG326" i="2"/>
  <c r="BH326" i="2"/>
  <c r="BG327" i="2"/>
  <c r="BH327" i="2"/>
  <c r="BG328" i="2"/>
  <c r="BH328" i="2"/>
  <c r="BG329" i="2"/>
  <c r="BH329" i="2"/>
  <c r="BG330" i="2"/>
  <c r="BH330" i="2"/>
  <c r="BG331" i="2"/>
  <c r="BH331" i="2"/>
  <c r="BG332" i="2"/>
  <c r="BH332" i="2"/>
  <c r="BG333" i="2"/>
  <c r="BH333" i="2"/>
  <c r="BB333" i="2"/>
  <c r="BA333" i="2"/>
  <c r="AW333" i="2"/>
  <c r="AX333" i="2" s="1"/>
  <c r="AV333" i="2"/>
  <c r="AQ333" i="2"/>
  <c r="AO333" i="2"/>
  <c r="AN333" i="2" s="1"/>
  <c r="AL333" i="2"/>
  <c r="AK333" i="2"/>
  <c r="BB332" i="2"/>
  <c r="BA332" i="2"/>
  <c r="AX332" i="2"/>
  <c r="AP332" i="2" s="1"/>
  <c r="AW332" i="2"/>
  <c r="AV332" i="2"/>
  <c r="AU332" i="2"/>
  <c r="AQ332" i="2"/>
  <c r="AO332" i="2" s="1"/>
  <c r="AN332" i="2"/>
  <c r="AL332" i="2"/>
  <c r="AK332" i="2"/>
  <c r="BB331" i="2"/>
  <c r="BA331" i="2"/>
  <c r="AW331" i="2"/>
  <c r="AX331" i="2" s="1"/>
  <c r="AV331" i="2"/>
  <c r="AQ331" i="2"/>
  <c r="AO331" i="2"/>
  <c r="AN331" i="2" s="1"/>
  <c r="AL331" i="2"/>
  <c r="AK331" i="2"/>
  <c r="BB330" i="2"/>
  <c r="BA330" i="2"/>
  <c r="AX330" i="2"/>
  <c r="AU330" i="2" s="1"/>
  <c r="AW330" i="2"/>
  <c r="AV330" i="2"/>
  <c r="AQ330" i="2"/>
  <c r="AO330" i="2" s="1"/>
  <c r="AN330" i="2" s="1"/>
  <c r="AL330" i="2"/>
  <c r="AK330" i="2"/>
  <c r="BB329" i="2"/>
  <c r="BA329" i="2"/>
  <c r="AW329" i="2"/>
  <c r="AX329" i="2" s="1"/>
  <c r="AV329" i="2"/>
  <c r="AQ329" i="2"/>
  <c r="AO329" i="2" s="1"/>
  <c r="AN329" i="2" s="1"/>
  <c r="AL329" i="2"/>
  <c r="AK329" i="2"/>
  <c r="BB328" i="2"/>
  <c r="BA328" i="2"/>
  <c r="AX328" i="2"/>
  <c r="AP328" i="2" s="1"/>
  <c r="AW328" i="2"/>
  <c r="AV328" i="2"/>
  <c r="AU328" i="2"/>
  <c r="AQ328" i="2"/>
  <c r="AO328" i="2"/>
  <c r="AN328" i="2" s="1"/>
  <c r="AL328" i="2"/>
  <c r="AK328" i="2"/>
  <c r="BB327" i="2"/>
  <c r="BA327" i="2"/>
  <c r="AX327" i="2"/>
  <c r="AP327" i="2" s="1"/>
  <c r="AW327" i="2"/>
  <c r="AV327" i="2"/>
  <c r="AU327" i="2"/>
  <c r="AQ327" i="2"/>
  <c r="AO327" i="2" s="1"/>
  <c r="AN327" i="2" s="1"/>
  <c r="AL327" i="2"/>
  <c r="AK327" i="2"/>
  <c r="BB326" i="2"/>
  <c r="BA326" i="2"/>
  <c r="AW326" i="2"/>
  <c r="AX326" i="2" s="1"/>
  <c r="AV326" i="2"/>
  <c r="AQ326" i="2"/>
  <c r="AO326" i="2" s="1"/>
  <c r="AN326" i="2" s="1"/>
  <c r="AL326" i="2"/>
  <c r="AK326" i="2"/>
  <c r="BB325" i="2"/>
  <c r="BA325" i="2"/>
  <c r="AW325" i="2"/>
  <c r="AX325" i="2" s="1"/>
  <c r="AV325" i="2"/>
  <c r="AQ325" i="2"/>
  <c r="AO325" i="2"/>
  <c r="AN325" i="2" s="1"/>
  <c r="AL325" i="2"/>
  <c r="AK325" i="2"/>
  <c r="BB324" i="2"/>
  <c r="BA324" i="2"/>
  <c r="AX324" i="2"/>
  <c r="AU324" i="2" s="1"/>
  <c r="AW324" i="2"/>
  <c r="AV324" i="2"/>
  <c r="AQ324" i="2"/>
  <c r="AO324" i="2" s="1"/>
  <c r="AN324" i="2" s="1"/>
  <c r="AL324" i="2"/>
  <c r="AK324" i="2"/>
  <c r="BB323" i="2"/>
  <c r="BA323" i="2"/>
  <c r="AW323" i="2"/>
  <c r="AX323" i="2" s="1"/>
  <c r="AV323" i="2"/>
  <c r="AQ323" i="2"/>
  <c r="AO323" i="2" s="1"/>
  <c r="AN323" i="2" s="1"/>
  <c r="AL323" i="2"/>
  <c r="AK323" i="2"/>
  <c r="BB322" i="2"/>
  <c r="BA322" i="2"/>
  <c r="AX322" i="2"/>
  <c r="AU322" i="2" s="1"/>
  <c r="AW322" i="2"/>
  <c r="AV322" i="2"/>
  <c r="AQ322" i="2"/>
  <c r="AP322" i="2"/>
  <c r="AO322" i="2"/>
  <c r="AN322" i="2" s="1"/>
  <c r="AL322" i="2"/>
  <c r="AK322" i="2"/>
  <c r="BB321" i="2"/>
  <c r="BA321" i="2"/>
  <c r="AW321" i="2"/>
  <c r="AX321" i="2" s="1"/>
  <c r="AV321" i="2"/>
  <c r="AQ321" i="2"/>
  <c r="AO321" i="2" s="1"/>
  <c r="AN321" i="2" s="1"/>
  <c r="AL321" i="2"/>
  <c r="AK321" i="2"/>
  <c r="BB320" i="2"/>
  <c r="BA320" i="2"/>
  <c r="AX320" i="2"/>
  <c r="AU320" i="2" s="1"/>
  <c r="AW320" i="2"/>
  <c r="AV320" i="2"/>
  <c r="AQ320" i="2"/>
  <c r="AO320" i="2" s="1"/>
  <c r="AN320" i="2" s="1"/>
  <c r="AP320" i="2"/>
  <c r="AL320" i="2"/>
  <c r="AK320" i="2"/>
  <c r="BB319" i="2"/>
  <c r="BA319" i="2"/>
  <c r="AW319" i="2"/>
  <c r="AX319" i="2" s="1"/>
  <c r="AV319" i="2"/>
  <c r="AQ319" i="2"/>
  <c r="AO319" i="2" s="1"/>
  <c r="AN319" i="2" s="1"/>
  <c r="AL319" i="2"/>
  <c r="AK319" i="2"/>
  <c r="BB318" i="2"/>
  <c r="BA318" i="2"/>
  <c r="AW318" i="2"/>
  <c r="AX318" i="2" s="1"/>
  <c r="AV318" i="2"/>
  <c r="AQ318" i="2"/>
  <c r="AO318" i="2" s="1"/>
  <c r="AN318" i="2" s="1"/>
  <c r="AL318" i="2"/>
  <c r="AK318" i="2"/>
  <c r="BB317" i="2"/>
  <c r="BA317" i="2"/>
  <c r="AX317" i="2"/>
  <c r="AU317" i="2" s="1"/>
  <c r="AW317" i="2"/>
  <c r="AV317" i="2"/>
  <c r="AQ317" i="2"/>
  <c r="AO317" i="2"/>
  <c r="AN317" i="2" s="1"/>
  <c r="AL317" i="2"/>
  <c r="AK317" i="2"/>
  <c r="BB316" i="2"/>
  <c r="BA316" i="2"/>
  <c r="AW316" i="2"/>
  <c r="AX316" i="2" s="1"/>
  <c r="AV316" i="2"/>
  <c r="AQ316" i="2"/>
  <c r="AO316" i="2" s="1"/>
  <c r="AN316" i="2" s="1"/>
  <c r="AL316" i="2"/>
  <c r="AK316" i="2"/>
  <c r="BB315" i="2"/>
  <c r="BA315" i="2"/>
  <c r="AW315" i="2"/>
  <c r="AX315" i="2" s="1"/>
  <c r="AV315" i="2"/>
  <c r="AQ315" i="2"/>
  <c r="AO315" i="2" s="1"/>
  <c r="AN315" i="2" s="1"/>
  <c r="AL315" i="2"/>
  <c r="AK315" i="2"/>
  <c r="BB314" i="2"/>
  <c r="BA314" i="2"/>
  <c r="AW314" i="2"/>
  <c r="AX314" i="2" s="1"/>
  <c r="AV314" i="2"/>
  <c r="AQ314" i="2"/>
  <c r="AO314" i="2" s="1"/>
  <c r="AN314" i="2" s="1"/>
  <c r="AL314" i="2"/>
  <c r="AK314" i="2"/>
  <c r="BB313" i="2"/>
  <c r="BA313" i="2"/>
  <c r="AW313" i="2"/>
  <c r="AX313" i="2" s="1"/>
  <c r="AV313" i="2"/>
  <c r="AQ313" i="2"/>
  <c r="AO313" i="2" s="1"/>
  <c r="AN313" i="2" s="1"/>
  <c r="AL313" i="2"/>
  <c r="AK313" i="2"/>
  <c r="BB312" i="2"/>
  <c r="BA312" i="2"/>
  <c r="AX312" i="2"/>
  <c r="AW312" i="2"/>
  <c r="AV312" i="2"/>
  <c r="AQ312" i="2"/>
  <c r="AO312" i="2" s="1"/>
  <c r="AN312" i="2" s="1"/>
  <c r="AL312" i="2"/>
  <c r="AK312" i="2"/>
  <c r="BB311" i="2"/>
  <c r="BA311" i="2"/>
  <c r="AW311" i="2"/>
  <c r="AX311" i="2" s="1"/>
  <c r="AV311" i="2"/>
  <c r="AQ311" i="2"/>
  <c r="AO311" i="2" s="1"/>
  <c r="AN311" i="2" s="1"/>
  <c r="AL311" i="2"/>
  <c r="AK311" i="2"/>
  <c r="BB310" i="2"/>
  <c r="BA310" i="2"/>
  <c r="AW310" i="2"/>
  <c r="AX310" i="2" s="1"/>
  <c r="AV310" i="2"/>
  <c r="AQ310" i="2"/>
  <c r="AO310" i="2" s="1"/>
  <c r="AN310" i="2" s="1"/>
  <c r="AL310" i="2"/>
  <c r="AK310" i="2"/>
  <c r="BB309" i="2"/>
  <c r="BA309" i="2"/>
  <c r="AW309" i="2"/>
  <c r="AX309" i="2" s="1"/>
  <c r="AV309" i="2"/>
  <c r="AQ309" i="2"/>
  <c r="AO309" i="2"/>
  <c r="AN309" i="2" s="1"/>
  <c r="AL309" i="2"/>
  <c r="AK309" i="2"/>
  <c r="BB308" i="2"/>
  <c r="BA308" i="2"/>
  <c r="AW308" i="2"/>
  <c r="AX308" i="2" s="1"/>
  <c r="AP308" i="2" s="1"/>
  <c r="AV308" i="2"/>
  <c r="AU308" i="2"/>
  <c r="AQ308" i="2"/>
  <c r="AO308" i="2" s="1"/>
  <c r="AN308" i="2" s="1"/>
  <c r="AL308" i="2"/>
  <c r="AK308" i="2"/>
  <c r="BB307" i="2"/>
  <c r="BA307" i="2"/>
  <c r="AW307" i="2"/>
  <c r="AX307" i="2" s="1"/>
  <c r="AV307" i="2"/>
  <c r="AQ307" i="2"/>
  <c r="AO307" i="2"/>
  <c r="AN307" i="2" s="1"/>
  <c r="AL307" i="2"/>
  <c r="AK307" i="2"/>
  <c r="BB306" i="2"/>
  <c r="BA306" i="2"/>
  <c r="AX306" i="2"/>
  <c r="AU306" i="2" s="1"/>
  <c r="AW306" i="2"/>
  <c r="AV306" i="2"/>
  <c r="AQ306" i="2"/>
  <c r="AO306" i="2" s="1"/>
  <c r="AN306" i="2" s="1"/>
  <c r="AL306" i="2"/>
  <c r="AK306" i="2"/>
  <c r="BB305" i="2"/>
  <c r="BA305" i="2"/>
  <c r="AW305" i="2"/>
  <c r="AX305" i="2" s="1"/>
  <c r="AV305" i="2"/>
  <c r="AQ305" i="2"/>
  <c r="AO305" i="2" s="1"/>
  <c r="AN305" i="2" s="1"/>
  <c r="AL305" i="2"/>
  <c r="AK305" i="2"/>
  <c r="BB304" i="2"/>
  <c r="BA304" i="2"/>
  <c r="AW304" i="2"/>
  <c r="AX304" i="2" s="1"/>
  <c r="AV304" i="2"/>
  <c r="AQ304" i="2"/>
  <c r="AO304" i="2" s="1"/>
  <c r="AN304" i="2" s="1"/>
  <c r="AL304" i="2"/>
  <c r="AK304" i="2"/>
  <c r="BB303" i="2"/>
  <c r="BA303" i="2"/>
  <c r="AX303" i="2"/>
  <c r="AU303" i="2" s="1"/>
  <c r="AW303" i="2"/>
  <c r="AV303" i="2"/>
  <c r="AQ303" i="2"/>
  <c r="AO303" i="2" s="1"/>
  <c r="AN303" i="2" s="1"/>
  <c r="AL303" i="2"/>
  <c r="AK303" i="2"/>
  <c r="BB302" i="2"/>
  <c r="BA302" i="2"/>
  <c r="AW302" i="2"/>
  <c r="AX302" i="2" s="1"/>
  <c r="AV302" i="2"/>
  <c r="AQ302" i="2"/>
  <c r="AO302" i="2" s="1"/>
  <c r="AN302" i="2" s="1"/>
  <c r="AL302" i="2"/>
  <c r="AK302" i="2"/>
  <c r="BB301" i="2"/>
  <c r="BA301" i="2"/>
  <c r="AX301" i="2"/>
  <c r="AU301" i="2" s="1"/>
  <c r="AW301" i="2"/>
  <c r="AV301" i="2"/>
  <c r="AQ301" i="2"/>
  <c r="AP301" i="2"/>
  <c r="AO301" i="2"/>
  <c r="AN301" i="2" s="1"/>
  <c r="AL301" i="2"/>
  <c r="AK301" i="2"/>
  <c r="BB300" i="2"/>
  <c r="BA300" i="2"/>
  <c r="AW300" i="2"/>
  <c r="AX300" i="2" s="1"/>
  <c r="AV300" i="2"/>
  <c r="AQ300" i="2"/>
  <c r="AO300" i="2" s="1"/>
  <c r="AN300" i="2" s="1"/>
  <c r="AL300" i="2"/>
  <c r="AK300" i="2"/>
  <c r="BB299" i="2"/>
  <c r="BA299" i="2"/>
  <c r="AW299" i="2"/>
  <c r="AX299" i="2" s="1"/>
  <c r="AV299" i="2"/>
  <c r="AQ299" i="2"/>
  <c r="AO299" i="2" s="1"/>
  <c r="AN299" i="2" s="1"/>
  <c r="AL299" i="2"/>
  <c r="AK299" i="2"/>
  <c r="BB298" i="2"/>
  <c r="BA298" i="2"/>
  <c r="AW298" i="2"/>
  <c r="AX298" i="2" s="1"/>
  <c r="AV298" i="2"/>
  <c r="AQ298" i="2"/>
  <c r="AO298" i="2"/>
  <c r="AN298" i="2"/>
  <c r="AL298" i="2"/>
  <c r="AK298" i="2"/>
  <c r="BB297" i="2"/>
  <c r="BA297" i="2"/>
  <c r="AW297" i="2"/>
  <c r="AX297" i="2" s="1"/>
  <c r="AV297" i="2"/>
  <c r="AQ297" i="2"/>
  <c r="AO297" i="2" s="1"/>
  <c r="AN297" i="2" s="1"/>
  <c r="AL297" i="2"/>
  <c r="AK297" i="2"/>
  <c r="BB296" i="2"/>
  <c r="BA296" i="2"/>
  <c r="AX296" i="2"/>
  <c r="AU296" i="2" s="1"/>
  <c r="AW296" i="2"/>
  <c r="AV296" i="2"/>
  <c r="AQ296" i="2"/>
  <c r="AO296" i="2"/>
  <c r="AN296" i="2" s="1"/>
  <c r="AL296" i="2"/>
  <c r="AK296" i="2"/>
  <c r="BB295" i="2"/>
  <c r="BA295" i="2"/>
  <c r="AX295" i="2"/>
  <c r="AU295" i="2" s="1"/>
  <c r="AW295" i="2"/>
  <c r="AV295" i="2"/>
  <c r="AQ295" i="2"/>
  <c r="AO295" i="2" s="1"/>
  <c r="AN295" i="2" s="1"/>
  <c r="AP295" i="2"/>
  <c r="AL295" i="2"/>
  <c r="AK295" i="2"/>
  <c r="BB294" i="2"/>
  <c r="BA294" i="2"/>
  <c r="AW294" i="2"/>
  <c r="AX294" i="2" s="1"/>
  <c r="AV294" i="2"/>
  <c r="AQ294" i="2"/>
  <c r="AO294" i="2" s="1"/>
  <c r="AN294" i="2" s="1"/>
  <c r="AL294" i="2"/>
  <c r="AK294" i="2"/>
  <c r="BB293" i="2"/>
  <c r="BA293" i="2"/>
  <c r="AX293" i="2"/>
  <c r="AW293" i="2"/>
  <c r="AV293" i="2"/>
  <c r="AU293" i="2"/>
  <c r="AQ293" i="2"/>
  <c r="AP293" i="2"/>
  <c r="AO293" i="2"/>
  <c r="AN293" i="2" s="1"/>
  <c r="AL293" i="2"/>
  <c r="AK293" i="2"/>
  <c r="BB292" i="2"/>
  <c r="BA292" i="2"/>
  <c r="AX292" i="2"/>
  <c r="AU292" i="2" s="1"/>
  <c r="AW292" i="2"/>
  <c r="AV292" i="2"/>
  <c r="AQ292" i="2"/>
  <c r="AO292" i="2" s="1"/>
  <c r="AN292" i="2" s="1"/>
  <c r="AL292" i="2"/>
  <c r="AK292" i="2"/>
  <c r="BB291" i="2"/>
  <c r="BA291" i="2"/>
  <c r="AW291" i="2"/>
  <c r="AX291" i="2" s="1"/>
  <c r="AP291" i="2" s="1"/>
  <c r="AV291" i="2"/>
  <c r="AU291" i="2"/>
  <c r="AQ291" i="2"/>
  <c r="AO291" i="2"/>
  <c r="AN291" i="2" s="1"/>
  <c r="AL291" i="2"/>
  <c r="AK291" i="2"/>
  <c r="BB290" i="2"/>
  <c r="BA290" i="2"/>
  <c r="AX290" i="2"/>
  <c r="AW290" i="2"/>
  <c r="AV290" i="2"/>
  <c r="AQ290" i="2"/>
  <c r="AO290" i="2" s="1"/>
  <c r="AN290" i="2" s="1"/>
  <c r="AL290" i="2"/>
  <c r="AK290" i="2"/>
  <c r="BB289" i="2"/>
  <c r="BA289" i="2"/>
  <c r="AW289" i="2"/>
  <c r="AX289" i="2" s="1"/>
  <c r="AV289" i="2"/>
  <c r="AQ289" i="2"/>
  <c r="AO289" i="2" s="1"/>
  <c r="AN289" i="2" s="1"/>
  <c r="AL289" i="2"/>
  <c r="AK289" i="2"/>
  <c r="BB288" i="2"/>
  <c r="BA288" i="2"/>
  <c r="AW288" i="2"/>
  <c r="AX288" i="2" s="1"/>
  <c r="AV288" i="2"/>
  <c r="AQ288" i="2"/>
  <c r="AO288" i="2"/>
  <c r="AN288" i="2" s="1"/>
  <c r="AL288" i="2"/>
  <c r="AK288" i="2"/>
  <c r="BB287" i="2"/>
  <c r="BA287" i="2"/>
  <c r="AW287" i="2"/>
  <c r="AX287" i="2" s="1"/>
  <c r="AU287" i="2" s="1"/>
  <c r="AV287" i="2"/>
  <c r="AQ287" i="2"/>
  <c r="AO287" i="2" s="1"/>
  <c r="AN287" i="2" s="1"/>
  <c r="AL287" i="2"/>
  <c r="AK287" i="2"/>
  <c r="BB286" i="2"/>
  <c r="BA286" i="2"/>
  <c r="AW286" i="2"/>
  <c r="AX286" i="2" s="1"/>
  <c r="AV286" i="2"/>
  <c r="AQ286" i="2"/>
  <c r="AO286" i="2" s="1"/>
  <c r="AN286" i="2" s="1"/>
  <c r="AL286" i="2"/>
  <c r="AK286" i="2"/>
  <c r="BB285" i="2"/>
  <c r="BA285" i="2"/>
  <c r="AW285" i="2"/>
  <c r="AX285" i="2" s="1"/>
  <c r="AV285" i="2"/>
  <c r="AQ285" i="2"/>
  <c r="AO285" i="2" s="1"/>
  <c r="AN285" i="2" s="1"/>
  <c r="AL285" i="2"/>
  <c r="AK285" i="2"/>
  <c r="BB284" i="2"/>
  <c r="BA284" i="2"/>
  <c r="AW284" i="2"/>
  <c r="AX284" i="2" s="1"/>
  <c r="AV284" i="2"/>
  <c r="AQ284" i="2"/>
  <c r="AO284" i="2" s="1"/>
  <c r="AN284" i="2" s="1"/>
  <c r="AL284" i="2"/>
  <c r="AK284" i="2"/>
  <c r="BB283" i="2"/>
  <c r="BA283" i="2"/>
  <c r="AW283" i="2"/>
  <c r="AX283" i="2" s="1"/>
  <c r="AP283" i="2" s="1"/>
  <c r="AV283" i="2"/>
  <c r="AU283" i="2"/>
  <c r="AQ283" i="2"/>
  <c r="AO283" i="2"/>
  <c r="AN283" i="2" s="1"/>
  <c r="AL283" i="2"/>
  <c r="AK283" i="2"/>
  <c r="BB282" i="2"/>
  <c r="BA282" i="2"/>
  <c r="AX282" i="2"/>
  <c r="AU282" i="2" s="1"/>
  <c r="AW282" i="2"/>
  <c r="AV282" i="2"/>
  <c r="AQ282" i="2"/>
  <c r="AO282" i="2" s="1"/>
  <c r="AN282" i="2"/>
  <c r="AL282" i="2"/>
  <c r="AK282" i="2"/>
  <c r="BB281" i="2"/>
  <c r="BA281" i="2"/>
  <c r="AW281" i="2"/>
  <c r="AX281" i="2" s="1"/>
  <c r="AV281" i="2"/>
  <c r="AQ281" i="2"/>
  <c r="AO281" i="2" s="1"/>
  <c r="AN281" i="2" s="1"/>
  <c r="AL281" i="2"/>
  <c r="AK281" i="2"/>
  <c r="BB280" i="2"/>
  <c r="BA280" i="2"/>
  <c r="AW280" i="2"/>
  <c r="AX280" i="2" s="1"/>
  <c r="AU280" i="2" s="1"/>
  <c r="AV280" i="2"/>
  <c r="AQ280" i="2"/>
  <c r="AO280" i="2"/>
  <c r="AN280" i="2" s="1"/>
  <c r="AL280" i="2"/>
  <c r="AK280" i="2"/>
  <c r="BB279" i="2"/>
  <c r="BA279" i="2"/>
  <c r="AW279" i="2"/>
  <c r="AX279" i="2" s="1"/>
  <c r="AV279" i="2"/>
  <c r="AQ279" i="2"/>
  <c r="AO279" i="2" s="1"/>
  <c r="AN279" i="2" s="1"/>
  <c r="AL279" i="2"/>
  <c r="AK279" i="2"/>
  <c r="BB278" i="2"/>
  <c r="BA278" i="2"/>
  <c r="AW278" i="2"/>
  <c r="AX278" i="2" s="1"/>
  <c r="AV278" i="2"/>
  <c r="AQ278" i="2"/>
  <c r="AO278" i="2" s="1"/>
  <c r="AN278" i="2" s="1"/>
  <c r="AL278" i="2"/>
  <c r="AK278" i="2"/>
  <c r="BB277" i="2"/>
  <c r="BA277" i="2"/>
  <c r="AW277" i="2"/>
  <c r="AX277" i="2" s="1"/>
  <c r="AP277" i="2" s="1"/>
  <c r="AV277" i="2"/>
  <c r="AU277" i="2"/>
  <c r="AQ277" i="2"/>
  <c r="AO277" i="2" s="1"/>
  <c r="AN277" i="2" s="1"/>
  <c r="AL277" i="2"/>
  <c r="AK277" i="2"/>
  <c r="BB276" i="2"/>
  <c r="BA276" i="2"/>
  <c r="AX276" i="2"/>
  <c r="AP276" i="2" s="1"/>
  <c r="AW276" i="2"/>
  <c r="AV276" i="2"/>
  <c r="AQ276" i="2"/>
  <c r="AO276" i="2" s="1"/>
  <c r="AN276" i="2" s="1"/>
  <c r="AL276" i="2"/>
  <c r="AK276" i="2"/>
  <c r="BB275" i="2"/>
  <c r="BA275" i="2"/>
  <c r="AW275" i="2"/>
  <c r="AX275" i="2" s="1"/>
  <c r="AP275" i="2" s="1"/>
  <c r="AV275" i="2"/>
  <c r="AQ275" i="2"/>
  <c r="AO275" i="2"/>
  <c r="AN275" i="2" s="1"/>
  <c r="AL275" i="2"/>
  <c r="AK275" i="2"/>
  <c r="BB274" i="2"/>
  <c r="BA274" i="2"/>
  <c r="AX274" i="2"/>
  <c r="AW274" i="2"/>
  <c r="AV274" i="2"/>
  <c r="AQ274" i="2"/>
  <c r="AO274" i="2" s="1"/>
  <c r="AN274" i="2" s="1"/>
  <c r="AL274" i="2"/>
  <c r="AK274" i="2"/>
  <c r="BB273" i="2"/>
  <c r="BA273" i="2"/>
  <c r="AW273" i="2"/>
  <c r="AX273" i="2" s="1"/>
  <c r="AV273" i="2"/>
  <c r="AQ273" i="2"/>
  <c r="AO273" i="2"/>
  <c r="AN273" i="2" s="1"/>
  <c r="AL273" i="2"/>
  <c r="AK273" i="2"/>
  <c r="BB272" i="2"/>
  <c r="BA272" i="2"/>
  <c r="AX272" i="2"/>
  <c r="AU272" i="2" s="1"/>
  <c r="AW272" i="2"/>
  <c r="AV272" i="2"/>
  <c r="AQ272" i="2"/>
  <c r="AP272" i="2"/>
  <c r="AO272" i="2"/>
  <c r="AN272" i="2" s="1"/>
  <c r="AL272" i="2"/>
  <c r="AK272" i="2"/>
  <c r="BB271" i="2"/>
  <c r="BA271" i="2"/>
  <c r="AW271" i="2"/>
  <c r="AX271" i="2" s="1"/>
  <c r="AV271" i="2"/>
  <c r="AQ271" i="2"/>
  <c r="AO271" i="2" s="1"/>
  <c r="AN271" i="2" s="1"/>
  <c r="AL271" i="2"/>
  <c r="AK271" i="2"/>
  <c r="BB270" i="2"/>
  <c r="BA270" i="2"/>
  <c r="AW270" i="2"/>
  <c r="AX270" i="2" s="1"/>
  <c r="AV270" i="2"/>
  <c r="AQ270" i="2"/>
  <c r="AO270" i="2" s="1"/>
  <c r="AN270" i="2" s="1"/>
  <c r="AL270" i="2"/>
  <c r="AK270" i="2"/>
  <c r="BB269" i="2"/>
  <c r="BA269" i="2"/>
  <c r="AW269" i="2"/>
  <c r="AX269" i="2" s="1"/>
  <c r="AP269" i="2" s="1"/>
  <c r="AV269" i="2"/>
  <c r="AQ269" i="2"/>
  <c r="AO269" i="2"/>
  <c r="AN269" i="2" s="1"/>
  <c r="AL269" i="2"/>
  <c r="AK269" i="2"/>
  <c r="BB268" i="2"/>
  <c r="BA268" i="2"/>
  <c r="AW268" i="2"/>
  <c r="AX268" i="2" s="1"/>
  <c r="AV268" i="2"/>
  <c r="AQ268" i="2"/>
  <c r="AO268" i="2" s="1"/>
  <c r="AN268" i="2" s="1"/>
  <c r="AL268" i="2"/>
  <c r="AK268" i="2"/>
  <c r="BB267" i="2"/>
  <c r="BA267" i="2"/>
  <c r="AW267" i="2"/>
  <c r="AX267" i="2" s="1"/>
  <c r="AP267" i="2" s="1"/>
  <c r="AV267" i="2"/>
  <c r="AQ267" i="2"/>
  <c r="AO267" i="2" s="1"/>
  <c r="AN267" i="2" s="1"/>
  <c r="AL267" i="2"/>
  <c r="AK267" i="2"/>
  <c r="BB266" i="2"/>
  <c r="BA266" i="2"/>
  <c r="AW266" i="2"/>
  <c r="AX266" i="2" s="1"/>
  <c r="AV266" i="2"/>
  <c r="AQ266" i="2"/>
  <c r="AO266" i="2"/>
  <c r="AN266" i="2" s="1"/>
  <c r="AL266" i="2"/>
  <c r="AK266" i="2"/>
  <c r="BB265" i="2"/>
  <c r="BA265" i="2"/>
  <c r="AW265" i="2"/>
  <c r="AX265" i="2" s="1"/>
  <c r="AV265" i="2"/>
  <c r="AQ265" i="2"/>
  <c r="AO265" i="2" s="1"/>
  <c r="AN265" i="2" s="1"/>
  <c r="AL265" i="2"/>
  <c r="AK265" i="2"/>
  <c r="BB264" i="2"/>
  <c r="BA264" i="2"/>
  <c r="AX264" i="2"/>
  <c r="AU264" i="2" s="1"/>
  <c r="AW264" i="2"/>
  <c r="AV264" i="2"/>
  <c r="AQ264" i="2"/>
  <c r="AO264" i="2" s="1"/>
  <c r="AN264" i="2" s="1"/>
  <c r="AL264" i="2"/>
  <c r="AK264" i="2"/>
  <c r="BB263" i="2"/>
  <c r="BA263" i="2"/>
  <c r="AX263" i="2"/>
  <c r="AU263" i="2" s="1"/>
  <c r="AW263" i="2"/>
  <c r="AV263" i="2"/>
  <c r="AQ263" i="2"/>
  <c r="AO263" i="2" s="1"/>
  <c r="AN263" i="2" s="1"/>
  <c r="AL263" i="2"/>
  <c r="AK263" i="2"/>
  <c r="BB262" i="2"/>
  <c r="BA262" i="2"/>
  <c r="AW262" i="2"/>
  <c r="AX262" i="2" s="1"/>
  <c r="AV262" i="2"/>
  <c r="AQ262" i="2"/>
  <c r="AO262" i="2" s="1"/>
  <c r="AN262" i="2" s="1"/>
  <c r="AL262" i="2"/>
  <c r="AK262" i="2"/>
  <c r="BB261" i="2"/>
  <c r="BA261" i="2"/>
  <c r="AW261" i="2"/>
  <c r="AX261" i="2" s="1"/>
  <c r="AP261" i="2" s="1"/>
  <c r="AV261" i="2"/>
  <c r="AQ261" i="2"/>
  <c r="AO261" i="2"/>
  <c r="AN261" i="2"/>
  <c r="AL261" i="2"/>
  <c r="AK261" i="2"/>
  <c r="BB260" i="2"/>
  <c r="BA260" i="2"/>
  <c r="AW260" i="2"/>
  <c r="AX260" i="2" s="1"/>
  <c r="AV260" i="2"/>
  <c r="AQ260" i="2"/>
  <c r="AO260" i="2"/>
  <c r="AN260" i="2" s="1"/>
  <c r="AL260" i="2"/>
  <c r="AK260" i="2"/>
  <c r="BB259" i="2"/>
  <c r="BA259" i="2"/>
  <c r="AW259" i="2"/>
  <c r="AX259" i="2" s="1"/>
  <c r="AP259" i="2" s="1"/>
  <c r="AV259" i="2"/>
  <c r="AU259" i="2"/>
  <c r="AQ259" i="2"/>
  <c r="AO259" i="2"/>
  <c r="AN259" i="2" s="1"/>
  <c r="AL259" i="2"/>
  <c r="AK259" i="2"/>
  <c r="BB258" i="2"/>
  <c r="BA258" i="2"/>
  <c r="AW258" i="2"/>
  <c r="AX258" i="2" s="1"/>
  <c r="AV258" i="2"/>
  <c r="AQ258" i="2"/>
  <c r="AO258" i="2" s="1"/>
  <c r="AN258" i="2" s="1"/>
  <c r="AL258" i="2"/>
  <c r="AK258" i="2"/>
  <c r="BB257" i="2"/>
  <c r="BA257" i="2"/>
  <c r="AW257" i="2"/>
  <c r="AX257" i="2" s="1"/>
  <c r="AV257" i="2"/>
  <c r="AQ257" i="2"/>
  <c r="AO257" i="2" s="1"/>
  <c r="AN257" i="2" s="1"/>
  <c r="AL257" i="2"/>
  <c r="AK257" i="2"/>
  <c r="BB256" i="2"/>
  <c r="BA256" i="2"/>
  <c r="AW256" i="2"/>
  <c r="AX256" i="2" s="1"/>
  <c r="AV256" i="2"/>
  <c r="AQ256" i="2"/>
  <c r="AO256" i="2"/>
  <c r="AN256" i="2" s="1"/>
  <c r="AL256" i="2"/>
  <c r="AK256" i="2"/>
  <c r="BB255" i="2"/>
  <c r="BA255" i="2"/>
  <c r="AX255" i="2"/>
  <c r="AU255" i="2" s="1"/>
  <c r="AW255" i="2"/>
  <c r="AV255" i="2"/>
  <c r="AQ255" i="2"/>
  <c r="AO255" i="2" s="1"/>
  <c r="AN255" i="2" s="1"/>
  <c r="AL255" i="2"/>
  <c r="AK255" i="2"/>
  <c r="BB254" i="2"/>
  <c r="BA254" i="2"/>
  <c r="AW254" i="2"/>
  <c r="AX254" i="2" s="1"/>
  <c r="AV254" i="2"/>
  <c r="AQ254" i="2"/>
  <c r="AO254" i="2" s="1"/>
  <c r="AN254" i="2" s="1"/>
  <c r="AL254" i="2"/>
  <c r="AK254" i="2"/>
  <c r="BB253" i="2"/>
  <c r="BA253" i="2"/>
  <c r="AW253" i="2"/>
  <c r="AX253" i="2" s="1"/>
  <c r="AP253" i="2" s="1"/>
  <c r="AV253" i="2"/>
  <c r="AQ253" i="2"/>
  <c r="AO253" i="2"/>
  <c r="AN253" i="2"/>
  <c r="AL253" i="2"/>
  <c r="AK253" i="2"/>
  <c r="BB252" i="2"/>
  <c r="BA252" i="2"/>
  <c r="AW252" i="2"/>
  <c r="AX252" i="2" s="1"/>
  <c r="AV252" i="2"/>
  <c r="AQ252" i="2"/>
  <c r="AO252" i="2"/>
  <c r="AN252" i="2" s="1"/>
  <c r="AL252" i="2"/>
  <c r="AK252" i="2"/>
  <c r="BB251" i="2"/>
  <c r="BA251" i="2"/>
  <c r="AW251" i="2"/>
  <c r="AX251" i="2" s="1"/>
  <c r="AP251" i="2" s="1"/>
  <c r="AV251" i="2"/>
  <c r="AU251" i="2"/>
  <c r="AQ251" i="2"/>
  <c r="AO251" i="2"/>
  <c r="AN251" i="2" s="1"/>
  <c r="AL251" i="2"/>
  <c r="AK251" i="2"/>
  <c r="BB250" i="2"/>
  <c r="BA250" i="2"/>
  <c r="AW250" i="2"/>
  <c r="AX250" i="2" s="1"/>
  <c r="AU250" i="2" s="1"/>
  <c r="AV250" i="2"/>
  <c r="AQ250" i="2"/>
  <c r="AO250" i="2" s="1"/>
  <c r="AN250" i="2" s="1"/>
  <c r="AL250" i="2"/>
  <c r="AK250" i="2"/>
  <c r="BB249" i="2"/>
  <c r="BA249" i="2"/>
  <c r="AW249" i="2"/>
  <c r="AX249" i="2" s="1"/>
  <c r="AV249" i="2"/>
  <c r="AQ249" i="2"/>
  <c r="AO249" i="2" s="1"/>
  <c r="AN249" i="2" s="1"/>
  <c r="AL249" i="2"/>
  <c r="AK249" i="2"/>
  <c r="BB248" i="2"/>
  <c r="BA248" i="2"/>
  <c r="AX248" i="2"/>
  <c r="AU248" i="2" s="1"/>
  <c r="AW248" i="2"/>
  <c r="AV248" i="2"/>
  <c r="AQ248" i="2"/>
  <c r="AP248" i="2"/>
  <c r="AO248" i="2"/>
  <c r="AN248" i="2" s="1"/>
  <c r="AL248" i="2"/>
  <c r="AK248" i="2"/>
  <c r="BB247" i="2"/>
  <c r="BA247" i="2"/>
  <c r="AX247" i="2"/>
  <c r="AU247" i="2" s="1"/>
  <c r="AW247" i="2"/>
  <c r="AV247" i="2"/>
  <c r="AQ247" i="2"/>
  <c r="AO247" i="2" s="1"/>
  <c r="AN247" i="2" s="1"/>
  <c r="AL247" i="2"/>
  <c r="AK247" i="2"/>
  <c r="BB246" i="2"/>
  <c r="BA246" i="2"/>
  <c r="AW246" i="2"/>
  <c r="AX246" i="2" s="1"/>
  <c r="AV246" i="2"/>
  <c r="AQ246" i="2"/>
  <c r="AO246" i="2" s="1"/>
  <c r="AN246" i="2" s="1"/>
  <c r="AL246" i="2"/>
  <c r="AK246" i="2"/>
  <c r="BB245" i="2"/>
  <c r="BA245" i="2"/>
  <c r="AW245" i="2"/>
  <c r="AX245" i="2" s="1"/>
  <c r="AP245" i="2" s="1"/>
  <c r="AV245" i="2"/>
  <c r="AQ245" i="2"/>
  <c r="AO245" i="2" s="1"/>
  <c r="AN245" i="2" s="1"/>
  <c r="AL245" i="2"/>
  <c r="AK245" i="2"/>
  <c r="BB244" i="2"/>
  <c r="BA244" i="2"/>
  <c r="AW244" i="2"/>
  <c r="AX244" i="2" s="1"/>
  <c r="AV244" i="2"/>
  <c r="AQ244" i="2"/>
  <c r="AO244" i="2"/>
  <c r="AN244" i="2"/>
  <c r="AL244" i="2"/>
  <c r="AK244" i="2"/>
  <c r="BB243" i="2"/>
  <c r="BA243" i="2"/>
  <c r="AW243" i="2"/>
  <c r="AX243" i="2" s="1"/>
  <c r="AP243" i="2" s="1"/>
  <c r="AV243" i="2"/>
  <c r="AQ243" i="2"/>
  <c r="AO243" i="2" s="1"/>
  <c r="AN243" i="2" s="1"/>
  <c r="AL243" i="2"/>
  <c r="AK243" i="2"/>
  <c r="BB242" i="2"/>
  <c r="BA242" i="2"/>
  <c r="AW242" i="2"/>
  <c r="AX242" i="2" s="1"/>
  <c r="AU242" i="2" s="1"/>
  <c r="AV242" i="2"/>
  <c r="AQ242" i="2"/>
  <c r="AO242" i="2" s="1"/>
  <c r="AN242" i="2"/>
  <c r="AL242" i="2"/>
  <c r="AK242" i="2"/>
  <c r="BB241" i="2"/>
  <c r="BA241" i="2"/>
  <c r="AW241" i="2"/>
  <c r="AX241" i="2" s="1"/>
  <c r="AV241" i="2"/>
  <c r="AQ241" i="2"/>
  <c r="AO241" i="2"/>
  <c r="AN241" i="2" s="1"/>
  <c r="AL241" i="2"/>
  <c r="AK241" i="2"/>
  <c r="BB240" i="2"/>
  <c r="BA240" i="2"/>
  <c r="AW240" i="2"/>
  <c r="AX240" i="2" s="1"/>
  <c r="AV240" i="2"/>
  <c r="AQ240" i="2"/>
  <c r="AO240" i="2" s="1"/>
  <c r="AN240" i="2" s="1"/>
  <c r="AL240" i="2"/>
  <c r="AK240" i="2"/>
  <c r="BB239" i="2"/>
  <c r="BA239" i="2"/>
  <c r="AW239" i="2"/>
  <c r="AX239" i="2" s="1"/>
  <c r="AV239" i="2"/>
  <c r="AQ239" i="2"/>
  <c r="AO239" i="2" s="1"/>
  <c r="AN239" i="2" s="1"/>
  <c r="AL239" i="2"/>
  <c r="AK239" i="2"/>
  <c r="BB238" i="2"/>
  <c r="BA238" i="2"/>
  <c r="AX238" i="2"/>
  <c r="AW238" i="2"/>
  <c r="AV238" i="2"/>
  <c r="AQ238" i="2"/>
  <c r="AO238" i="2" s="1"/>
  <c r="AN238" i="2" s="1"/>
  <c r="AL238" i="2"/>
  <c r="AK238" i="2"/>
  <c r="BB237" i="2"/>
  <c r="BA237" i="2"/>
  <c r="AW237" i="2"/>
  <c r="AX237" i="2" s="1"/>
  <c r="AP237" i="2" s="1"/>
  <c r="AV237" i="2"/>
  <c r="AQ237" i="2"/>
  <c r="AO237" i="2" s="1"/>
  <c r="AN237" i="2" s="1"/>
  <c r="AL237" i="2"/>
  <c r="AK237" i="2"/>
  <c r="BB236" i="2"/>
  <c r="BA236" i="2"/>
  <c r="AW236" i="2"/>
  <c r="AX236" i="2" s="1"/>
  <c r="AV236" i="2"/>
  <c r="AQ236" i="2"/>
  <c r="AO236" i="2"/>
  <c r="AN236" i="2" s="1"/>
  <c r="AL236" i="2"/>
  <c r="AK236" i="2"/>
  <c r="BB235" i="2"/>
  <c r="BA235" i="2"/>
  <c r="AW235" i="2"/>
  <c r="AX235" i="2" s="1"/>
  <c r="AP235" i="2" s="1"/>
  <c r="AV235" i="2"/>
  <c r="AQ235" i="2"/>
  <c r="AO235" i="2" s="1"/>
  <c r="AN235" i="2" s="1"/>
  <c r="AL235" i="2"/>
  <c r="AK235" i="2"/>
  <c r="BB234" i="2"/>
  <c r="BA234" i="2"/>
  <c r="AX234" i="2"/>
  <c r="AW234" i="2"/>
  <c r="AV234" i="2"/>
  <c r="AQ234" i="2"/>
  <c r="AO234" i="2" s="1"/>
  <c r="AN234" i="2"/>
  <c r="AL234" i="2"/>
  <c r="AK234" i="2"/>
  <c r="BB233" i="2"/>
  <c r="BA233" i="2"/>
  <c r="AW233" i="2"/>
  <c r="AX233" i="2" s="1"/>
  <c r="AV233" i="2"/>
  <c r="AQ233" i="2"/>
  <c r="AO233" i="2"/>
  <c r="AN233" i="2" s="1"/>
  <c r="AL233" i="2"/>
  <c r="AK233" i="2"/>
  <c r="BB232" i="2"/>
  <c r="BA232" i="2"/>
  <c r="AW232" i="2"/>
  <c r="AX232" i="2" s="1"/>
  <c r="AV232" i="2"/>
  <c r="AQ232" i="2"/>
  <c r="AO232" i="2" s="1"/>
  <c r="AN232" i="2" s="1"/>
  <c r="AL232" i="2"/>
  <c r="AK232" i="2"/>
  <c r="BB231" i="2"/>
  <c r="BA231" i="2"/>
  <c r="AW231" i="2"/>
  <c r="AX231" i="2" s="1"/>
  <c r="AV231" i="2"/>
  <c r="AQ231" i="2"/>
  <c r="AO231" i="2" s="1"/>
  <c r="AN231" i="2" s="1"/>
  <c r="AL231" i="2"/>
  <c r="AK231" i="2"/>
  <c r="BB230" i="2"/>
  <c r="BA230" i="2"/>
  <c r="AX230" i="2"/>
  <c r="AW230" i="2"/>
  <c r="AV230" i="2"/>
  <c r="AQ230" i="2"/>
  <c r="AO230" i="2" s="1"/>
  <c r="AN230" i="2" s="1"/>
  <c r="AL230" i="2"/>
  <c r="AK230" i="2"/>
  <c r="BB229" i="2"/>
  <c r="BA229" i="2"/>
  <c r="AW229" i="2"/>
  <c r="AX229" i="2" s="1"/>
  <c r="AV229" i="2"/>
  <c r="AQ229" i="2"/>
  <c r="AO229" i="2" s="1"/>
  <c r="AN229" i="2" s="1"/>
  <c r="AL229" i="2"/>
  <c r="AK229" i="2"/>
  <c r="BB228" i="2"/>
  <c r="BA228" i="2"/>
  <c r="AW228" i="2"/>
  <c r="AX228" i="2" s="1"/>
  <c r="AV228" i="2"/>
  <c r="AQ228" i="2"/>
  <c r="AO228" i="2"/>
  <c r="AN228" i="2" s="1"/>
  <c r="AL228" i="2"/>
  <c r="AK228" i="2"/>
  <c r="BB227" i="2"/>
  <c r="BA227" i="2"/>
  <c r="AW227" i="2"/>
  <c r="AX227" i="2" s="1"/>
  <c r="AP227" i="2" s="1"/>
  <c r="AV227" i="2"/>
  <c r="AQ227" i="2"/>
  <c r="AO227" i="2" s="1"/>
  <c r="AN227" i="2" s="1"/>
  <c r="AL227" i="2"/>
  <c r="AK227" i="2"/>
  <c r="BB226" i="2"/>
  <c r="BA226" i="2"/>
  <c r="AX226" i="2"/>
  <c r="AU226" i="2" s="1"/>
  <c r="AW226" i="2"/>
  <c r="AV226" i="2"/>
  <c r="AQ226" i="2"/>
  <c r="AO226" i="2" s="1"/>
  <c r="AN226" i="2" s="1"/>
  <c r="AP226" i="2"/>
  <c r="AL226" i="2"/>
  <c r="AK226" i="2"/>
  <c r="BB225" i="2"/>
  <c r="BA225" i="2"/>
  <c r="AW225" i="2"/>
  <c r="AX225" i="2" s="1"/>
  <c r="AV225" i="2"/>
  <c r="AQ225" i="2"/>
  <c r="AO225" i="2"/>
  <c r="AN225" i="2" s="1"/>
  <c r="AL225" i="2"/>
  <c r="AK225" i="2"/>
  <c r="BB224" i="2"/>
  <c r="BA224" i="2"/>
  <c r="AW224" i="2"/>
  <c r="AX224" i="2" s="1"/>
  <c r="AV224" i="2"/>
  <c r="AQ224" i="2"/>
  <c r="AO224" i="2" s="1"/>
  <c r="AN224" i="2" s="1"/>
  <c r="AL224" i="2"/>
  <c r="AK224" i="2"/>
  <c r="BB223" i="2"/>
  <c r="BA223" i="2"/>
  <c r="AW223" i="2"/>
  <c r="AX223" i="2" s="1"/>
  <c r="AV223" i="2"/>
  <c r="AQ223" i="2"/>
  <c r="AO223" i="2" s="1"/>
  <c r="AN223" i="2" s="1"/>
  <c r="AL223" i="2"/>
  <c r="AK223" i="2"/>
  <c r="BB222" i="2"/>
  <c r="BA222" i="2"/>
  <c r="AX222" i="2"/>
  <c r="AW222" i="2"/>
  <c r="AV222" i="2"/>
  <c r="AQ222" i="2"/>
  <c r="AO222" i="2" s="1"/>
  <c r="AN222" i="2" s="1"/>
  <c r="AL222" i="2"/>
  <c r="AK222" i="2"/>
  <c r="BB221" i="2"/>
  <c r="BA221" i="2"/>
  <c r="AW221" i="2"/>
  <c r="AX221" i="2" s="1"/>
  <c r="AP221" i="2" s="1"/>
  <c r="AV221" i="2"/>
  <c r="AU221" i="2"/>
  <c r="AQ221" i="2"/>
  <c r="AO221" i="2"/>
  <c r="AN221" i="2" s="1"/>
  <c r="AL221" i="2"/>
  <c r="AK221" i="2"/>
  <c r="BB220" i="2"/>
  <c r="BA220" i="2"/>
  <c r="AW220" i="2"/>
  <c r="AX220" i="2" s="1"/>
  <c r="AV220" i="2"/>
  <c r="AQ220" i="2"/>
  <c r="AO220" i="2" s="1"/>
  <c r="AN220" i="2" s="1"/>
  <c r="AL220" i="2"/>
  <c r="AK220" i="2"/>
  <c r="BB219" i="2"/>
  <c r="BA219" i="2"/>
  <c r="AW219" i="2"/>
  <c r="AX219" i="2" s="1"/>
  <c r="AV219" i="2"/>
  <c r="AQ219" i="2"/>
  <c r="AO219" i="2"/>
  <c r="AN219" i="2" s="1"/>
  <c r="AL219" i="2"/>
  <c r="AK219" i="2"/>
  <c r="BB218" i="2"/>
  <c r="BA218" i="2"/>
  <c r="AW218" i="2"/>
  <c r="AX218" i="2" s="1"/>
  <c r="AV218" i="2"/>
  <c r="AQ218" i="2"/>
  <c r="AO218" i="2" s="1"/>
  <c r="AN218" i="2" s="1"/>
  <c r="AL218" i="2"/>
  <c r="AK218" i="2"/>
  <c r="BB217" i="2"/>
  <c r="BA217" i="2"/>
  <c r="AW217" i="2"/>
  <c r="AX217" i="2" s="1"/>
  <c r="AV217" i="2"/>
  <c r="AQ217" i="2"/>
  <c r="AO217" i="2" s="1"/>
  <c r="AN217" i="2" s="1"/>
  <c r="AL217" i="2"/>
  <c r="AK217" i="2"/>
  <c r="BB216" i="2"/>
  <c r="BA216" i="2"/>
  <c r="AX216" i="2"/>
  <c r="AU216" i="2" s="1"/>
  <c r="AW216" i="2"/>
  <c r="AV216" i="2"/>
  <c r="AQ216" i="2"/>
  <c r="AO216" i="2" s="1"/>
  <c r="AN216" i="2" s="1"/>
  <c r="AL216" i="2"/>
  <c r="AK216" i="2"/>
  <c r="BB215" i="2"/>
  <c r="BA215" i="2"/>
  <c r="AW215" i="2"/>
  <c r="AX215" i="2" s="1"/>
  <c r="AV215" i="2"/>
  <c r="AQ215" i="2"/>
  <c r="AO215" i="2" s="1"/>
  <c r="AN215" i="2" s="1"/>
  <c r="AL215" i="2"/>
  <c r="AK215" i="2"/>
  <c r="BB214" i="2"/>
  <c r="BA214" i="2"/>
  <c r="AX214" i="2"/>
  <c r="AW214" i="2"/>
  <c r="AV214" i="2"/>
  <c r="AQ214" i="2"/>
  <c r="AO214" i="2" s="1"/>
  <c r="AN214" i="2" s="1"/>
  <c r="AL214" i="2"/>
  <c r="AK214" i="2"/>
  <c r="BB213" i="2"/>
  <c r="BA213" i="2"/>
  <c r="AW213" i="2"/>
  <c r="AX213" i="2" s="1"/>
  <c r="AP213" i="2" s="1"/>
  <c r="AV213" i="2"/>
  <c r="AU213" i="2"/>
  <c r="AQ213" i="2"/>
  <c r="AO213" i="2"/>
  <c r="AN213" i="2" s="1"/>
  <c r="AL213" i="2"/>
  <c r="AK213" i="2"/>
  <c r="BB212" i="2"/>
  <c r="BA212" i="2"/>
  <c r="AW212" i="2"/>
  <c r="AX212" i="2" s="1"/>
  <c r="AV212" i="2"/>
  <c r="AQ212" i="2"/>
  <c r="AO212" i="2" s="1"/>
  <c r="AN212" i="2" s="1"/>
  <c r="AL212" i="2"/>
  <c r="AK212" i="2"/>
  <c r="BB211" i="2"/>
  <c r="BA211" i="2"/>
  <c r="AW211" i="2"/>
  <c r="AX211" i="2" s="1"/>
  <c r="AP211" i="2" s="1"/>
  <c r="AV211" i="2"/>
  <c r="AU211" i="2"/>
  <c r="AQ211" i="2"/>
  <c r="AO211" i="2" s="1"/>
  <c r="AN211" i="2" s="1"/>
  <c r="AL211" i="2"/>
  <c r="AK211" i="2"/>
  <c r="BB210" i="2"/>
  <c r="BA210" i="2"/>
  <c r="AX210" i="2"/>
  <c r="AU210" i="2" s="1"/>
  <c r="AW210" i="2"/>
  <c r="AV210" i="2"/>
  <c r="AQ210" i="2"/>
  <c r="AO210" i="2" s="1"/>
  <c r="AN210" i="2" s="1"/>
  <c r="AL210" i="2"/>
  <c r="AK210" i="2"/>
  <c r="BB209" i="2"/>
  <c r="BA209" i="2"/>
  <c r="AW209" i="2"/>
  <c r="AX209" i="2" s="1"/>
  <c r="AV209" i="2"/>
  <c r="AQ209" i="2"/>
  <c r="AO209" i="2" s="1"/>
  <c r="AN209" i="2" s="1"/>
  <c r="AL209" i="2"/>
  <c r="AK209" i="2"/>
  <c r="BB208" i="2"/>
  <c r="BA208" i="2"/>
  <c r="AW208" i="2"/>
  <c r="AX208" i="2" s="1"/>
  <c r="AU208" i="2" s="1"/>
  <c r="AV208" i="2"/>
  <c r="AQ208" i="2"/>
  <c r="AO208" i="2"/>
  <c r="AN208" i="2" s="1"/>
  <c r="AL208" i="2"/>
  <c r="AK208" i="2"/>
  <c r="BB207" i="2"/>
  <c r="BA207" i="2"/>
  <c r="AX207" i="2"/>
  <c r="AW207" i="2"/>
  <c r="AV207" i="2"/>
  <c r="AQ207" i="2"/>
  <c r="AO207" i="2" s="1"/>
  <c r="AN207" i="2" s="1"/>
  <c r="AL207" i="2"/>
  <c r="AK207" i="2"/>
  <c r="BB206" i="2"/>
  <c r="BA206" i="2"/>
  <c r="AX206" i="2"/>
  <c r="AU206" i="2" s="1"/>
  <c r="AW206" i="2"/>
  <c r="AV206" i="2"/>
  <c r="AQ206" i="2"/>
  <c r="AO206" i="2" s="1"/>
  <c r="AN206" i="2" s="1"/>
  <c r="AP206" i="2"/>
  <c r="AL206" i="2"/>
  <c r="AK206" i="2"/>
  <c r="BB205" i="2"/>
  <c r="BA205" i="2"/>
  <c r="AW205" i="2"/>
  <c r="AX205" i="2" s="1"/>
  <c r="AP205" i="2" s="1"/>
  <c r="AV205" i="2"/>
  <c r="AQ205" i="2"/>
  <c r="AO205" i="2"/>
  <c r="AN205" i="2" s="1"/>
  <c r="AL205" i="2"/>
  <c r="AK205" i="2"/>
  <c r="BB204" i="2"/>
  <c r="BA204" i="2"/>
  <c r="AW204" i="2"/>
  <c r="AX204" i="2" s="1"/>
  <c r="AV204" i="2"/>
  <c r="AQ204" i="2"/>
  <c r="AO204" i="2" s="1"/>
  <c r="AN204" i="2" s="1"/>
  <c r="AL204" i="2"/>
  <c r="AK204" i="2"/>
  <c r="BB203" i="2"/>
  <c r="BA203" i="2"/>
  <c r="AW203" i="2"/>
  <c r="AX203" i="2" s="1"/>
  <c r="AP203" i="2" s="1"/>
  <c r="AV203" i="2"/>
  <c r="AU203" i="2"/>
  <c r="AQ203" i="2"/>
  <c r="AO203" i="2" s="1"/>
  <c r="AN203" i="2" s="1"/>
  <c r="AL203" i="2"/>
  <c r="AK203" i="2"/>
  <c r="BB202" i="2"/>
  <c r="BA202" i="2"/>
  <c r="AX202" i="2"/>
  <c r="AU202" i="2" s="1"/>
  <c r="AW202" i="2"/>
  <c r="AV202" i="2"/>
  <c r="AQ202" i="2"/>
  <c r="AO202" i="2" s="1"/>
  <c r="AN202" i="2" s="1"/>
  <c r="AL202" i="2"/>
  <c r="AK202" i="2"/>
  <c r="BB201" i="2"/>
  <c r="BA201" i="2"/>
  <c r="AW201" i="2"/>
  <c r="AX201" i="2" s="1"/>
  <c r="AV201" i="2"/>
  <c r="AQ201" i="2"/>
  <c r="AO201" i="2" s="1"/>
  <c r="AN201" i="2" s="1"/>
  <c r="AL201" i="2"/>
  <c r="AK201" i="2"/>
  <c r="BB200" i="2"/>
  <c r="BA200" i="2"/>
  <c r="AX200" i="2"/>
  <c r="AW200" i="2"/>
  <c r="AV200" i="2"/>
  <c r="AQ200" i="2"/>
  <c r="AO200" i="2" s="1"/>
  <c r="AN200" i="2" s="1"/>
  <c r="AL200" i="2"/>
  <c r="AK200" i="2"/>
  <c r="BB199" i="2"/>
  <c r="BA199" i="2"/>
  <c r="AW199" i="2"/>
  <c r="AX199" i="2" s="1"/>
  <c r="AV199" i="2"/>
  <c r="AQ199" i="2"/>
  <c r="AO199" i="2" s="1"/>
  <c r="AN199" i="2" s="1"/>
  <c r="AL199" i="2"/>
  <c r="AK199" i="2"/>
  <c r="BB198" i="2"/>
  <c r="BA198" i="2"/>
  <c r="AX198" i="2"/>
  <c r="AW198" i="2"/>
  <c r="AV198" i="2"/>
  <c r="AQ198" i="2"/>
  <c r="AO198" i="2" s="1"/>
  <c r="AN198" i="2" s="1"/>
  <c r="AL198" i="2"/>
  <c r="AK198" i="2"/>
  <c r="BB197" i="2"/>
  <c r="BA197" i="2"/>
  <c r="AW197" i="2"/>
  <c r="AX197" i="2" s="1"/>
  <c r="AP197" i="2" s="1"/>
  <c r="AV197" i="2"/>
  <c r="AU197" i="2"/>
  <c r="AQ197" i="2"/>
  <c r="AO197" i="2"/>
  <c r="AN197" i="2" s="1"/>
  <c r="AL197" i="2"/>
  <c r="AK197" i="2"/>
  <c r="BB196" i="2"/>
  <c r="BA196" i="2"/>
  <c r="AW196" i="2"/>
  <c r="AX196" i="2" s="1"/>
  <c r="AV196" i="2"/>
  <c r="AQ196" i="2"/>
  <c r="AO196" i="2" s="1"/>
  <c r="AN196" i="2"/>
  <c r="AL196" i="2"/>
  <c r="AK196" i="2"/>
  <c r="BB195" i="2"/>
  <c r="BA195" i="2"/>
  <c r="AW195" i="2"/>
  <c r="AX195" i="2" s="1"/>
  <c r="AP195" i="2" s="1"/>
  <c r="AV195" i="2"/>
  <c r="AQ195" i="2"/>
  <c r="AO195" i="2"/>
  <c r="AN195" i="2" s="1"/>
  <c r="AL195" i="2"/>
  <c r="AK195" i="2"/>
  <c r="BB194" i="2"/>
  <c r="BA194" i="2"/>
  <c r="AW194" i="2"/>
  <c r="AX194" i="2" s="1"/>
  <c r="AP194" i="2" s="1"/>
  <c r="AV194" i="2"/>
  <c r="AQ194" i="2"/>
  <c r="AO194" i="2" s="1"/>
  <c r="AN194" i="2" s="1"/>
  <c r="AL194" i="2"/>
  <c r="AK194" i="2"/>
  <c r="BB193" i="2"/>
  <c r="BA193" i="2"/>
  <c r="AW193" i="2"/>
  <c r="AX193" i="2" s="1"/>
  <c r="AV193" i="2"/>
  <c r="AQ193" i="2"/>
  <c r="AO193" i="2"/>
  <c r="AN193" i="2" s="1"/>
  <c r="AL193" i="2"/>
  <c r="AK193" i="2"/>
  <c r="BB192" i="2"/>
  <c r="BA192" i="2"/>
  <c r="AX192" i="2"/>
  <c r="AU192" i="2" s="1"/>
  <c r="AW192" i="2"/>
  <c r="AV192" i="2"/>
  <c r="AQ192" i="2"/>
  <c r="AO192" i="2"/>
  <c r="AN192" i="2" s="1"/>
  <c r="AL192" i="2"/>
  <c r="AK192" i="2"/>
  <c r="BB191" i="2"/>
  <c r="BA191" i="2"/>
  <c r="AX191" i="2"/>
  <c r="AU191" i="2" s="1"/>
  <c r="AW191" i="2"/>
  <c r="AV191" i="2"/>
  <c r="AQ191" i="2"/>
  <c r="AO191" i="2" s="1"/>
  <c r="AN191" i="2" s="1"/>
  <c r="AL191" i="2"/>
  <c r="AK191" i="2"/>
  <c r="BB190" i="2"/>
  <c r="BA190" i="2"/>
  <c r="AW190" i="2"/>
  <c r="AX190" i="2" s="1"/>
  <c r="AV190" i="2"/>
  <c r="AQ190" i="2"/>
  <c r="AO190" i="2" s="1"/>
  <c r="AN190" i="2" s="1"/>
  <c r="AL190" i="2"/>
  <c r="AK190" i="2"/>
  <c r="BB189" i="2"/>
  <c r="BA189" i="2"/>
  <c r="AW189" i="2"/>
  <c r="AX189" i="2" s="1"/>
  <c r="AP189" i="2" s="1"/>
  <c r="AV189" i="2"/>
  <c r="AQ189" i="2"/>
  <c r="AO189" i="2" s="1"/>
  <c r="AN189" i="2"/>
  <c r="AL189" i="2"/>
  <c r="AK189" i="2"/>
  <c r="BB188" i="2"/>
  <c r="BA188" i="2"/>
  <c r="AW188" i="2"/>
  <c r="AX188" i="2" s="1"/>
  <c r="AV188" i="2"/>
  <c r="AQ188" i="2"/>
  <c r="AO188" i="2"/>
  <c r="AN188" i="2" s="1"/>
  <c r="AL188" i="2"/>
  <c r="AK188" i="2"/>
  <c r="BB187" i="2"/>
  <c r="BA187" i="2"/>
  <c r="AW187" i="2"/>
  <c r="AX187" i="2" s="1"/>
  <c r="AP187" i="2" s="1"/>
  <c r="AV187" i="2"/>
  <c r="AU187" i="2"/>
  <c r="AQ187" i="2"/>
  <c r="AO187" i="2" s="1"/>
  <c r="AN187" i="2" s="1"/>
  <c r="AL187" i="2"/>
  <c r="AK187" i="2"/>
  <c r="BB186" i="2"/>
  <c r="BA186" i="2"/>
  <c r="AW186" i="2"/>
  <c r="AX186" i="2" s="1"/>
  <c r="AV186" i="2"/>
  <c r="AQ186" i="2"/>
  <c r="AO186" i="2" s="1"/>
  <c r="AN186" i="2" s="1"/>
  <c r="AL186" i="2"/>
  <c r="AK186" i="2"/>
  <c r="BB185" i="2"/>
  <c r="BA185" i="2"/>
  <c r="AW185" i="2"/>
  <c r="AX185" i="2" s="1"/>
  <c r="AV185" i="2"/>
  <c r="AQ185" i="2"/>
  <c r="AO185" i="2" s="1"/>
  <c r="AN185" i="2" s="1"/>
  <c r="AL185" i="2"/>
  <c r="AK185" i="2"/>
  <c r="BB184" i="2"/>
  <c r="BA184" i="2"/>
  <c r="AW184" i="2"/>
  <c r="AX184" i="2" s="1"/>
  <c r="AU184" i="2" s="1"/>
  <c r="AV184" i="2"/>
  <c r="AQ184" i="2"/>
  <c r="AO184" i="2"/>
  <c r="AN184" i="2" s="1"/>
  <c r="AL184" i="2"/>
  <c r="AK184" i="2"/>
  <c r="BB183" i="2"/>
  <c r="BA183" i="2"/>
  <c r="AW183" i="2"/>
  <c r="AX183" i="2" s="1"/>
  <c r="AV183" i="2"/>
  <c r="AQ183" i="2"/>
  <c r="AO183" i="2" s="1"/>
  <c r="AN183" i="2" s="1"/>
  <c r="AL183" i="2"/>
  <c r="AK183" i="2"/>
  <c r="BB182" i="2"/>
  <c r="BA182" i="2"/>
  <c r="AX182" i="2"/>
  <c r="AU182" i="2" s="1"/>
  <c r="AW182" i="2"/>
  <c r="AV182" i="2"/>
  <c r="AQ182" i="2"/>
  <c r="AO182" i="2" s="1"/>
  <c r="AN182" i="2" s="1"/>
  <c r="AL182" i="2"/>
  <c r="AK182" i="2"/>
  <c r="BB181" i="2"/>
  <c r="BA181" i="2"/>
  <c r="AW181" i="2"/>
  <c r="AX181" i="2" s="1"/>
  <c r="AP181" i="2" s="1"/>
  <c r="AV181" i="2"/>
  <c r="AU181" i="2"/>
  <c r="AQ181" i="2"/>
  <c r="AO181" i="2" s="1"/>
  <c r="AN181" i="2" s="1"/>
  <c r="AL181" i="2"/>
  <c r="AK181" i="2"/>
  <c r="BB180" i="2"/>
  <c r="BA180" i="2"/>
  <c r="AW180" i="2"/>
  <c r="AX180" i="2" s="1"/>
  <c r="AV180" i="2"/>
  <c r="AQ180" i="2"/>
  <c r="AO180" i="2"/>
  <c r="AN180" i="2" s="1"/>
  <c r="AL180" i="2"/>
  <c r="AK180" i="2"/>
  <c r="BB179" i="2"/>
  <c r="BA179" i="2"/>
  <c r="AX179" i="2"/>
  <c r="AW179" i="2"/>
  <c r="AV179" i="2"/>
  <c r="AQ179" i="2"/>
  <c r="AO179" i="2" s="1"/>
  <c r="AN179" i="2" s="1"/>
  <c r="AL179" i="2"/>
  <c r="AK179" i="2"/>
  <c r="BB178" i="2"/>
  <c r="BA178" i="2"/>
  <c r="AW178" i="2"/>
  <c r="AX178" i="2" s="1"/>
  <c r="AV178" i="2"/>
  <c r="AQ178" i="2"/>
  <c r="AO178" i="2"/>
  <c r="AN178" i="2" s="1"/>
  <c r="AL178" i="2"/>
  <c r="AK178" i="2"/>
  <c r="BB177" i="2"/>
  <c r="BA177" i="2"/>
  <c r="AW177" i="2"/>
  <c r="AX177" i="2" s="1"/>
  <c r="AU177" i="2" s="1"/>
  <c r="AV177" i="2"/>
  <c r="AQ177" i="2"/>
  <c r="AO177" i="2"/>
  <c r="AN177" i="2" s="1"/>
  <c r="AL177" i="2"/>
  <c r="AK177" i="2"/>
  <c r="BB176" i="2"/>
  <c r="BA176" i="2"/>
  <c r="AX176" i="2"/>
  <c r="AU176" i="2" s="1"/>
  <c r="AW176" i="2"/>
  <c r="AV176" i="2"/>
  <c r="AQ176" i="2"/>
  <c r="AO176" i="2" s="1"/>
  <c r="AN176" i="2" s="1"/>
  <c r="AL176" i="2"/>
  <c r="AK176" i="2"/>
  <c r="BB175" i="2"/>
  <c r="BA175" i="2"/>
  <c r="AX175" i="2"/>
  <c r="AW175" i="2"/>
  <c r="AV175" i="2"/>
  <c r="AQ175" i="2"/>
  <c r="AO175" i="2" s="1"/>
  <c r="AN175" i="2" s="1"/>
  <c r="AL175" i="2"/>
  <c r="AK175" i="2"/>
  <c r="BB174" i="2"/>
  <c r="BA174" i="2"/>
  <c r="AW174" i="2"/>
  <c r="AX174" i="2" s="1"/>
  <c r="AV174" i="2"/>
  <c r="AQ174" i="2"/>
  <c r="AO174" i="2" s="1"/>
  <c r="AN174" i="2" s="1"/>
  <c r="AL174" i="2"/>
  <c r="AK174" i="2"/>
  <c r="BB173" i="2"/>
  <c r="BA173" i="2"/>
  <c r="AW173" i="2"/>
  <c r="AX173" i="2" s="1"/>
  <c r="AP173" i="2" s="1"/>
  <c r="AV173" i="2"/>
  <c r="AU173" i="2"/>
  <c r="AQ173" i="2"/>
  <c r="AO173" i="2"/>
  <c r="AN173" i="2" s="1"/>
  <c r="AL173" i="2"/>
  <c r="AK173" i="2"/>
  <c r="BB172" i="2"/>
  <c r="BA172" i="2"/>
  <c r="AW172" i="2"/>
  <c r="AX172" i="2" s="1"/>
  <c r="AP172" i="2" s="1"/>
  <c r="AV172" i="2"/>
  <c r="AU172" i="2"/>
  <c r="AQ172" i="2"/>
  <c r="AO172" i="2" s="1"/>
  <c r="AN172" i="2" s="1"/>
  <c r="AL172" i="2"/>
  <c r="AK172" i="2"/>
  <c r="BB171" i="2"/>
  <c r="BA171" i="2"/>
  <c r="AX171" i="2"/>
  <c r="AW171" i="2"/>
  <c r="AV171" i="2"/>
  <c r="AQ171" i="2"/>
  <c r="AO171" i="2" s="1"/>
  <c r="AN171" i="2" s="1"/>
  <c r="AL171" i="2"/>
  <c r="AK171" i="2"/>
  <c r="BB170" i="2"/>
  <c r="BA170" i="2"/>
  <c r="AW170" i="2"/>
  <c r="AX170" i="2" s="1"/>
  <c r="AV170" i="2"/>
  <c r="AQ170" i="2"/>
  <c r="AO170" i="2" s="1"/>
  <c r="AN170" i="2" s="1"/>
  <c r="AL170" i="2"/>
  <c r="AK170" i="2"/>
  <c r="BB169" i="2"/>
  <c r="BA169" i="2"/>
  <c r="AW169" i="2"/>
  <c r="AX169" i="2" s="1"/>
  <c r="AV169" i="2"/>
  <c r="AQ169" i="2"/>
  <c r="AO169" i="2"/>
  <c r="AN169" i="2"/>
  <c r="AL169" i="2"/>
  <c r="AK169" i="2"/>
  <c r="BB168" i="2"/>
  <c r="BA168" i="2"/>
  <c r="AW168" i="2"/>
  <c r="AX168" i="2" s="1"/>
  <c r="AV168" i="2"/>
  <c r="AQ168" i="2"/>
  <c r="AO168" i="2"/>
  <c r="AN168" i="2" s="1"/>
  <c r="AL168" i="2"/>
  <c r="AK168" i="2"/>
  <c r="BB167" i="2"/>
  <c r="BA167" i="2"/>
  <c r="AW167" i="2"/>
  <c r="AX167" i="2" s="1"/>
  <c r="AV167" i="2"/>
  <c r="AQ167" i="2"/>
  <c r="AO167" i="2" s="1"/>
  <c r="AN167" i="2" s="1"/>
  <c r="AL167" i="2"/>
  <c r="AK167" i="2"/>
  <c r="BB166" i="2"/>
  <c r="BA166" i="2"/>
  <c r="AW166" i="2"/>
  <c r="AX166" i="2" s="1"/>
  <c r="AV166" i="2"/>
  <c r="AQ166" i="2"/>
  <c r="AO166" i="2" s="1"/>
  <c r="AN166" i="2" s="1"/>
  <c r="AL166" i="2"/>
  <c r="AK166" i="2"/>
  <c r="BB165" i="2"/>
  <c r="BA165" i="2"/>
  <c r="AW165" i="2"/>
  <c r="AX165" i="2" s="1"/>
  <c r="AV165" i="2"/>
  <c r="AQ165" i="2"/>
  <c r="AO165" i="2"/>
  <c r="AN165" i="2" s="1"/>
  <c r="AL165" i="2"/>
  <c r="AK165" i="2"/>
  <c r="BB164" i="2"/>
  <c r="BA164" i="2"/>
  <c r="AX164" i="2"/>
  <c r="AW164" i="2"/>
  <c r="AV164" i="2"/>
  <c r="AQ164" i="2"/>
  <c r="AO164" i="2"/>
  <c r="AN164" i="2" s="1"/>
  <c r="AL164" i="2"/>
  <c r="AK164" i="2"/>
  <c r="BB163" i="2"/>
  <c r="BA163" i="2"/>
  <c r="AW163" i="2"/>
  <c r="AX163" i="2" s="1"/>
  <c r="AU163" i="2" s="1"/>
  <c r="AV163" i="2"/>
  <c r="AQ163" i="2"/>
  <c r="AO163" i="2" s="1"/>
  <c r="AN163" i="2"/>
  <c r="AL163" i="2"/>
  <c r="AK163" i="2"/>
  <c r="BB162" i="2"/>
  <c r="BA162" i="2"/>
  <c r="AW162" i="2"/>
  <c r="AX162" i="2" s="1"/>
  <c r="AP162" i="2" s="1"/>
  <c r="AV162" i="2"/>
  <c r="AQ162" i="2"/>
  <c r="AO162" i="2" s="1"/>
  <c r="AN162" i="2" s="1"/>
  <c r="AL162" i="2"/>
  <c r="AK162" i="2"/>
  <c r="BB161" i="2"/>
  <c r="BA161" i="2"/>
  <c r="AX161" i="2"/>
  <c r="AU161" i="2" s="1"/>
  <c r="AW161" i="2"/>
  <c r="AV161" i="2"/>
  <c r="AQ161" i="2"/>
  <c r="AO161" i="2" s="1"/>
  <c r="AN161" i="2" s="1"/>
  <c r="AL161" i="2"/>
  <c r="AK161" i="2"/>
  <c r="BB160" i="2"/>
  <c r="BA160" i="2"/>
  <c r="AW160" i="2"/>
  <c r="AX160" i="2" s="1"/>
  <c r="AV160" i="2"/>
  <c r="AQ160" i="2"/>
  <c r="AO160" i="2" s="1"/>
  <c r="AN160" i="2" s="1"/>
  <c r="AL160" i="2"/>
  <c r="AK160" i="2"/>
  <c r="BB159" i="2"/>
  <c r="BA159" i="2"/>
  <c r="AX159" i="2"/>
  <c r="AU159" i="2" s="1"/>
  <c r="AW159" i="2"/>
  <c r="AV159" i="2"/>
  <c r="AQ159" i="2"/>
  <c r="AO159" i="2"/>
  <c r="AN159" i="2" s="1"/>
  <c r="AL159" i="2"/>
  <c r="AK159" i="2"/>
  <c r="BB158" i="2"/>
  <c r="BA158" i="2"/>
  <c r="AX158" i="2"/>
  <c r="AU158" i="2" s="1"/>
  <c r="AW158" i="2"/>
  <c r="AV158" i="2"/>
  <c r="AQ158" i="2"/>
  <c r="AO158" i="2" s="1"/>
  <c r="AN158" i="2" s="1"/>
  <c r="AL158" i="2"/>
  <c r="AK158" i="2"/>
  <c r="BB157" i="2"/>
  <c r="BA157" i="2"/>
  <c r="AW157" i="2"/>
  <c r="AX157" i="2" s="1"/>
  <c r="AV157" i="2"/>
  <c r="AQ157" i="2"/>
  <c r="AO157" i="2" s="1"/>
  <c r="AN157" i="2" s="1"/>
  <c r="AL157" i="2"/>
  <c r="AK157" i="2"/>
  <c r="BB156" i="2"/>
  <c r="BA156" i="2"/>
  <c r="AW156" i="2"/>
  <c r="AX156" i="2" s="1"/>
  <c r="AV156" i="2"/>
  <c r="AQ156" i="2"/>
  <c r="AO156" i="2"/>
  <c r="AN156" i="2" s="1"/>
  <c r="AL156" i="2"/>
  <c r="AK156" i="2"/>
  <c r="BB155" i="2"/>
  <c r="BA155" i="2"/>
  <c r="AW155" i="2"/>
  <c r="AX155" i="2" s="1"/>
  <c r="AP155" i="2" s="1"/>
  <c r="AV155" i="2"/>
  <c r="AQ155" i="2"/>
  <c r="AO155" i="2" s="1"/>
  <c r="AN155" i="2" s="1"/>
  <c r="AL155" i="2"/>
  <c r="AK155" i="2"/>
  <c r="BB154" i="2"/>
  <c r="BA154" i="2"/>
  <c r="AW154" i="2"/>
  <c r="AX154" i="2" s="1"/>
  <c r="AP154" i="2" s="1"/>
  <c r="AV154" i="2"/>
  <c r="AQ154" i="2"/>
  <c r="AO154" i="2" s="1"/>
  <c r="AN154" i="2" s="1"/>
  <c r="AL154" i="2"/>
  <c r="AK154" i="2"/>
  <c r="BB153" i="2"/>
  <c r="BA153" i="2"/>
  <c r="AW153" i="2"/>
  <c r="AX153" i="2" s="1"/>
  <c r="AU153" i="2" s="1"/>
  <c r="AV153" i="2"/>
  <c r="AQ153" i="2"/>
  <c r="AO153" i="2"/>
  <c r="AN153" i="2"/>
  <c r="AL153" i="2"/>
  <c r="AK153" i="2"/>
  <c r="BB152" i="2"/>
  <c r="BA152" i="2"/>
  <c r="AW152" i="2"/>
  <c r="AX152" i="2" s="1"/>
  <c r="AV152" i="2"/>
  <c r="AQ152" i="2"/>
  <c r="AO152" i="2" s="1"/>
  <c r="AN152" i="2" s="1"/>
  <c r="AL152" i="2"/>
  <c r="AK152" i="2"/>
  <c r="BB151" i="2"/>
  <c r="BA151" i="2"/>
  <c r="AX151" i="2"/>
  <c r="AU151" i="2" s="1"/>
  <c r="AW151" i="2"/>
  <c r="AV151" i="2"/>
  <c r="AQ151" i="2"/>
  <c r="AO151" i="2"/>
  <c r="AN151" i="2" s="1"/>
  <c r="AL151" i="2"/>
  <c r="AK151" i="2"/>
  <c r="BB150" i="2"/>
  <c r="BA150" i="2"/>
  <c r="AX150" i="2"/>
  <c r="AU150" i="2" s="1"/>
  <c r="AW150" i="2"/>
  <c r="AV150" i="2"/>
  <c r="AQ150" i="2"/>
  <c r="AO150" i="2" s="1"/>
  <c r="AN150" i="2" s="1"/>
  <c r="AL150" i="2"/>
  <c r="AK150" i="2"/>
  <c r="BB149" i="2"/>
  <c r="BA149" i="2"/>
  <c r="AW149" i="2"/>
  <c r="AX149" i="2" s="1"/>
  <c r="AV149" i="2"/>
  <c r="AQ149" i="2"/>
  <c r="AO149" i="2" s="1"/>
  <c r="AN149" i="2" s="1"/>
  <c r="AL149" i="2"/>
  <c r="AK149" i="2"/>
  <c r="BB148" i="2"/>
  <c r="BA148" i="2"/>
  <c r="AW148" i="2"/>
  <c r="AX148" i="2" s="1"/>
  <c r="AV148" i="2"/>
  <c r="AQ148" i="2"/>
  <c r="AO148" i="2"/>
  <c r="AN148" i="2" s="1"/>
  <c r="AL148" i="2"/>
  <c r="AK148" i="2"/>
  <c r="BB147" i="2"/>
  <c r="BA147" i="2"/>
  <c r="AW147" i="2"/>
  <c r="AX147" i="2" s="1"/>
  <c r="AP147" i="2" s="1"/>
  <c r="AV147" i="2"/>
  <c r="AQ147" i="2"/>
  <c r="AO147" i="2" s="1"/>
  <c r="AN147" i="2" s="1"/>
  <c r="AL147" i="2"/>
  <c r="AK147" i="2"/>
  <c r="BB146" i="2"/>
  <c r="BA146" i="2"/>
  <c r="AW146" i="2"/>
  <c r="AX146" i="2" s="1"/>
  <c r="AP146" i="2" s="1"/>
  <c r="AV146" i="2"/>
  <c r="AU146" i="2"/>
  <c r="AQ146" i="2"/>
  <c r="AO146" i="2"/>
  <c r="AN146" i="2" s="1"/>
  <c r="AL146" i="2"/>
  <c r="AK146" i="2"/>
  <c r="BB145" i="2"/>
  <c r="BA145" i="2"/>
  <c r="AX145" i="2"/>
  <c r="AU145" i="2" s="1"/>
  <c r="AW145" i="2"/>
  <c r="AV145" i="2"/>
  <c r="AQ145" i="2"/>
  <c r="AO145" i="2"/>
  <c r="AN145" i="2" s="1"/>
  <c r="AL145" i="2"/>
  <c r="AK145" i="2"/>
  <c r="BB144" i="2"/>
  <c r="BA144" i="2"/>
  <c r="AW144" i="2"/>
  <c r="AX144" i="2" s="1"/>
  <c r="AV144" i="2"/>
  <c r="AQ144" i="2"/>
  <c r="AO144" i="2" s="1"/>
  <c r="AN144" i="2" s="1"/>
  <c r="AL144" i="2"/>
  <c r="AK144" i="2"/>
  <c r="BB143" i="2"/>
  <c r="BA143" i="2"/>
  <c r="AX143" i="2"/>
  <c r="AU143" i="2" s="1"/>
  <c r="AW143" i="2"/>
  <c r="AV143" i="2"/>
  <c r="AQ143" i="2"/>
  <c r="AO143" i="2" s="1"/>
  <c r="AN143" i="2" s="1"/>
  <c r="AL143" i="2"/>
  <c r="AK143" i="2"/>
  <c r="BB142" i="2"/>
  <c r="BA142" i="2"/>
  <c r="AW142" i="2"/>
  <c r="AX142" i="2" s="1"/>
  <c r="AV142" i="2"/>
  <c r="AQ142" i="2"/>
  <c r="AO142" i="2" s="1"/>
  <c r="AN142" i="2" s="1"/>
  <c r="AL142" i="2"/>
  <c r="AK142" i="2"/>
  <c r="BB141" i="2"/>
  <c r="BA141" i="2"/>
  <c r="AW141" i="2"/>
  <c r="AX141" i="2" s="1"/>
  <c r="AV141" i="2"/>
  <c r="AQ141" i="2"/>
  <c r="AO141" i="2" s="1"/>
  <c r="AN141" i="2" s="1"/>
  <c r="AL141" i="2"/>
  <c r="AK141" i="2"/>
  <c r="BB140" i="2"/>
  <c r="BA140" i="2"/>
  <c r="AW140" i="2"/>
  <c r="AX140" i="2" s="1"/>
  <c r="AV140" i="2"/>
  <c r="AQ140" i="2"/>
  <c r="AO140" i="2"/>
  <c r="AN140" i="2" s="1"/>
  <c r="AL140" i="2"/>
  <c r="AK140" i="2"/>
  <c r="BB139" i="2"/>
  <c r="BA139" i="2"/>
  <c r="AW139" i="2"/>
  <c r="AX139" i="2" s="1"/>
  <c r="AP139" i="2" s="1"/>
  <c r="AV139" i="2"/>
  <c r="AU139" i="2"/>
  <c r="AQ139" i="2"/>
  <c r="AO139" i="2" s="1"/>
  <c r="AN139" i="2" s="1"/>
  <c r="AL139" i="2"/>
  <c r="AK139" i="2"/>
  <c r="BB138" i="2"/>
  <c r="BA138" i="2"/>
  <c r="AW138" i="2"/>
  <c r="AX138" i="2" s="1"/>
  <c r="AP138" i="2" s="1"/>
  <c r="AV138" i="2"/>
  <c r="AU138" i="2"/>
  <c r="AQ138" i="2"/>
  <c r="AO138" i="2"/>
  <c r="AN138" i="2" s="1"/>
  <c r="AL138" i="2"/>
  <c r="AK138" i="2"/>
  <c r="BB137" i="2"/>
  <c r="BA137" i="2"/>
  <c r="AX137" i="2"/>
  <c r="AW137" i="2"/>
  <c r="AV137" i="2"/>
  <c r="AQ137" i="2"/>
  <c r="AO137" i="2" s="1"/>
  <c r="AN137" i="2" s="1"/>
  <c r="AL137" i="2"/>
  <c r="AK137" i="2"/>
  <c r="BB136" i="2"/>
  <c r="BA136" i="2"/>
  <c r="AW136" i="2"/>
  <c r="AX136" i="2" s="1"/>
  <c r="AV136" i="2"/>
  <c r="AQ136" i="2"/>
  <c r="AO136" i="2" s="1"/>
  <c r="AN136" i="2" s="1"/>
  <c r="AL136" i="2"/>
  <c r="AK136" i="2"/>
  <c r="BB135" i="2"/>
  <c r="BA135" i="2"/>
  <c r="AW135" i="2"/>
  <c r="AX135" i="2" s="1"/>
  <c r="AV135" i="2"/>
  <c r="AQ135" i="2"/>
  <c r="AO135" i="2"/>
  <c r="AN135" i="2" s="1"/>
  <c r="AL135" i="2"/>
  <c r="AK135" i="2"/>
  <c r="BB134" i="2"/>
  <c r="BA134" i="2"/>
  <c r="AX134" i="2"/>
  <c r="AU134" i="2" s="1"/>
  <c r="AW134" i="2"/>
  <c r="AV134" i="2"/>
  <c r="AQ134" i="2"/>
  <c r="AO134" i="2" s="1"/>
  <c r="AN134" i="2" s="1"/>
  <c r="AP134" i="2"/>
  <c r="AL134" i="2"/>
  <c r="AK134" i="2"/>
  <c r="BB133" i="2"/>
  <c r="BA133" i="2"/>
  <c r="AW133" i="2"/>
  <c r="AX133" i="2" s="1"/>
  <c r="AV133" i="2"/>
  <c r="AQ133" i="2"/>
  <c r="AO133" i="2" s="1"/>
  <c r="AN133" i="2" s="1"/>
  <c r="AL133" i="2"/>
  <c r="AK133" i="2"/>
  <c r="BB132" i="2"/>
  <c r="BA132" i="2"/>
  <c r="AX132" i="2"/>
  <c r="AU132" i="2" s="1"/>
  <c r="AW132" i="2"/>
  <c r="AV132" i="2"/>
  <c r="AQ132" i="2"/>
  <c r="AO132" i="2" s="1"/>
  <c r="AN132" i="2" s="1"/>
  <c r="AP132" i="2"/>
  <c r="AL132" i="2"/>
  <c r="AK132" i="2"/>
  <c r="BB131" i="2"/>
  <c r="BA131" i="2"/>
  <c r="AW131" i="2"/>
  <c r="AX131" i="2" s="1"/>
  <c r="AV131" i="2"/>
  <c r="AQ131" i="2"/>
  <c r="AO131" i="2" s="1"/>
  <c r="AN131" i="2" s="1"/>
  <c r="AL131" i="2"/>
  <c r="AK131" i="2"/>
  <c r="BB130" i="2"/>
  <c r="BA130" i="2"/>
  <c r="AW130" i="2"/>
  <c r="AX130" i="2" s="1"/>
  <c r="AP130" i="2" s="1"/>
  <c r="AV130" i="2"/>
  <c r="AQ130" i="2"/>
  <c r="AO130" i="2" s="1"/>
  <c r="AN130" i="2" s="1"/>
  <c r="AL130" i="2"/>
  <c r="AK130" i="2"/>
  <c r="BB129" i="2"/>
  <c r="BA129" i="2"/>
  <c r="AW129" i="2"/>
  <c r="AX129" i="2" s="1"/>
  <c r="AU129" i="2" s="1"/>
  <c r="AV129" i="2"/>
  <c r="AQ129" i="2"/>
  <c r="AO129" i="2"/>
  <c r="AN129" i="2" s="1"/>
  <c r="AL129" i="2"/>
  <c r="AK129" i="2"/>
  <c r="BB128" i="2"/>
  <c r="BA128" i="2"/>
  <c r="AW128" i="2"/>
  <c r="AX128" i="2" s="1"/>
  <c r="AV128" i="2"/>
  <c r="AQ128" i="2"/>
  <c r="AO128" i="2" s="1"/>
  <c r="AN128" i="2" s="1"/>
  <c r="AL128" i="2"/>
  <c r="AK128" i="2"/>
  <c r="BB127" i="2"/>
  <c r="BA127" i="2"/>
  <c r="AW127" i="2"/>
  <c r="AX127" i="2" s="1"/>
  <c r="AV127" i="2"/>
  <c r="AQ127" i="2"/>
  <c r="AO127" i="2"/>
  <c r="AN127" i="2" s="1"/>
  <c r="AL127" i="2"/>
  <c r="AK127" i="2"/>
  <c r="BB126" i="2"/>
  <c r="BA126" i="2"/>
  <c r="AW126" i="2"/>
  <c r="AX126" i="2" s="1"/>
  <c r="AV126" i="2"/>
  <c r="AQ126" i="2"/>
  <c r="AO126" i="2" s="1"/>
  <c r="AN126" i="2" s="1"/>
  <c r="AL126" i="2"/>
  <c r="AK126" i="2"/>
  <c r="BB125" i="2"/>
  <c r="BA125" i="2"/>
  <c r="AW125" i="2"/>
  <c r="AX125" i="2" s="1"/>
  <c r="AV125" i="2"/>
  <c r="AQ125" i="2"/>
  <c r="AO125" i="2" s="1"/>
  <c r="AN125" i="2" s="1"/>
  <c r="AL125" i="2"/>
  <c r="AK125" i="2"/>
  <c r="BB124" i="2"/>
  <c r="BA124" i="2"/>
  <c r="AW124" i="2"/>
  <c r="AX124" i="2" s="1"/>
  <c r="AP124" i="2" s="1"/>
  <c r="AV124" i="2"/>
  <c r="AU124" i="2"/>
  <c r="AQ124" i="2"/>
  <c r="AO124" i="2" s="1"/>
  <c r="AN124" i="2" s="1"/>
  <c r="AL124" i="2"/>
  <c r="AK124" i="2"/>
  <c r="BB123" i="2"/>
  <c r="BA123" i="2"/>
  <c r="AX123" i="2"/>
  <c r="AW123" i="2"/>
  <c r="AV123" i="2"/>
  <c r="AQ123" i="2"/>
  <c r="AO123" i="2" s="1"/>
  <c r="AN123" i="2" s="1"/>
  <c r="AL123" i="2"/>
  <c r="AK123" i="2"/>
  <c r="BB122" i="2"/>
  <c r="BA122" i="2"/>
  <c r="AW122" i="2"/>
  <c r="AX122" i="2" s="1"/>
  <c r="AP122" i="2" s="1"/>
  <c r="AV122" i="2"/>
  <c r="AU122" i="2"/>
  <c r="AQ122" i="2"/>
  <c r="AO122" i="2"/>
  <c r="AN122" i="2" s="1"/>
  <c r="AL122" i="2"/>
  <c r="AK122" i="2"/>
  <c r="BB121" i="2"/>
  <c r="BA121" i="2"/>
  <c r="AW121" i="2"/>
  <c r="AX121" i="2" s="1"/>
  <c r="AV121" i="2"/>
  <c r="AQ121" i="2"/>
  <c r="AO121" i="2"/>
  <c r="AN121" i="2" s="1"/>
  <c r="AL121" i="2"/>
  <c r="AK121" i="2"/>
  <c r="BB120" i="2"/>
  <c r="BA120" i="2"/>
  <c r="AW120" i="2"/>
  <c r="AX120" i="2" s="1"/>
  <c r="AV120" i="2"/>
  <c r="AQ120" i="2"/>
  <c r="AO120" i="2" s="1"/>
  <c r="AN120" i="2" s="1"/>
  <c r="AL120" i="2"/>
  <c r="AK120" i="2"/>
  <c r="BB119" i="2"/>
  <c r="BA119" i="2"/>
  <c r="AW119" i="2"/>
  <c r="AX119" i="2" s="1"/>
  <c r="AV119" i="2"/>
  <c r="AQ119" i="2"/>
  <c r="AO119" i="2" s="1"/>
  <c r="AN119" i="2" s="1"/>
  <c r="AL119" i="2"/>
  <c r="AK119" i="2"/>
  <c r="BB118" i="2"/>
  <c r="BA118" i="2"/>
  <c r="AW118" i="2"/>
  <c r="AX118" i="2" s="1"/>
  <c r="AV118" i="2"/>
  <c r="AQ118" i="2"/>
  <c r="AO118" i="2" s="1"/>
  <c r="AN118" i="2" s="1"/>
  <c r="AL118" i="2"/>
  <c r="AK118" i="2"/>
  <c r="BB117" i="2"/>
  <c r="BA117" i="2"/>
  <c r="AW117" i="2"/>
  <c r="AX117" i="2" s="1"/>
  <c r="AV117" i="2"/>
  <c r="AQ117" i="2"/>
  <c r="AO117" i="2" s="1"/>
  <c r="AN117" i="2" s="1"/>
  <c r="AL117" i="2"/>
  <c r="AK117" i="2"/>
  <c r="BB116" i="2"/>
  <c r="BA116" i="2"/>
  <c r="AW116" i="2"/>
  <c r="AX116" i="2" s="1"/>
  <c r="AV116" i="2"/>
  <c r="AQ116" i="2"/>
  <c r="AO116" i="2" s="1"/>
  <c r="AN116" i="2" s="1"/>
  <c r="AL116" i="2"/>
  <c r="AK116" i="2"/>
  <c r="BB115" i="2"/>
  <c r="BA115" i="2"/>
  <c r="AW115" i="2"/>
  <c r="AX115" i="2" s="1"/>
  <c r="AV115" i="2"/>
  <c r="AQ115" i="2"/>
  <c r="AO115" i="2" s="1"/>
  <c r="AN115" i="2" s="1"/>
  <c r="AL115" i="2"/>
  <c r="AK115" i="2"/>
  <c r="BB114" i="2"/>
  <c r="BA114" i="2"/>
  <c r="AW114" i="2"/>
  <c r="AX114" i="2" s="1"/>
  <c r="AP114" i="2" s="1"/>
  <c r="AV114" i="2"/>
  <c r="AU114" i="2"/>
  <c r="AQ114" i="2"/>
  <c r="AO114" i="2"/>
  <c r="AN114" i="2" s="1"/>
  <c r="AL114" i="2"/>
  <c r="AK114" i="2"/>
  <c r="BB113" i="2"/>
  <c r="BA113" i="2"/>
  <c r="AW113" i="2"/>
  <c r="AX113" i="2" s="1"/>
  <c r="AU113" i="2" s="1"/>
  <c r="AV113" i="2"/>
  <c r="AQ113" i="2"/>
  <c r="AO113" i="2" s="1"/>
  <c r="AN113" i="2" s="1"/>
  <c r="AL113" i="2"/>
  <c r="AK113" i="2"/>
  <c r="BB112" i="2"/>
  <c r="BA112" i="2"/>
  <c r="AW112" i="2"/>
  <c r="AX112" i="2" s="1"/>
  <c r="AV112" i="2"/>
  <c r="AQ112" i="2"/>
  <c r="AO112" i="2" s="1"/>
  <c r="AN112" i="2" s="1"/>
  <c r="AL112" i="2"/>
  <c r="AK112" i="2"/>
  <c r="BB111" i="2"/>
  <c r="BA111" i="2"/>
  <c r="AX111" i="2"/>
  <c r="AU111" i="2" s="1"/>
  <c r="AW111" i="2"/>
  <c r="AV111" i="2"/>
  <c r="AQ111" i="2"/>
  <c r="AO111" i="2" s="1"/>
  <c r="AN111" i="2" s="1"/>
  <c r="AL111" i="2"/>
  <c r="AK111" i="2"/>
  <c r="BB110" i="2"/>
  <c r="BA110" i="2"/>
  <c r="AX110" i="2"/>
  <c r="AW110" i="2"/>
  <c r="AV110" i="2"/>
  <c r="AQ110" i="2"/>
  <c r="AO110" i="2" s="1"/>
  <c r="AN110" i="2" s="1"/>
  <c r="AL110" i="2"/>
  <c r="AK110" i="2"/>
  <c r="BB109" i="2"/>
  <c r="BA109" i="2"/>
  <c r="AW109" i="2"/>
  <c r="AX109" i="2" s="1"/>
  <c r="AV109" i="2"/>
  <c r="AQ109" i="2"/>
  <c r="AO109" i="2" s="1"/>
  <c r="AN109" i="2" s="1"/>
  <c r="AL109" i="2"/>
  <c r="AK109" i="2"/>
  <c r="BB108" i="2"/>
  <c r="BA108" i="2"/>
  <c r="AX108" i="2"/>
  <c r="AW108" i="2"/>
  <c r="AV108" i="2"/>
  <c r="AQ108" i="2"/>
  <c r="AO108" i="2"/>
  <c r="AN108" i="2" s="1"/>
  <c r="AL108" i="2"/>
  <c r="AK108" i="2"/>
  <c r="BB107" i="2"/>
  <c r="BA107" i="2"/>
  <c r="AW107" i="2"/>
  <c r="AX107" i="2" s="1"/>
  <c r="AU107" i="2" s="1"/>
  <c r="AV107" i="2"/>
  <c r="AQ107" i="2"/>
  <c r="AO107" i="2" s="1"/>
  <c r="AN107" i="2" s="1"/>
  <c r="AP107" i="2"/>
  <c r="AL107" i="2"/>
  <c r="AK107" i="2"/>
  <c r="BB106" i="2"/>
  <c r="BA106" i="2"/>
  <c r="AW106" i="2"/>
  <c r="AX106" i="2" s="1"/>
  <c r="AP106" i="2" s="1"/>
  <c r="AV106" i="2"/>
  <c r="AU106" i="2"/>
  <c r="AQ106" i="2"/>
  <c r="AO106" i="2" s="1"/>
  <c r="AN106" i="2" s="1"/>
  <c r="AL106" i="2"/>
  <c r="AK106" i="2"/>
  <c r="BB105" i="2"/>
  <c r="BA105" i="2"/>
  <c r="AX105" i="2"/>
  <c r="AU105" i="2" s="1"/>
  <c r="AW105" i="2"/>
  <c r="AV105" i="2"/>
  <c r="AQ105" i="2"/>
  <c r="AO105" i="2" s="1"/>
  <c r="AN105" i="2" s="1"/>
  <c r="AL105" i="2"/>
  <c r="AK105" i="2"/>
  <c r="BB104" i="2"/>
  <c r="BA104" i="2"/>
  <c r="AW104" i="2"/>
  <c r="AX104" i="2" s="1"/>
  <c r="AV104" i="2"/>
  <c r="AQ104" i="2"/>
  <c r="AO104" i="2" s="1"/>
  <c r="AN104" i="2" s="1"/>
  <c r="AL104" i="2"/>
  <c r="AK104" i="2"/>
  <c r="BB103" i="2"/>
  <c r="BA103" i="2"/>
  <c r="AX103" i="2"/>
  <c r="AW103" i="2"/>
  <c r="AV103" i="2"/>
  <c r="AQ103" i="2"/>
  <c r="AO103" i="2" s="1"/>
  <c r="AN103" i="2" s="1"/>
  <c r="AL103" i="2"/>
  <c r="AK103" i="2"/>
  <c r="BB102" i="2"/>
  <c r="BA102" i="2"/>
  <c r="AW102" i="2"/>
  <c r="AX102" i="2" s="1"/>
  <c r="AV102" i="2"/>
  <c r="AQ102" i="2"/>
  <c r="AO102" i="2" s="1"/>
  <c r="AN102" i="2" s="1"/>
  <c r="AL102" i="2"/>
  <c r="AK102" i="2"/>
  <c r="BB101" i="2"/>
  <c r="BA101" i="2"/>
  <c r="AW101" i="2"/>
  <c r="AX101" i="2" s="1"/>
  <c r="AV101" i="2"/>
  <c r="AQ101" i="2"/>
  <c r="AO101" i="2" s="1"/>
  <c r="AN101" i="2" s="1"/>
  <c r="AL101" i="2"/>
  <c r="AK101" i="2"/>
  <c r="BB100" i="2"/>
  <c r="BA100" i="2"/>
  <c r="AW100" i="2"/>
  <c r="AX100" i="2" s="1"/>
  <c r="AV100" i="2"/>
  <c r="AQ100" i="2"/>
  <c r="AO100" i="2"/>
  <c r="AN100" i="2" s="1"/>
  <c r="AL100" i="2"/>
  <c r="AK100" i="2"/>
  <c r="BB99" i="2"/>
  <c r="BA99" i="2"/>
  <c r="AW99" i="2"/>
  <c r="AX99" i="2" s="1"/>
  <c r="AP99" i="2" s="1"/>
  <c r="AV99" i="2"/>
  <c r="AQ99" i="2"/>
  <c r="AO99" i="2" s="1"/>
  <c r="AN99" i="2" s="1"/>
  <c r="AL99" i="2"/>
  <c r="AK99" i="2"/>
  <c r="BB98" i="2"/>
  <c r="BA98" i="2"/>
  <c r="AW98" i="2"/>
  <c r="AX98" i="2" s="1"/>
  <c r="AV98" i="2"/>
  <c r="AQ98" i="2"/>
  <c r="AO98" i="2"/>
  <c r="AN98" i="2" s="1"/>
  <c r="AL98" i="2"/>
  <c r="AK98" i="2"/>
  <c r="BB97" i="2"/>
  <c r="BA97" i="2"/>
  <c r="AX97" i="2"/>
  <c r="AU97" i="2" s="1"/>
  <c r="AW97" i="2"/>
  <c r="AV97" i="2"/>
  <c r="AQ97" i="2"/>
  <c r="AO97" i="2" s="1"/>
  <c r="AN97" i="2" s="1"/>
  <c r="AL97" i="2"/>
  <c r="AK97" i="2"/>
  <c r="BB96" i="2"/>
  <c r="BA96" i="2"/>
  <c r="AW96" i="2"/>
  <c r="AX96" i="2" s="1"/>
  <c r="AV96" i="2"/>
  <c r="AQ96" i="2"/>
  <c r="AO96" i="2" s="1"/>
  <c r="AN96" i="2" s="1"/>
  <c r="AL96" i="2"/>
  <c r="AK96" i="2"/>
  <c r="BB95" i="2"/>
  <c r="BA95" i="2"/>
  <c r="AW95" i="2"/>
  <c r="AX95" i="2" s="1"/>
  <c r="AV95" i="2"/>
  <c r="AQ95" i="2"/>
  <c r="AO95" i="2"/>
  <c r="AN95" i="2" s="1"/>
  <c r="AL95" i="2"/>
  <c r="AK95" i="2"/>
  <c r="BB94" i="2"/>
  <c r="BA94" i="2"/>
  <c r="AX94" i="2"/>
  <c r="AU94" i="2" s="1"/>
  <c r="AW94" i="2"/>
  <c r="AV94" i="2"/>
  <c r="AQ94" i="2"/>
  <c r="AO94" i="2" s="1"/>
  <c r="AN94" i="2" s="1"/>
  <c r="AP94" i="2"/>
  <c r="AL94" i="2"/>
  <c r="AK94" i="2"/>
  <c r="BB93" i="2"/>
  <c r="BA93" i="2"/>
  <c r="AW93" i="2"/>
  <c r="AX93" i="2" s="1"/>
  <c r="AV93" i="2"/>
  <c r="AQ93" i="2"/>
  <c r="AO93" i="2" s="1"/>
  <c r="AN93" i="2" s="1"/>
  <c r="AL93" i="2"/>
  <c r="AK93" i="2"/>
  <c r="BB92" i="2"/>
  <c r="BA92" i="2"/>
  <c r="AX92" i="2"/>
  <c r="AU92" i="2" s="1"/>
  <c r="AW92" i="2"/>
  <c r="AV92" i="2"/>
  <c r="AQ92" i="2"/>
  <c r="AO92" i="2" s="1"/>
  <c r="AN92" i="2" s="1"/>
  <c r="AP92" i="2"/>
  <c r="AL92" i="2"/>
  <c r="AK92" i="2"/>
  <c r="BB91" i="2"/>
  <c r="BA91" i="2"/>
  <c r="AW91" i="2"/>
  <c r="AX91" i="2" s="1"/>
  <c r="AV91" i="2"/>
  <c r="AQ91" i="2"/>
  <c r="AO91" i="2" s="1"/>
  <c r="AN91" i="2" s="1"/>
  <c r="AL91" i="2"/>
  <c r="AK91" i="2"/>
  <c r="BB90" i="2"/>
  <c r="BA90" i="2"/>
  <c r="AW90" i="2"/>
  <c r="AX90" i="2" s="1"/>
  <c r="AP90" i="2" s="1"/>
  <c r="AV90" i="2"/>
  <c r="AQ90" i="2"/>
  <c r="AO90" i="2" s="1"/>
  <c r="AN90" i="2" s="1"/>
  <c r="AL90" i="2"/>
  <c r="AK90" i="2"/>
  <c r="BB89" i="2"/>
  <c r="BA89" i="2"/>
  <c r="AW89" i="2"/>
  <c r="AX89" i="2" s="1"/>
  <c r="AV89" i="2"/>
  <c r="AQ89" i="2"/>
  <c r="AO89" i="2"/>
  <c r="AN89" i="2"/>
  <c r="AL89" i="2"/>
  <c r="AK89" i="2"/>
  <c r="BB88" i="2"/>
  <c r="BA88" i="2"/>
  <c r="AW88" i="2"/>
  <c r="AX88" i="2" s="1"/>
  <c r="AV88" i="2"/>
  <c r="AQ88" i="2"/>
  <c r="AO88" i="2"/>
  <c r="AN88" i="2" s="1"/>
  <c r="AL88" i="2"/>
  <c r="AK88" i="2"/>
  <c r="BB87" i="2"/>
  <c r="BA87" i="2"/>
  <c r="AW87" i="2"/>
  <c r="AX87" i="2" s="1"/>
  <c r="AU87" i="2" s="1"/>
  <c r="AV87" i="2"/>
  <c r="AQ87" i="2"/>
  <c r="AO87" i="2"/>
  <c r="AN87" i="2" s="1"/>
  <c r="AL87" i="2"/>
  <c r="AK87" i="2"/>
  <c r="BB86" i="2"/>
  <c r="BA86" i="2"/>
  <c r="AX86" i="2"/>
  <c r="AU86" i="2" s="1"/>
  <c r="AW86" i="2"/>
  <c r="AV86" i="2"/>
  <c r="AQ86" i="2"/>
  <c r="AO86" i="2" s="1"/>
  <c r="AN86" i="2" s="1"/>
  <c r="AL86" i="2"/>
  <c r="AK86" i="2"/>
  <c r="BB85" i="2"/>
  <c r="BA85" i="2"/>
  <c r="AW85" i="2"/>
  <c r="AX85" i="2" s="1"/>
  <c r="AV85" i="2"/>
  <c r="AQ85" i="2"/>
  <c r="AO85" i="2" s="1"/>
  <c r="AN85" i="2" s="1"/>
  <c r="AL85" i="2"/>
  <c r="AK85" i="2"/>
  <c r="BB84" i="2"/>
  <c r="BA84" i="2"/>
  <c r="AW84" i="2"/>
  <c r="AX84" i="2" s="1"/>
  <c r="AV84" i="2"/>
  <c r="AQ84" i="2"/>
  <c r="AO84" i="2" s="1"/>
  <c r="AN84" i="2" s="1"/>
  <c r="AL84" i="2"/>
  <c r="AK84" i="2"/>
  <c r="BB83" i="2"/>
  <c r="BA83" i="2"/>
  <c r="AX83" i="2"/>
  <c r="AU83" i="2" s="1"/>
  <c r="AW83" i="2"/>
  <c r="AV83" i="2"/>
  <c r="AQ83" i="2"/>
  <c r="AO83" i="2" s="1"/>
  <c r="AN83" i="2" s="1"/>
  <c r="AL83" i="2"/>
  <c r="AK83" i="2"/>
  <c r="BB82" i="2"/>
  <c r="BA82" i="2"/>
  <c r="AW82" i="2"/>
  <c r="AX82" i="2" s="1"/>
  <c r="AP82" i="2" s="1"/>
  <c r="AV82" i="2"/>
  <c r="AU82" i="2"/>
  <c r="AQ82" i="2"/>
  <c r="AO82" i="2"/>
  <c r="AN82" i="2" s="1"/>
  <c r="AL82" i="2"/>
  <c r="AK82" i="2"/>
  <c r="BB81" i="2"/>
  <c r="BA81" i="2"/>
  <c r="AW81" i="2"/>
  <c r="AX81" i="2" s="1"/>
  <c r="AU81" i="2" s="1"/>
  <c r="AV81" i="2"/>
  <c r="AQ81" i="2"/>
  <c r="AO81" i="2" s="1"/>
  <c r="AN81" i="2" s="1"/>
  <c r="AL81" i="2"/>
  <c r="AK81" i="2"/>
  <c r="BB80" i="2"/>
  <c r="BA80" i="2"/>
  <c r="AW80" i="2"/>
  <c r="AX80" i="2" s="1"/>
  <c r="AV80" i="2"/>
  <c r="AQ80" i="2"/>
  <c r="AO80" i="2" s="1"/>
  <c r="AN80" i="2" s="1"/>
  <c r="AL80" i="2"/>
  <c r="AK80" i="2"/>
  <c r="BB79" i="2"/>
  <c r="BA79" i="2"/>
  <c r="AW79" i="2"/>
  <c r="AX79" i="2" s="1"/>
  <c r="AV79" i="2"/>
  <c r="AQ79" i="2"/>
  <c r="AO79" i="2" s="1"/>
  <c r="AN79" i="2" s="1"/>
  <c r="AL79" i="2"/>
  <c r="AK79" i="2"/>
  <c r="BB78" i="2"/>
  <c r="BA78" i="2"/>
  <c r="AX78" i="2"/>
  <c r="AU78" i="2" s="1"/>
  <c r="AW78" i="2"/>
  <c r="AV78" i="2"/>
  <c r="AQ78" i="2"/>
  <c r="AO78" i="2" s="1"/>
  <c r="AP78" i="2"/>
  <c r="AN78" i="2"/>
  <c r="AL78" i="2"/>
  <c r="AK78" i="2"/>
  <c r="BB77" i="2"/>
  <c r="BA77" i="2"/>
  <c r="AW77" i="2"/>
  <c r="AX77" i="2" s="1"/>
  <c r="AV77" i="2"/>
  <c r="AQ77" i="2"/>
  <c r="AO77" i="2" s="1"/>
  <c r="AN77" i="2" s="1"/>
  <c r="AL77" i="2"/>
  <c r="AK77" i="2"/>
  <c r="BB76" i="2"/>
  <c r="BA76" i="2"/>
  <c r="AW76" i="2"/>
  <c r="AX76" i="2" s="1"/>
  <c r="AV76" i="2"/>
  <c r="AQ76" i="2"/>
  <c r="AO76" i="2"/>
  <c r="AN76" i="2" s="1"/>
  <c r="AL76" i="2"/>
  <c r="AK76" i="2"/>
  <c r="BB75" i="2"/>
  <c r="BA75" i="2"/>
  <c r="AW75" i="2"/>
  <c r="AX75" i="2" s="1"/>
  <c r="AU75" i="2" s="1"/>
  <c r="AV75" i="2"/>
  <c r="AQ75" i="2"/>
  <c r="AO75" i="2" s="1"/>
  <c r="AN75" i="2" s="1"/>
  <c r="AP75" i="2"/>
  <c r="AL75" i="2"/>
  <c r="AK75" i="2"/>
  <c r="BB74" i="2"/>
  <c r="BA74" i="2"/>
  <c r="AW74" i="2"/>
  <c r="AX74" i="2" s="1"/>
  <c r="AP74" i="2" s="1"/>
  <c r="AV74" i="2"/>
  <c r="AQ74" i="2"/>
  <c r="AO74" i="2" s="1"/>
  <c r="AN74" i="2" s="1"/>
  <c r="AL74" i="2"/>
  <c r="AK74" i="2"/>
  <c r="BB73" i="2"/>
  <c r="BA73" i="2"/>
  <c r="AW73" i="2"/>
  <c r="AX73" i="2" s="1"/>
  <c r="AV73" i="2"/>
  <c r="AQ73" i="2"/>
  <c r="AO73" i="2"/>
  <c r="AN73" i="2" s="1"/>
  <c r="AL73" i="2"/>
  <c r="AK73" i="2"/>
  <c r="BB72" i="2"/>
  <c r="BA72" i="2"/>
  <c r="AX72" i="2"/>
  <c r="AW72" i="2"/>
  <c r="AV72" i="2"/>
  <c r="AQ72" i="2"/>
  <c r="AO72" i="2"/>
  <c r="AN72" i="2" s="1"/>
  <c r="AL72" i="2"/>
  <c r="AK72" i="2"/>
  <c r="BB71" i="2"/>
  <c r="BA71" i="2"/>
  <c r="AW71" i="2"/>
  <c r="AX71" i="2" s="1"/>
  <c r="AV71" i="2"/>
  <c r="AQ71" i="2"/>
  <c r="AO71" i="2" s="1"/>
  <c r="AN71" i="2" s="1"/>
  <c r="AL71" i="2"/>
  <c r="AK71" i="2"/>
  <c r="BB70" i="2"/>
  <c r="BA70" i="2"/>
  <c r="AX70" i="2"/>
  <c r="AU70" i="2" s="1"/>
  <c r="AW70" i="2"/>
  <c r="AV70" i="2"/>
  <c r="AQ70" i="2"/>
  <c r="AO70" i="2" s="1"/>
  <c r="AN70" i="2" s="1"/>
  <c r="AP70" i="2"/>
  <c r="AL70" i="2"/>
  <c r="AK70" i="2"/>
  <c r="BB69" i="2"/>
  <c r="BA69" i="2"/>
  <c r="AW69" i="2"/>
  <c r="AX69" i="2" s="1"/>
  <c r="AV69" i="2"/>
  <c r="AQ69" i="2"/>
  <c r="AO69" i="2"/>
  <c r="AN69" i="2" s="1"/>
  <c r="AL69" i="2"/>
  <c r="AK69" i="2"/>
  <c r="BB68" i="2"/>
  <c r="BA68" i="2"/>
  <c r="AW68" i="2"/>
  <c r="AX68" i="2" s="1"/>
  <c r="AV68" i="2"/>
  <c r="AQ68" i="2"/>
  <c r="AO68" i="2" s="1"/>
  <c r="AN68" i="2" s="1"/>
  <c r="AL68" i="2"/>
  <c r="AK68" i="2"/>
  <c r="BB67" i="2"/>
  <c r="BA67" i="2"/>
  <c r="AX67" i="2"/>
  <c r="AP67" i="2" s="1"/>
  <c r="AW67" i="2"/>
  <c r="AV67" i="2"/>
  <c r="AQ67" i="2"/>
  <c r="AO67" i="2" s="1"/>
  <c r="AN67" i="2"/>
  <c r="AL67" i="2"/>
  <c r="AK67" i="2"/>
  <c r="BB66" i="2"/>
  <c r="BA66" i="2"/>
  <c r="AW66" i="2"/>
  <c r="AX66" i="2" s="1"/>
  <c r="AV66" i="2"/>
  <c r="AQ66" i="2"/>
  <c r="AO66" i="2" s="1"/>
  <c r="AN66" i="2" s="1"/>
  <c r="AL66" i="2"/>
  <c r="AK66" i="2"/>
  <c r="BB65" i="2"/>
  <c r="BA65" i="2"/>
  <c r="AW65" i="2"/>
  <c r="AX65" i="2" s="1"/>
  <c r="AV65" i="2"/>
  <c r="AQ65" i="2"/>
  <c r="AO65" i="2"/>
  <c r="AN65" i="2" s="1"/>
  <c r="AL65" i="2"/>
  <c r="AK65" i="2"/>
  <c r="BB64" i="2"/>
  <c r="BA64" i="2"/>
  <c r="AX64" i="2"/>
  <c r="AU64" i="2" s="1"/>
  <c r="AW64" i="2"/>
  <c r="AV64" i="2"/>
  <c r="AQ64" i="2"/>
  <c r="AO64" i="2" s="1"/>
  <c r="AN64" i="2" s="1"/>
  <c r="AL64" i="2"/>
  <c r="AK64" i="2"/>
  <c r="BB63" i="2"/>
  <c r="BA63" i="2"/>
  <c r="AX63" i="2"/>
  <c r="AU63" i="2" s="1"/>
  <c r="AW63" i="2"/>
  <c r="AV63" i="2"/>
  <c r="AQ63" i="2"/>
  <c r="AO63" i="2" s="1"/>
  <c r="AN63" i="2" s="1"/>
  <c r="AP63" i="2"/>
  <c r="AL63" i="2"/>
  <c r="AK63" i="2"/>
  <c r="BB62" i="2"/>
  <c r="BA62" i="2"/>
  <c r="AW62" i="2"/>
  <c r="AX62" i="2" s="1"/>
  <c r="AV62" i="2"/>
  <c r="AQ62" i="2"/>
  <c r="AO62" i="2"/>
  <c r="AN62" i="2" s="1"/>
  <c r="AL62" i="2"/>
  <c r="AK62" i="2"/>
  <c r="BB61" i="2"/>
  <c r="BA61" i="2"/>
  <c r="AW61" i="2"/>
  <c r="AX61" i="2" s="1"/>
  <c r="AV61" i="2"/>
  <c r="AQ61" i="2"/>
  <c r="AO61" i="2"/>
  <c r="AN61" i="2" s="1"/>
  <c r="AL61" i="2"/>
  <c r="AK61" i="2"/>
  <c r="BB60" i="2"/>
  <c r="BA60" i="2"/>
  <c r="AW60" i="2"/>
  <c r="AX60" i="2" s="1"/>
  <c r="AU60" i="2" s="1"/>
  <c r="AV60" i="2"/>
  <c r="AQ60" i="2"/>
  <c r="AO60" i="2" s="1"/>
  <c r="AN60" i="2" s="1"/>
  <c r="AP60" i="2"/>
  <c r="AL60" i="2"/>
  <c r="AK60" i="2"/>
  <c r="BB59" i="2"/>
  <c r="BA59" i="2"/>
  <c r="AX59" i="2"/>
  <c r="AP59" i="2" s="1"/>
  <c r="AW59" i="2"/>
  <c r="AV59" i="2"/>
  <c r="AU59" i="2"/>
  <c r="AQ59" i="2"/>
  <c r="AO59" i="2" s="1"/>
  <c r="AN59" i="2" s="1"/>
  <c r="AL59" i="2"/>
  <c r="AK59" i="2"/>
  <c r="BB58" i="2"/>
  <c r="BA58" i="2"/>
  <c r="AW58" i="2"/>
  <c r="AX58" i="2" s="1"/>
  <c r="AV58" i="2"/>
  <c r="AQ58" i="2"/>
  <c r="AO58" i="2" s="1"/>
  <c r="AN58" i="2" s="1"/>
  <c r="AL58" i="2"/>
  <c r="AK58" i="2"/>
  <c r="BB57" i="2"/>
  <c r="BA57" i="2"/>
  <c r="AW57" i="2"/>
  <c r="AX57" i="2" s="1"/>
  <c r="AV57" i="2"/>
  <c r="AQ57" i="2"/>
  <c r="AO57" i="2"/>
  <c r="AN57" i="2" s="1"/>
  <c r="AL57" i="2"/>
  <c r="AK57" i="2"/>
  <c r="BB56" i="2"/>
  <c r="BA56" i="2"/>
  <c r="AW56" i="2"/>
  <c r="AX56" i="2" s="1"/>
  <c r="AU56" i="2" s="1"/>
  <c r="AV56" i="2"/>
  <c r="AQ56" i="2"/>
  <c r="AO56" i="2" s="1"/>
  <c r="AN56" i="2" s="1"/>
  <c r="AL56" i="2"/>
  <c r="AK56" i="2"/>
  <c r="BB55" i="2"/>
  <c r="BA55" i="2"/>
  <c r="AW55" i="2"/>
  <c r="AX55" i="2" s="1"/>
  <c r="AV55" i="2"/>
  <c r="AQ55" i="2"/>
  <c r="AO55" i="2" s="1"/>
  <c r="AN55" i="2" s="1"/>
  <c r="AL55" i="2"/>
  <c r="AK55" i="2"/>
  <c r="BB54" i="2"/>
  <c r="BA54" i="2"/>
  <c r="AW54" i="2"/>
  <c r="AX54" i="2" s="1"/>
  <c r="AV54" i="2"/>
  <c r="AQ54" i="2"/>
  <c r="AO54" i="2"/>
  <c r="AN54" i="2" s="1"/>
  <c r="AL54" i="2"/>
  <c r="AK54" i="2"/>
  <c r="BB53" i="2"/>
  <c r="BA53" i="2"/>
  <c r="AX53" i="2"/>
  <c r="AW53" i="2"/>
  <c r="AV53" i="2"/>
  <c r="AQ53" i="2"/>
  <c r="AO53" i="2" s="1"/>
  <c r="AN53" i="2" s="1"/>
  <c r="AL53" i="2"/>
  <c r="AK53" i="2"/>
  <c r="BB52" i="2"/>
  <c r="BA52" i="2"/>
  <c r="AW52" i="2"/>
  <c r="AX52" i="2" s="1"/>
  <c r="AV52" i="2"/>
  <c r="AQ52" i="2"/>
  <c r="AO52" i="2" s="1"/>
  <c r="AN52" i="2" s="1"/>
  <c r="AL52" i="2"/>
  <c r="AK52" i="2"/>
  <c r="BB51" i="2"/>
  <c r="BA51" i="2"/>
  <c r="AX51" i="2"/>
  <c r="AU51" i="2" s="1"/>
  <c r="AW51" i="2"/>
  <c r="AV51" i="2"/>
  <c r="AQ51" i="2"/>
  <c r="AO51" i="2" s="1"/>
  <c r="AN51" i="2" s="1"/>
  <c r="AL51" i="2"/>
  <c r="AK51" i="2"/>
  <c r="BB50" i="2"/>
  <c r="BA50" i="2"/>
  <c r="AW50" i="2"/>
  <c r="AX50" i="2" s="1"/>
  <c r="AV50" i="2"/>
  <c r="AQ50" i="2"/>
  <c r="AO50" i="2" s="1"/>
  <c r="AN50" i="2" s="1"/>
  <c r="AL50" i="2"/>
  <c r="AK50" i="2"/>
  <c r="BB49" i="2"/>
  <c r="BA49" i="2"/>
  <c r="AW49" i="2"/>
  <c r="AX49" i="2" s="1"/>
  <c r="AV49" i="2"/>
  <c r="AQ49" i="2"/>
  <c r="AO49" i="2"/>
  <c r="AN49" i="2" s="1"/>
  <c r="AL49" i="2"/>
  <c r="AK49" i="2"/>
  <c r="BB48" i="2"/>
  <c r="BA48" i="2"/>
  <c r="AW48" i="2"/>
  <c r="AX48" i="2" s="1"/>
  <c r="AU48" i="2" s="1"/>
  <c r="AV48" i="2"/>
  <c r="AQ48" i="2"/>
  <c r="AO48" i="2"/>
  <c r="AN48" i="2" s="1"/>
  <c r="AL48" i="2"/>
  <c r="AK48" i="2"/>
  <c r="BB47" i="2"/>
  <c r="BA47" i="2"/>
  <c r="AX47" i="2"/>
  <c r="AU47" i="2" s="1"/>
  <c r="AW47" i="2"/>
  <c r="AV47" i="2"/>
  <c r="AQ47" i="2"/>
  <c r="AO47" i="2" s="1"/>
  <c r="AN47" i="2" s="1"/>
  <c r="AL47" i="2"/>
  <c r="AK47" i="2"/>
  <c r="BB46" i="2"/>
  <c r="BA46" i="2"/>
  <c r="AW46" i="2"/>
  <c r="AX46" i="2" s="1"/>
  <c r="AV46" i="2"/>
  <c r="AQ46" i="2"/>
  <c r="AO46" i="2" s="1"/>
  <c r="AN46" i="2" s="1"/>
  <c r="AL46" i="2"/>
  <c r="AK46" i="2"/>
  <c r="BB45" i="2"/>
  <c r="BA45" i="2"/>
  <c r="AW45" i="2"/>
  <c r="AX45" i="2" s="1"/>
  <c r="AV45" i="2"/>
  <c r="AQ45" i="2"/>
  <c r="AO45" i="2" s="1"/>
  <c r="AN45" i="2" s="1"/>
  <c r="AL45" i="2"/>
  <c r="AK45" i="2"/>
  <c r="BB44" i="2"/>
  <c r="BA44" i="2"/>
  <c r="AW44" i="2"/>
  <c r="AX44" i="2" s="1"/>
  <c r="AV44" i="2"/>
  <c r="AQ44" i="2"/>
  <c r="AO44" i="2" s="1"/>
  <c r="AN44" i="2" s="1"/>
  <c r="AL44" i="2"/>
  <c r="AK44" i="2"/>
  <c r="BB43" i="2"/>
  <c r="BA43" i="2"/>
  <c r="AX43" i="2"/>
  <c r="AW43" i="2"/>
  <c r="AV43" i="2"/>
  <c r="AQ43" i="2"/>
  <c r="AO43" i="2" s="1"/>
  <c r="AN43" i="2" s="1"/>
  <c r="AL43" i="2"/>
  <c r="AK43" i="2"/>
  <c r="BB42" i="2"/>
  <c r="BA42" i="2"/>
  <c r="AW42" i="2"/>
  <c r="AX42" i="2" s="1"/>
  <c r="AV42" i="2"/>
  <c r="AQ42" i="2"/>
  <c r="AO42" i="2" s="1"/>
  <c r="AN42" i="2" s="1"/>
  <c r="AL42" i="2"/>
  <c r="AK42" i="2"/>
  <c r="BB41" i="2"/>
  <c r="BA41" i="2"/>
  <c r="AW41" i="2"/>
  <c r="AX41" i="2" s="1"/>
  <c r="AV41" i="2"/>
  <c r="AQ41" i="2"/>
  <c r="AO41" i="2"/>
  <c r="AN41" i="2" s="1"/>
  <c r="AL41" i="2"/>
  <c r="AK41" i="2"/>
  <c r="BB40" i="2"/>
  <c r="BA40" i="2"/>
  <c r="AX40" i="2"/>
  <c r="AU40" i="2" s="1"/>
  <c r="AW40" i="2"/>
  <c r="AV40" i="2"/>
  <c r="AQ40" i="2"/>
  <c r="AO40" i="2" s="1"/>
  <c r="AN40" i="2" s="1"/>
  <c r="AL40" i="2"/>
  <c r="AK40" i="2"/>
  <c r="BB39" i="2"/>
  <c r="BA39" i="2"/>
  <c r="AX39" i="2"/>
  <c r="AU39" i="2" s="1"/>
  <c r="AW39" i="2"/>
  <c r="AV39" i="2"/>
  <c r="AQ39" i="2"/>
  <c r="AO39" i="2" s="1"/>
  <c r="AN39" i="2" s="1"/>
  <c r="AL39" i="2"/>
  <c r="AK39" i="2"/>
  <c r="BB38" i="2"/>
  <c r="BA38" i="2"/>
  <c r="AW38" i="2"/>
  <c r="AX38" i="2" s="1"/>
  <c r="AV38" i="2"/>
  <c r="AQ38" i="2"/>
  <c r="AO38" i="2" s="1"/>
  <c r="AN38" i="2" s="1"/>
  <c r="AL38" i="2"/>
  <c r="AK38" i="2"/>
  <c r="BB37" i="2"/>
  <c r="BA37" i="2"/>
  <c r="AW37" i="2"/>
  <c r="AX37" i="2" s="1"/>
  <c r="AU37" i="2" s="1"/>
  <c r="AV37" i="2"/>
  <c r="AQ37" i="2"/>
  <c r="AO37" i="2" s="1"/>
  <c r="AN37" i="2" s="1"/>
  <c r="AP37" i="2"/>
  <c r="AL37" i="2"/>
  <c r="AK37" i="2"/>
  <c r="BB36" i="2"/>
  <c r="BA36" i="2"/>
  <c r="AW36" i="2"/>
  <c r="AX36" i="2" s="1"/>
  <c r="AV36" i="2"/>
  <c r="AQ36" i="2"/>
  <c r="AO36" i="2" s="1"/>
  <c r="AN36" i="2" s="1"/>
  <c r="AL36" i="2"/>
  <c r="AK36" i="2"/>
  <c r="BB35" i="2"/>
  <c r="BA35" i="2"/>
  <c r="AX35" i="2"/>
  <c r="AP35" i="2" s="1"/>
  <c r="AW35" i="2"/>
  <c r="AV35" i="2"/>
  <c r="AQ35" i="2"/>
  <c r="AO35" i="2" s="1"/>
  <c r="AN35" i="2" s="1"/>
  <c r="AL35" i="2"/>
  <c r="AK35" i="2"/>
  <c r="BB34" i="2"/>
  <c r="BA34" i="2"/>
  <c r="AW34" i="2"/>
  <c r="AX34" i="2" s="1"/>
  <c r="AV34" i="2"/>
  <c r="AQ34" i="2"/>
  <c r="AO34" i="2" s="1"/>
  <c r="AN34" i="2" s="1"/>
  <c r="AL34" i="2"/>
  <c r="AK34" i="2"/>
  <c r="BB33" i="2"/>
  <c r="BA33" i="2"/>
  <c r="AW33" i="2"/>
  <c r="AX33" i="2" s="1"/>
  <c r="AV33" i="2"/>
  <c r="AQ33" i="2"/>
  <c r="AO33" i="2" s="1"/>
  <c r="AN33" i="2" s="1"/>
  <c r="AL33" i="2"/>
  <c r="AK33" i="2"/>
  <c r="BB32" i="2"/>
  <c r="BA32" i="2"/>
  <c r="AX32" i="2"/>
  <c r="AU32" i="2" s="1"/>
  <c r="AW32" i="2"/>
  <c r="AV32" i="2"/>
  <c r="AQ32" i="2"/>
  <c r="AO32" i="2"/>
  <c r="AN32" i="2" s="1"/>
  <c r="AL32" i="2"/>
  <c r="AK32" i="2"/>
  <c r="BB31" i="2"/>
  <c r="BA31" i="2"/>
  <c r="AW31" i="2"/>
  <c r="AX31" i="2" s="1"/>
  <c r="AV31" i="2"/>
  <c r="AQ31" i="2"/>
  <c r="AO31" i="2" s="1"/>
  <c r="AN31" i="2" s="1"/>
  <c r="AL31" i="2"/>
  <c r="AK31" i="2"/>
  <c r="BB30" i="2"/>
  <c r="BA30" i="2"/>
  <c r="AW30" i="2"/>
  <c r="AX30" i="2" s="1"/>
  <c r="AV30" i="2"/>
  <c r="AQ30" i="2"/>
  <c r="AO30" i="2"/>
  <c r="AN30" i="2" s="1"/>
  <c r="AL30" i="2"/>
  <c r="AK30" i="2"/>
  <c r="BB29" i="2"/>
  <c r="BA29" i="2"/>
  <c r="AX29" i="2"/>
  <c r="AU29" i="2" s="1"/>
  <c r="AW29" i="2"/>
  <c r="AV29" i="2"/>
  <c r="AQ29" i="2"/>
  <c r="AO29" i="2" s="1"/>
  <c r="AN29" i="2" s="1"/>
  <c r="AL29" i="2"/>
  <c r="AK29" i="2"/>
  <c r="BB28" i="2"/>
  <c r="BA28" i="2"/>
  <c r="AW28" i="2"/>
  <c r="AX28" i="2" s="1"/>
  <c r="AV28" i="2"/>
  <c r="AQ28" i="2"/>
  <c r="AO28" i="2" s="1"/>
  <c r="AN28" i="2" s="1"/>
  <c r="AL28" i="2"/>
  <c r="AK28" i="2"/>
  <c r="BB27" i="2"/>
  <c r="BA27" i="2"/>
  <c r="AX27" i="2"/>
  <c r="AW27" i="2"/>
  <c r="AV27" i="2"/>
  <c r="AU27" i="2"/>
  <c r="AQ27" i="2"/>
  <c r="AO27" i="2" s="1"/>
  <c r="AN27" i="2" s="1"/>
  <c r="AP27" i="2"/>
  <c r="AL27" i="2"/>
  <c r="AK27" i="2"/>
  <c r="BB26" i="2"/>
  <c r="BA26" i="2"/>
  <c r="AW26" i="2"/>
  <c r="AX26" i="2" s="1"/>
  <c r="AV26" i="2"/>
  <c r="AQ26" i="2"/>
  <c r="AO26" i="2" s="1"/>
  <c r="AN26" i="2" s="1"/>
  <c r="AL26" i="2"/>
  <c r="AK26" i="2"/>
  <c r="BB25" i="2"/>
  <c r="BA25" i="2"/>
  <c r="AW25" i="2"/>
  <c r="AX25" i="2" s="1"/>
  <c r="AV25" i="2"/>
  <c r="AQ25" i="2"/>
  <c r="AO25" i="2" s="1"/>
  <c r="AN25" i="2" s="1"/>
  <c r="AL25" i="2"/>
  <c r="AK25" i="2"/>
  <c r="BB24" i="2"/>
  <c r="BA24" i="2"/>
  <c r="AW24" i="2"/>
  <c r="AX24" i="2" s="1"/>
  <c r="AU24" i="2" s="1"/>
  <c r="AV24" i="2"/>
  <c r="AQ24" i="2"/>
  <c r="AO24" i="2"/>
  <c r="AN24" i="2" s="1"/>
  <c r="AL24" i="2"/>
  <c r="AK24" i="2"/>
  <c r="BB23" i="2"/>
  <c r="BA23" i="2"/>
  <c r="AW23" i="2"/>
  <c r="AX23" i="2" s="1"/>
  <c r="AV23" i="2"/>
  <c r="AQ23" i="2"/>
  <c r="AO23" i="2" s="1"/>
  <c r="AN23" i="2" s="1"/>
  <c r="AL23" i="2"/>
  <c r="AK23" i="2"/>
  <c r="BB22" i="2"/>
  <c r="BA22" i="2"/>
  <c r="AW22" i="2"/>
  <c r="AX22" i="2" s="1"/>
  <c r="AV22" i="2"/>
  <c r="AQ22" i="2"/>
  <c r="AO22" i="2" s="1"/>
  <c r="AN22" i="2" s="1"/>
  <c r="AL22" i="2"/>
  <c r="AK22" i="2"/>
  <c r="BB21" i="2"/>
  <c r="BA21" i="2"/>
  <c r="AX21" i="2"/>
  <c r="AU21" i="2" s="1"/>
  <c r="AW21" i="2"/>
  <c r="AV21" i="2"/>
  <c r="AQ21" i="2"/>
  <c r="AO21" i="2" s="1"/>
  <c r="AN21" i="2" s="1"/>
  <c r="AL21" i="2"/>
  <c r="AK21" i="2"/>
  <c r="BB20" i="2"/>
  <c r="BA20" i="2"/>
  <c r="AW20" i="2"/>
  <c r="AX20" i="2" s="1"/>
  <c r="AV20" i="2"/>
  <c r="AQ20" i="2"/>
  <c r="AO20" i="2" s="1"/>
  <c r="AN20" i="2" s="1"/>
  <c r="AL20" i="2"/>
  <c r="AK20" i="2"/>
  <c r="BB19" i="2"/>
  <c r="BA19" i="2"/>
  <c r="AX19" i="2"/>
  <c r="AU19" i="2" s="1"/>
  <c r="AW19" i="2"/>
  <c r="AV19" i="2"/>
  <c r="AQ19" i="2"/>
  <c r="AO19" i="2" s="1"/>
  <c r="AN19" i="2" s="1"/>
  <c r="AL19" i="2"/>
  <c r="AK19" i="2"/>
  <c r="BB18" i="2"/>
  <c r="BA18" i="2"/>
  <c r="AW18" i="2"/>
  <c r="AX18" i="2" s="1"/>
  <c r="AV18" i="2"/>
  <c r="AQ18" i="2"/>
  <c r="AO18" i="2" s="1"/>
  <c r="AN18" i="2" s="1"/>
  <c r="AL18" i="2"/>
  <c r="AK18" i="2"/>
  <c r="BB17" i="2"/>
  <c r="BA17" i="2"/>
  <c r="AW17" i="2"/>
  <c r="AX17" i="2" s="1"/>
  <c r="AV17" i="2"/>
  <c r="AQ17" i="2"/>
  <c r="AO17" i="2" s="1"/>
  <c r="AN17" i="2" s="1"/>
  <c r="AL17" i="2"/>
  <c r="AK17" i="2"/>
  <c r="BB16" i="2"/>
  <c r="BA16" i="2"/>
  <c r="AW16" i="2"/>
  <c r="AX16" i="2" s="1"/>
  <c r="AV16" i="2"/>
  <c r="AQ16" i="2"/>
  <c r="AO16" i="2"/>
  <c r="AN16" i="2" s="1"/>
  <c r="AL16" i="2"/>
  <c r="AK16" i="2"/>
  <c r="BB15" i="2"/>
  <c r="BA15" i="2"/>
  <c r="AX15" i="2"/>
  <c r="AU15" i="2" s="1"/>
  <c r="AW15" i="2"/>
  <c r="AV15" i="2"/>
  <c r="AQ15" i="2"/>
  <c r="AO15" i="2" s="1"/>
  <c r="AN15" i="2" s="1"/>
  <c r="AL15" i="2"/>
  <c r="AK15" i="2"/>
  <c r="BB14" i="2"/>
  <c r="BA14" i="2"/>
  <c r="AW14" i="2"/>
  <c r="AX14" i="2" s="1"/>
  <c r="AV14" i="2"/>
  <c r="AQ14" i="2"/>
  <c r="AO14" i="2" s="1"/>
  <c r="AN14" i="2" s="1"/>
  <c r="AL14" i="2"/>
  <c r="AK14" i="2"/>
  <c r="BB13" i="2"/>
  <c r="BA13" i="2"/>
  <c r="AX13" i="2"/>
  <c r="AU13" i="2" s="1"/>
  <c r="AW13" i="2"/>
  <c r="AV13" i="2"/>
  <c r="AQ13" i="2"/>
  <c r="AO13" i="2" s="1"/>
  <c r="AN13" i="2" s="1"/>
  <c r="AL13" i="2"/>
  <c r="AK13" i="2"/>
  <c r="BB12" i="2"/>
  <c r="BA12" i="2"/>
  <c r="AW12" i="2"/>
  <c r="AX12" i="2" s="1"/>
  <c r="AV12" i="2"/>
  <c r="AQ12" i="2"/>
  <c r="AO12" i="2" s="1"/>
  <c r="AN12" i="2" s="1"/>
  <c r="AL12" i="2"/>
  <c r="AK12" i="2"/>
  <c r="BB11" i="2"/>
  <c r="BA11" i="2"/>
  <c r="AX11" i="2"/>
  <c r="AW11" i="2"/>
  <c r="AV11" i="2"/>
  <c r="AU11" i="2"/>
  <c r="AQ11" i="2"/>
  <c r="AO11" i="2" s="1"/>
  <c r="AN11" i="2" s="1"/>
  <c r="AP11" i="2"/>
  <c r="AL11" i="2"/>
  <c r="AK11" i="2"/>
  <c r="BB10" i="2"/>
  <c r="BA10" i="2"/>
  <c r="AW10" i="2"/>
  <c r="AX10" i="2" s="1"/>
  <c r="AV10" i="2"/>
  <c r="AQ10" i="2"/>
  <c r="AO10" i="2" s="1"/>
  <c r="AN10" i="2" s="1"/>
  <c r="AL10" i="2"/>
  <c r="AK10" i="2"/>
  <c r="BB9" i="2"/>
  <c r="BA9" i="2"/>
  <c r="AW9" i="2"/>
  <c r="AX9" i="2" s="1"/>
  <c r="AV9" i="2"/>
  <c r="AQ9" i="2"/>
  <c r="AO9" i="2" s="1"/>
  <c r="AN9" i="2" s="1"/>
  <c r="AL9" i="2"/>
  <c r="AK9" i="2"/>
  <c r="BB8" i="2"/>
  <c r="BA8" i="2"/>
  <c r="AW8" i="2"/>
  <c r="AX8" i="2" s="1"/>
  <c r="AU8" i="2" s="1"/>
  <c r="AV8" i="2"/>
  <c r="AQ8" i="2"/>
  <c r="AO8" i="2"/>
  <c r="AN8" i="2" s="1"/>
  <c r="AL8" i="2"/>
  <c r="AK8" i="2"/>
  <c r="BB7" i="2"/>
  <c r="BA7" i="2"/>
  <c r="AW7" i="2"/>
  <c r="AX7" i="2" s="1"/>
  <c r="AV7" i="2"/>
  <c r="AQ7" i="2"/>
  <c r="AO7" i="2" s="1"/>
  <c r="AN7" i="2" s="1"/>
  <c r="AL7" i="2"/>
  <c r="AK7" i="2"/>
  <c r="BB6" i="2"/>
  <c r="BA6" i="2"/>
  <c r="AW6" i="2"/>
  <c r="AX6" i="2" s="1"/>
  <c r="AV6" i="2"/>
  <c r="AQ6" i="2"/>
  <c r="AO6" i="2" s="1"/>
  <c r="AN6" i="2" s="1"/>
  <c r="AL6" i="2"/>
  <c r="AK6" i="2"/>
  <c r="BB5" i="2"/>
  <c r="BA5" i="2"/>
  <c r="AW5" i="2"/>
  <c r="AX5" i="2" s="1"/>
  <c r="AV5" i="2"/>
  <c r="AQ5" i="2"/>
  <c r="AO5" i="2" s="1"/>
  <c r="AN5" i="2" s="1"/>
  <c r="AL5" i="2"/>
  <c r="AK5" i="2"/>
  <c r="BB4" i="2"/>
  <c r="BA4" i="2"/>
  <c r="AW4" i="2"/>
  <c r="AX4" i="2" s="1"/>
  <c r="AV4" i="2"/>
  <c r="AQ4" i="2"/>
  <c r="AO4" i="2" s="1"/>
  <c r="AN4" i="2" s="1"/>
  <c r="AL4" i="2"/>
  <c r="AK4" i="2"/>
  <c r="BB3" i="2"/>
  <c r="BA3" i="2"/>
  <c r="AW3" i="2"/>
  <c r="AX3" i="2" s="1"/>
  <c r="AV3" i="2"/>
  <c r="AQ3" i="2"/>
  <c r="AO3" i="2" s="1"/>
  <c r="AN3" i="2" s="1"/>
  <c r="AL3" i="2"/>
  <c r="AK3" i="2"/>
  <c r="BB2" i="2"/>
  <c r="BA2" i="2"/>
  <c r="AW2" i="2"/>
  <c r="AX2" i="2" s="1"/>
  <c r="AV2" i="2"/>
  <c r="AQ2" i="2"/>
  <c r="AO2" i="2" s="1"/>
  <c r="AN2" i="2" s="1"/>
  <c r="AL2" i="2"/>
  <c r="AK2" i="2"/>
  <c r="AU31" i="2" l="1"/>
  <c r="AP31" i="2"/>
  <c r="AU36" i="2"/>
  <c r="AP36" i="2"/>
  <c r="AU23" i="2"/>
  <c r="AP23" i="2"/>
  <c r="AU7" i="2"/>
  <c r="AP7" i="2"/>
  <c r="AU28" i="2"/>
  <c r="AP28" i="2"/>
  <c r="AU5" i="2"/>
  <c r="AP5" i="2"/>
  <c r="AU44" i="2"/>
  <c r="AP44" i="2"/>
  <c r="AU16" i="2"/>
  <c r="AP16" i="2"/>
  <c r="AU20" i="2"/>
  <c r="AP20" i="2"/>
  <c r="AP3" i="2"/>
  <c r="AU3" i="2"/>
  <c r="AU79" i="2"/>
  <c r="AP79" i="2"/>
  <c r="AU55" i="2"/>
  <c r="AP55" i="2"/>
  <c r="AU137" i="2"/>
  <c r="AP137" i="2"/>
  <c r="AU223" i="2"/>
  <c r="AP223" i="2"/>
  <c r="AU288" i="2"/>
  <c r="AP288" i="2"/>
  <c r="AP13" i="2"/>
  <c r="AP15" i="2"/>
  <c r="AP39" i="2"/>
  <c r="AP47" i="2"/>
  <c r="AP51" i="2"/>
  <c r="AU72" i="2"/>
  <c r="AP72" i="2"/>
  <c r="AU73" i="2"/>
  <c r="AP73" i="2"/>
  <c r="AU76" i="2"/>
  <c r="AP76" i="2"/>
  <c r="AU95" i="2"/>
  <c r="AP95" i="2"/>
  <c r="AU142" i="2"/>
  <c r="AP142" i="2"/>
  <c r="AU156" i="2"/>
  <c r="AP156" i="2"/>
  <c r="AU164" i="2"/>
  <c r="AP164" i="2"/>
  <c r="AU224" i="2"/>
  <c r="AP224" i="2"/>
  <c r="AU246" i="2"/>
  <c r="AP246" i="2"/>
  <c r="AU290" i="2"/>
  <c r="AP290" i="2"/>
  <c r="AU311" i="2"/>
  <c r="AP311" i="2"/>
  <c r="AU312" i="2"/>
  <c r="AP312" i="2"/>
  <c r="AU131" i="2"/>
  <c r="AP131" i="2"/>
  <c r="AP19" i="2"/>
  <c r="AU115" i="2"/>
  <c r="AP115" i="2"/>
  <c r="AU135" i="2"/>
  <c r="AP135" i="2"/>
  <c r="AU140" i="2"/>
  <c r="AP140" i="2"/>
  <c r="AU194" i="2"/>
  <c r="AU222" i="2"/>
  <c r="AP222" i="2"/>
  <c r="AU240" i="2"/>
  <c r="AP240" i="2"/>
  <c r="AU285" i="2"/>
  <c r="AP285" i="2"/>
  <c r="AU309" i="2"/>
  <c r="AP309" i="2"/>
  <c r="AU89" i="2"/>
  <c r="AP89" i="2"/>
  <c r="AP29" i="2"/>
  <c r="AU43" i="2"/>
  <c r="AP43" i="2"/>
  <c r="AU45" i="2"/>
  <c r="AP45" i="2"/>
  <c r="AU52" i="2"/>
  <c r="AP52" i="2"/>
  <c r="AU67" i="2"/>
  <c r="AU190" i="2"/>
  <c r="AP190" i="2"/>
  <c r="AU215" i="2"/>
  <c r="AP215" i="2"/>
  <c r="AU239" i="2"/>
  <c r="AP239" i="2"/>
  <c r="AU271" i="2"/>
  <c r="AP271" i="2"/>
  <c r="AU279" i="2"/>
  <c r="AP279" i="2"/>
  <c r="AU284" i="2"/>
  <c r="AP284" i="2"/>
  <c r="AU300" i="2"/>
  <c r="AP300" i="2"/>
  <c r="AU319" i="2"/>
  <c r="AP319" i="2"/>
  <c r="AU84" i="2"/>
  <c r="AP84" i="2"/>
  <c r="AU61" i="2"/>
  <c r="AP61" i="2"/>
  <c r="AU110" i="2"/>
  <c r="AP110" i="2"/>
  <c r="AU126" i="2"/>
  <c r="AP126" i="2"/>
  <c r="AU127" i="2"/>
  <c r="AP127" i="2"/>
  <c r="AP163" i="2"/>
  <c r="AP177" i="2"/>
  <c r="AU186" i="2"/>
  <c r="AP186" i="2"/>
  <c r="AU199" i="2"/>
  <c r="AP199" i="2"/>
  <c r="AU207" i="2"/>
  <c r="AP207" i="2"/>
  <c r="AU214" i="2"/>
  <c r="AP214" i="2"/>
  <c r="AU238" i="2"/>
  <c r="AP238" i="2"/>
  <c r="AU316" i="2"/>
  <c r="AP316" i="2"/>
  <c r="AP325" i="2"/>
  <c r="AU325" i="2"/>
  <c r="AU116" i="2"/>
  <c r="AP116" i="2"/>
  <c r="AP21" i="2"/>
  <c r="AU99" i="2"/>
  <c r="AU102" i="2"/>
  <c r="AP102" i="2"/>
  <c r="AU103" i="2"/>
  <c r="AP103" i="2"/>
  <c r="AU108" i="2"/>
  <c r="AP108" i="2"/>
  <c r="AU121" i="2"/>
  <c r="AP121" i="2"/>
  <c r="AU198" i="2"/>
  <c r="AP198" i="2"/>
  <c r="AU232" i="2"/>
  <c r="AP232" i="2"/>
  <c r="AU274" i="2"/>
  <c r="AP274" i="2"/>
  <c r="AU298" i="2"/>
  <c r="AP298" i="2"/>
  <c r="AU148" i="2"/>
  <c r="AP148" i="2"/>
  <c r="AU218" i="2"/>
  <c r="AP218" i="2"/>
  <c r="AU53" i="2"/>
  <c r="AP53" i="2"/>
  <c r="AP66" i="2"/>
  <c r="AU66" i="2"/>
  <c r="AU35" i="2"/>
  <c r="AU74" i="2"/>
  <c r="AP81" i="2"/>
  <c r="AU119" i="2"/>
  <c r="AP119" i="2"/>
  <c r="AU123" i="2"/>
  <c r="AP123" i="2"/>
  <c r="AU155" i="2"/>
  <c r="AU167" i="2"/>
  <c r="AP167" i="2"/>
  <c r="AU171" i="2"/>
  <c r="AP171" i="2"/>
  <c r="AU174" i="2"/>
  <c r="AP174" i="2"/>
  <c r="AU175" i="2"/>
  <c r="AP175" i="2"/>
  <c r="AU183" i="2"/>
  <c r="AP183" i="2"/>
  <c r="AU231" i="2"/>
  <c r="AP231" i="2"/>
  <c r="AP287" i="2"/>
  <c r="AU314" i="2"/>
  <c r="AP314" i="2"/>
  <c r="AU256" i="2"/>
  <c r="AP256" i="2"/>
  <c r="AU71" i="2"/>
  <c r="AP71" i="2"/>
  <c r="AU91" i="2"/>
  <c r="AP91" i="2"/>
  <c r="AP98" i="2"/>
  <c r="AU98" i="2"/>
  <c r="AU100" i="2"/>
  <c r="AP100" i="2"/>
  <c r="AU118" i="2"/>
  <c r="AP118" i="2"/>
  <c r="AU147" i="2"/>
  <c r="AU166" i="2"/>
  <c r="AP166" i="2"/>
  <c r="AU169" i="2"/>
  <c r="AP169" i="2"/>
  <c r="AU179" i="2"/>
  <c r="AP179" i="2"/>
  <c r="AU230" i="2"/>
  <c r="AP230" i="2"/>
  <c r="AU258" i="2"/>
  <c r="AP258" i="2"/>
  <c r="AU333" i="2"/>
  <c r="AP333" i="2"/>
  <c r="AP182" i="2"/>
  <c r="AU276" i="2"/>
  <c r="AP83" i="2"/>
  <c r="AP317" i="2"/>
  <c r="AP324" i="2"/>
  <c r="AP150" i="2"/>
  <c r="AP158" i="2"/>
  <c r="AP191" i="2"/>
  <c r="AU243" i="2"/>
  <c r="AP255" i="2"/>
  <c r="AP263" i="2"/>
  <c r="AP296" i="2"/>
  <c r="AP303" i="2"/>
  <c r="AU90" i="2"/>
  <c r="AU130" i="2"/>
  <c r="AU253" i="2"/>
  <c r="AU261" i="2"/>
  <c r="AP86" i="2"/>
  <c r="AP105" i="2"/>
  <c r="AP111" i="2"/>
  <c r="AP161" i="2"/>
  <c r="AP176" i="2"/>
  <c r="AP202" i="2"/>
  <c r="AP210" i="2"/>
  <c r="AP247" i="2"/>
  <c r="AP292" i="2"/>
  <c r="AU33" i="2"/>
  <c r="AP33" i="2"/>
  <c r="AU50" i="2"/>
  <c r="AP50" i="2"/>
  <c r="AU65" i="2"/>
  <c r="AP65" i="2"/>
  <c r="AP4" i="2"/>
  <c r="AU4" i="2"/>
  <c r="AP30" i="2"/>
  <c r="AU30" i="2"/>
  <c r="AP12" i="2"/>
  <c r="AU12" i="2"/>
  <c r="AU18" i="2"/>
  <c r="AP18" i="2"/>
  <c r="AP22" i="2"/>
  <c r="AU22" i="2"/>
  <c r="AP54" i="2"/>
  <c r="AU54" i="2"/>
  <c r="AP62" i="2"/>
  <c r="AU62" i="2"/>
  <c r="AU9" i="2"/>
  <c r="AP9" i="2"/>
  <c r="AU42" i="2"/>
  <c r="AP42" i="2"/>
  <c r="AU57" i="2"/>
  <c r="AP57" i="2"/>
  <c r="AU68" i="2"/>
  <c r="AP68" i="2"/>
  <c r="AP6" i="2"/>
  <c r="AU6" i="2"/>
  <c r="AU25" i="2"/>
  <c r="AP25" i="2"/>
  <c r="AP14" i="2"/>
  <c r="AU14" i="2"/>
  <c r="AP46" i="2"/>
  <c r="AU46" i="2"/>
  <c r="AU34" i="2"/>
  <c r="AP34" i="2"/>
  <c r="AU49" i="2"/>
  <c r="AP49" i="2"/>
  <c r="AU2" i="2"/>
  <c r="AP2" i="2"/>
  <c r="AU17" i="2"/>
  <c r="AP17" i="2"/>
  <c r="AP38" i="2"/>
  <c r="AU38" i="2"/>
  <c r="AU10" i="2"/>
  <c r="AP10" i="2"/>
  <c r="AU26" i="2"/>
  <c r="AP26" i="2"/>
  <c r="AU41" i="2"/>
  <c r="AP41" i="2"/>
  <c r="AU58" i="2"/>
  <c r="AP58" i="2"/>
  <c r="AP32" i="2"/>
  <c r="AP40" i="2"/>
  <c r="AP56" i="2"/>
  <c r="AU96" i="2"/>
  <c r="AP96" i="2"/>
  <c r="AU112" i="2"/>
  <c r="AP112" i="2"/>
  <c r="AU128" i="2"/>
  <c r="AP128" i="2"/>
  <c r="AU144" i="2"/>
  <c r="AP144" i="2"/>
  <c r="AP157" i="2"/>
  <c r="AU157" i="2"/>
  <c r="AU266" i="2"/>
  <c r="AP266" i="2"/>
  <c r="AP48" i="2"/>
  <c r="AP97" i="2"/>
  <c r="AP113" i="2"/>
  <c r="AP129" i="2"/>
  <c r="AP145" i="2"/>
  <c r="AP151" i="2"/>
  <c r="AU154" i="2"/>
  <c r="AU265" i="2"/>
  <c r="AP265" i="2"/>
  <c r="AP24" i="2"/>
  <c r="AP64" i="2"/>
  <c r="AP101" i="2"/>
  <c r="AU101" i="2"/>
  <c r="AP117" i="2"/>
  <c r="AU117" i="2"/>
  <c r="AP133" i="2"/>
  <c r="AU133" i="2"/>
  <c r="AU160" i="2"/>
  <c r="AP160" i="2"/>
  <c r="AU209" i="2"/>
  <c r="AP209" i="2"/>
  <c r="AU80" i="2"/>
  <c r="AP80" i="2"/>
  <c r="AU88" i="2"/>
  <c r="AP88" i="2"/>
  <c r="AP149" i="2"/>
  <c r="AU149" i="2"/>
  <c r="AU234" i="2"/>
  <c r="AP234" i="2"/>
  <c r="AP8" i="2"/>
  <c r="AU104" i="2"/>
  <c r="AP104" i="2"/>
  <c r="AU120" i="2"/>
  <c r="AP120" i="2"/>
  <c r="AU136" i="2"/>
  <c r="AP136" i="2"/>
  <c r="AP143" i="2"/>
  <c r="AU170" i="2"/>
  <c r="AP170" i="2"/>
  <c r="AP178" i="2"/>
  <c r="AU178" i="2"/>
  <c r="AP188" i="2"/>
  <c r="AU188" i="2"/>
  <c r="AP229" i="2"/>
  <c r="AU229" i="2"/>
  <c r="AU307" i="2"/>
  <c r="AP307" i="2"/>
  <c r="AP77" i="2"/>
  <c r="AU77" i="2"/>
  <c r="AU152" i="2"/>
  <c r="AP152" i="2"/>
  <c r="AP165" i="2"/>
  <c r="AU165" i="2"/>
  <c r="AP204" i="2"/>
  <c r="AU204" i="2"/>
  <c r="AP299" i="2"/>
  <c r="AU299" i="2"/>
  <c r="AP87" i="2"/>
  <c r="AP93" i="2"/>
  <c r="AU93" i="2"/>
  <c r="AP109" i="2"/>
  <c r="AU109" i="2"/>
  <c r="AP125" i="2"/>
  <c r="AU125" i="2"/>
  <c r="AP141" i="2"/>
  <c r="AU141" i="2"/>
  <c r="AP153" i="2"/>
  <c r="AP159" i="2"/>
  <c r="AU162" i="2"/>
  <c r="AP69" i="2"/>
  <c r="AU69" i="2"/>
  <c r="AP85" i="2"/>
  <c r="AU85" i="2"/>
  <c r="AU168" i="2"/>
  <c r="AP168" i="2"/>
  <c r="AU200" i="2"/>
  <c r="AP200" i="2"/>
  <c r="AP219" i="2"/>
  <c r="AU219" i="2"/>
  <c r="AP294" i="2"/>
  <c r="AU294" i="2"/>
  <c r="AP184" i="2"/>
  <c r="AP216" i="2"/>
  <c r="AP244" i="2"/>
  <c r="AU244" i="2"/>
  <c r="AU249" i="2"/>
  <c r="AP249" i="2"/>
  <c r="AP250" i="2"/>
  <c r="AU257" i="2"/>
  <c r="AP257" i="2"/>
  <c r="AP270" i="2"/>
  <c r="AU270" i="2"/>
  <c r="AP280" i="2"/>
  <c r="AU289" i="2"/>
  <c r="AP289" i="2"/>
  <c r="AP304" i="2"/>
  <c r="AU304" i="2"/>
  <c r="AP318" i="2"/>
  <c r="AU318" i="2"/>
  <c r="AP330" i="2"/>
  <c r="AU193" i="2"/>
  <c r="AP193" i="2"/>
  <c r="AU227" i="2"/>
  <c r="AP228" i="2"/>
  <c r="AU228" i="2"/>
  <c r="AU233" i="2"/>
  <c r="AP233" i="2"/>
  <c r="AU237" i="2"/>
  <c r="AU269" i="2"/>
  <c r="AU273" i="2"/>
  <c r="AP273" i="2"/>
  <c r="AP278" i="2"/>
  <c r="AU278" i="2"/>
  <c r="AU321" i="2"/>
  <c r="AP321" i="2"/>
  <c r="AP252" i="2"/>
  <c r="AU252" i="2"/>
  <c r="AU297" i="2"/>
  <c r="AP297" i="2"/>
  <c r="AU315" i="2"/>
  <c r="AP315" i="2"/>
  <c r="AP180" i="2"/>
  <c r="AU180" i="2"/>
  <c r="AP212" i="2"/>
  <c r="AU212" i="2"/>
  <c r="AU217" i="2"/>
  <c r="AP217" i="2"/>
  <c r="AP260" i="2"/>
  <c r="AU260" i="2"/>
  <c r="AU281" i="2"/>
  <c r="AP281" i="2"/>
  <c r="AU305" i="2"/>
  <c r="AP305" i="2"/>
  <c r="AP326" i="2"/>
  <c r="AU326" i="2"/>
  <c r="AU331" i="2"/>
  <c r="AP331" i="2"/>
  <c r="AU185" i="2"/>
  <c r="AP185" i="2"/>
  <c r="AP192" i="2"/>
  <c r="AP208" i="2"/>
  <c r="AU235" i="2"/>
  <c r="AP236" i="2"/>
  <c r="AU236" i="2"/>
  <c r="AU241" i="2"/>
  <c r="AP241" i="2"/>
  <c r="AP242" i="2"/>
  <c r="AU245" i="2"/>
  <c r="AP264" i="2"/>
  <c r="AU267" i="2"/>
  <c r="AP268" i="2"/>
  <c r="AU268" i="2"/>
  <c r="AP282" i="2"/>
  <c r="AP302" i="2"/>
  <c r="AU302" i="2"/>
  <c r="AP306" i="2"/>
  <c r="AP310" i="2"/>
  <c r="AU310" i="2"/>
  <c r="AU189" i="2"/>
  <c r="AU195" i="2"/>
  <c r="AP196" i="2"/>
  <c r="AU196" i="2"/>
  <c r="AU201" i="2"/>
  <c r="AP201" i="2"/>
  <c r="AU205" i="2"/>
  <c r="AP254" i="2"/>
  <c r="AU254" i="2"/>
  <c r="AU275" i="2"/>
  <c r="AP286" i="2"/>
  <c r="AU286" i="2"/>
  <c r="AU313" i="2"/>
  <c r="AP313" i="2"/>
  <c r="AP220" i="2"/>
  <c r="AU220" i="2"/>
  <c r="AU225" i="2"/>
  <c r="AP225" i="2"/>
  <c r="AP262" i="2"/>
  <c r="AU262" i="2"/>
  <c r="AU323" i="2"/>
  <c r="AP323" i="2"/>
  <c r="AU329" i="2"/>
  <c r="AP329" i="2"/>
  <c r="BH2" i="2" l="1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BG2" i="2" l="1"/>
  <c r="A165" i="14"/>
  <c r="A166" i="14" s="1"/>
  <c r="A167" i="14" s="1"/>
  <c r="A154" i="14"/>
  <c r="A155" i="14" s="1"/>
  <c r="A156" i="14" s="1"/>
  <c r="A157" i="14" s="1"/>
  <c r="A158" i="14" s="1"/>
  <c r="A159" i="14" s="1"/>
  <c r="A160" i="14" s="1"/>
  <c r="A161" i="14" s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2" authorId="0" shapeId="0" xr:uid="{00000000-0006-0000-0B00-000001000000}">
      <text>
        <r>
          <rPr>
            <sz val="11"/>
            <color rgb="FF000000"/>
            <rFont val="Calibri"/>
            <family val="2"/>
          </rPr>
          <t>Currently resigned due to pregnancy, will rejoin
	-Suresh. V Chennai</t>
        </r>
      </text>
    </comment>
  </commentList>
</comments>
</file>

<file path=xl/sharedStrings.xml><?xml version="1.0" encoding="utf-8"?>
<sst xmlns="http://schemas.openxmlformats.org/spreadsheetml/2006/main" count="12556" uniqueCount="1538">
  <si>
    <t>Received_Date_UTC</t>
  </si>
  <si>
    <t>Received_Date_IST</t>
  </si>
  <si>
    <t>Date_audited_UTC</t>
  </si>
  <si>
    <t>Date_audited_IST</t>
  </si>
  <si>
    <t>Auditor_name</t>
  </si>
  <si>
    <t>Auditor_milestone</t>
  </si>
  <si>
    <t>File_name</t>
  </si>
  <si>
    <t>Doctor</t>
  </si>
  <si>
    <t>Account_name</t>
  </si>
  <si>
    <t>Responsible_User_Name</t>
  </si>
  <si>
    <t>Location</t>
  </si>
  <si>
    <t>Accuracy</t>
  </si>
  <si>
    <t>Error_Name</t>
  </si>
  <si>
    <t>Total_error_type_receiver_by_auditor</t>
  </si>
  <si>
    <t>Remarks</t>
  </si>
  <si>
    <t>Worktype</t>
  </si>
  <si>
    <t>TAT</t>
  </si>
  <si>
    <t>Is_Tough_Dictator</t>
  </si>
  <si>
    <t>Play_Time_in_sec</t>
  </si>
  <si>
    <t>SSTAT_STAT_Normal</t>
  </si>
  <si>
    <t>Missed_Achieved</t>
  </si>
  <si>
    <t>Final_Blank_Count</t>
  </si>
  <si>
    <t>Second_Last_Touch</t>
  </si>
  <si>
    <t>Last_Touch</t>
  </si>
  <si>
    <t>Ahmedabad</t>
  </si>
  <si>
    <t>Go</t>
  </si>
  <si>
    <t>No</t>
  </si>
  <si>
    <t>Normal</t>
  </si>
  <si>
    <t>Achieved</t>
  </si>
  <si>
    <t>Trivandrum</t>
  </si>
  <si>
    <t>Manoj Kumar</t>
  </si>
  <si>
    <t>Week</t>
  </si>
  <si>
    <t>Responsible_User_Status</t>
  </si>
  <si>
    <t>NoGo/Go</t>
  </si>
  <si>
    <t>Score</t>
  </si>
  <si>
    <t>Overall Score</t>
  </si>
  <si>
    <t>Total Error Count</t>
  </si>
  <si>
    <t>Total Error occurrences</t>
  </si>
  <si>
    <t>Account's MTTL</t>
  </si>
  <si>
    <t>USer's MTTL</t>
  </si>
  <si>
    <t>First touch MTTL</t>
  </si>
  <si>
    <t>Error Type</t>
  </si>
  <si>
    <t>Sent Status Name</t>
  </si>
  <si>
    <t>mt_new</t>
  </si>
  <si>
    <t>Grand Total</t>
  </si>
  <si>
    <t>T/F</t>
  </si>
  <si>
    <t>Initial</t>
  </si>
  <si>
    <t>FALSE</t>
  </si>
  <si>
    <t>Occurrences of Error</t>
  </si>
  <si>
    <t>User Name</t>
  </si>
  <si>
    <t>Count of Error</t>
  </si>
  <si>
    <t>Count of File</t>
  </si>
  <si>
    <t>Responsible User Name / Error Name</t>
  </si>
  <si>
    <t>UserStatus</t>
  </si>
  <si>
    <t>Error Count</t>
  </si>
  <si>
    <t>(All)</t>
  </si>
  <si>
    <t>Error Name</t>
  </si>
  <si>
    <t xml:space="preserve"> </t>
  </si>
  <si>
    <t>Account Name</t>
  </si>
  <si>
    <t>Error Occurrences</t>
  </si>
  <si>
    <t>Average of Accuracy</t>
  </si>
  <si>
    <t>Awaiting Upload</t>
  </si>
  <si>
    <t>MT Name</t>
  </si>
  <si>
    <t>Point value</t>
  </si>
  <si>
    <t>Con</t>
  </si>
  <si>
    <t>Auditor Name</t>
  </si>
  <si>
    <t>Auditor Milestone / Auditor Name</t>
  </si>
  <si>
    <t>Count of File_name</t>
  </si>
  <si>
    <t>Awaiting QA</t>
  </si>
  <si>
    <t>Match</t>
  </si>
  <si>
    <t>Awaiting BB</t>
  </si>
  <si>
    <t>Decision_Pending</t>
  </si>
  <si>
    <t>Ready_for_review</t>
  </si>
  <si>
    <t>Responsible_ID</t>
  </si>
  <si>
    <t>Time_Taken_Second_Touch_mins</t>
  </si>
  <si>
    <t xml:space="preserve"> Total_error_type_receiver_by_auditor</t>
  </si>
  <si>
    <t>First_Touch</t>
  </si>
  <si>
    <t>NoGo/Go_2010</t>
  </si>
  <si>
    <t>Accuracy_2010</t>
  </si>
  <si>
    <t>Auditor_Work_Start_Date_IST</t>
  </si>
  <si>
    <t>Auditor_Work_End_Date_IST</t>
  </si>
  <si>
    <t>Auditor_Screen_Time_Spend_In_Seconds</t>
  </si>
  <si>
    <t>Time_Taken_by_Auditor_in_mins</t>
  </si>
  <si>
    <t>Time_Taken_First_Touch_mins</t>
  </si>
  <si>
    <t>Time_Taken_Last_Touch_mins</t>
  </si>
  <si>
    <t>Name</t>
  </si>
  <si>
    <t>Location-1</t>
  </si>
  <si>
    <t>First_Touch-1</t>
  </si>
  <si>
    <t>Clinic</t>
  </si>
  <si>
    <t>Line Count</t>
  </si>
  <si>
    <t xml:space="preserve"> Responsible User Name / Error Name</t>
  </si>
  <si>
    <t>Audited Date</t>
  </si>
  <si>
    <t>Subhospital</t>
  </si>
  <si>
    <t>Ankit</t>
  </si>
  <si>
    <t>Hospital Names</t>
  </si>
  <si>
    <t>Harsh</t>
  </si>
  <si>
    <t>Aneesh</t>
  </si>
  <si>
    <t>clinic</t>
  </si>
  <si>
    <t>awaiting_upload</t>
  </si>
  <si>
    <t>Gopal Rajith</t>
  </si>
  <si>
    <t>Minor-Punctuation/Grammar/Feedback</t>
  </si>
  <si>
    <t>Cardiology Associates Medical Group</t>
  </si>
  <si>
    <t>CAMG</t>
  </si>
  <si>
    <t>Vijay Babu</t>
  </si>
  <si>
    <t>cqa</t>
  </si>
  <si>
    <t>veejay_b@yahoo.com</t>
  </si>
  <si>
    <t>Regional Medical Center Anniston</t>
  </si>
  <si>
    <t>SOC</t>
  </si>
  <si>
    <t>RMCA</t>
  </si>
  <si>
    <t>Adirondack Medical Center</t>
  </si>
  <si>
    <t>AMC</t>
  </si>
  <si>
    <t>Santosh Singh</t>
  </si>
  <si>
    <t>Lakshmi M</t>
  </si>
  <si>
    <t>Charles Cole Memorial Hospital</t>
  </si>
  <si>
    <t>CCM</t>
  </si>
  <si>
    <t>Olney Hamiltion Hospital</t>
  </si>
  <si>
    <t>Department Of Health Services - Wisconsin</t>
  </si>
  <si>
    <t>Heart Clinic Arkanas</t>
  </si>
  <si>
    <t>OHH</t>
  </si>
  <si>
    <t>DHS</t>
  </si>
  <si>
    <t>HCA</t>
  </si>
  <si>
    <t>Peterson Regional Medical Center</t>
  </si>
  <si>
    <t>PRMC</t>
  </si>
  <si>
    <t>Auburn Community Hospital</t>
  </si>
  <si>
    <t>Southern Oregon Cardiology</t>
  </si>
  <si>
    <t>Prasanth Sivan</t>
  </si>
  <si>
    <t>parineeta.patel@cardioscribes.com</t>
  </si>
  <si>
    <t>Parineeta Patel</t>
  </si>
  <si>
    <t>Northland Cardiology</t>
  </si>
  <si>
    <t>LA County</t>
  </si>
  <si>
    <t>Mazhar Tinwala</t>
  </si>
  <si>
    <t>PratheepKumar.a@cardioscribes.com</t>
  </si>
  <si>
    <t>Pratheep Kumar</t>
  </si>
  <si>
    <t>Auburn HIM</t>
  </si>
  <si>
    <t>NLC</t>
  </si>
  <si>
    <t>LAC</t>
  </si>
  <si>
    <t>Norfolk Community Service Board</t>
  </si>
  <si>
    <t>mazhar.tinwala@cardioscribes.com</t>
  </si>
  <si>
    <t>NCSB</t>
  </si>
  <si>
    <t>Coronado Ridge Nursing and Rehab Center</t>
  </si>
  <si>
    <t>FVLD</t>
  </si>
  <si>
    <t>CRNRC</t>
  </si>
  <si>
    <t>santosh.singh@cardioscribes.com</t>
  </si>
  <si>
    <t>Sterling Surgical Hospital</t>
  </si>
  <si>
    <t>Stringfellow Memorial Hospital</t>
  </si>
  <si>
    <t>Owensboro Heart and Vascular</t>
  </si>
  <si>
    <t>Client</t>
  </si>
  <si>
    <t>SSH</t>
  </si>
  <si>
    <t>SMH</t>
  </si>
  <si>
    <t>OHV</t>
  </si>
  <si>
    <t>Deepak V</t>
  </si>
  <si>
    <t>Fred V Lause, DPM</t>
  </si>
  <si>
    <t>Dr Askins</t>
  </si>
  <si>
    <t>Sivasankari A</t>
  </si>
  <si>
    <t>Field Memorial Community Hospital</t>
  </si>
  <si>
    <t>Sagebrush Medical Consultants</t>
  </si>
  <si>
    <t>Febin Clament</t>
  </si>
  <si>
    <t>DRASK</t>
  </si>
  <si>
    <t>FMCH</t>
  </si>
  <si>
    <t>SMCO</t>
  </si>
  <si>
    <t>Mira Vista</t>
  </si>
  <si>
    <t>Wayne F Arndt DMD</t>
  </si>
  <si>
    <t>Hillsboro Area Hospital</t>
  </si>
  <si>
    <t>Harmon Medical And Rehabilitation Hospital</t>
  </si>
  <si>
    <t>Spanish Hills Wellness Suites</t>
  </si>
  <si>
    <t>North Suffolk Cardiology Associates</t>
  </si>
  <si>
    <t>Nitheesh C</t>
  </si>
  <si>
    <t>WFA</t>
  </si>
  <si>
    <t>HAH</t>
  </si>
  <si>
    <t>HMRH</t>
  </si>
  <si>
    <t>SHWS</t>
  </si>
  <si>
    <t>NSCA</t>
  </si>
  <si>
    <t>Promise Healthcare</t>
  </si>
  <si>
    <t>MEDICAL RESOURCE CENTER</t>
  </si>
  <si>
    <t>Miami Jewish Health Systems</t>
  </si>
  <si>
    <t>Harford County Chiropractic, LLC</t>
  </si>
  <si>
    <t>The Klingberg Family Centers</t>
  </si>
  <si>
    <t>Terry Troutt MN CIME FAAPMR</t>
  </si>
  <si>
    <t>Crenshaw Community Hospital</t>
  </si>
  <si>
    <t>Cassol Eye</t>
  </si>
  <si>
    <t>CVAMD</t>
  </si>
  <si>
    <t>Sherry Fernandez</t>
  </si>
  <si>
    <t>Horizon Specialty Hospital</t>
  </si>
  <si>
    <t>Osmond General Hospital</t>
  </si>
  <si>
    <t>Southern Nevada Medical And Rehabilitation Center</t>
  </si>
  <si>
    <t>GREEN VALLEY HEALTH AND WELLNESS SUITES</t>
  </si>
  <si>
    <t>Weiss Orthopedics</t>
  </si>
  <si>
    <t>PHE</t>
  </si>
  <si>
    <t>MRC</t>
  </si>
  <si>
    <t>MJHS</t>
  </si>
  <si>
    <t>HCC</t>
  </si>
  <si>
    <t>TKFC</t>
  </si>
  <si>
    <t>TTMC</t>
  </si>
  <si>
    <t>CCH</t>
  </si>
  <si>
    <t>CEE</t>
  </si>
  <si>
    <t>HSH</t>
  </si>
  <si>
    <t>OGH</t>
  </si>
  <si>
    <t>SNMRC</t>
  </si>
  <si>
    <t>GHWS</t>
  </si>
  <si>
    <t>WOS</t>
  </si>
  <si>
    <t>Group</t>
  </si>
  <si>
    <t>Sr.No</t>
  </si>
  <si>
    <t>Account NAme</t>
  </si>
  <si>
    <t>Hospital Initial</t>
  </si>
  <si>
    <t>India MTTL</t>
  </si>
  <si>
    <t>US MTTL</t>
  </si>
  <si>
    <t>Top 25</t>
  </si>
  <si>
    <t>New Initial</t>
  </si>
  <si>
    <t>Alice Hyde Memorial Hospital</t>
  </si>
  <si>
    <t>AHMH</t>
  </si>
  <si>
    <t>Jerri</t>
  </si>
  <si>
    <t>AMC Group</t>
  </si>
  <si>
    <t>Amiel Levin MD</t>
  </si>
  <si>
    <t>AML</t>
  </si>
  <si>
    <t>Others</t>
  </si>
  <si>
    <t>Anderson Regional Medical Center</t>
  </si>
  <si>
    <t>ARMC</t>
  </si>
  <si>
    <t>Barlow Respiratory Hospital</t>
  </si>
  <si>
    <t>BRH</t>
  </si>
  <si>
    <t>Central Desert Behavioral Health Ct</t>
  </si>
  <si>
    <t>CDBHC</t>
  </si>
  <si>
    <t>Fundamental</t>
  </si>
  <si>
    <t>Coon Memorial Hospital</t>
  </si>
  <si>
    <t>COON</t>
  </si>
  <si>
    <t>Copiah County Medical Center</t>
  </si>
  <si>
    <t>COPIAH</t>
  </si>
  <si>
    <t>Purvang</t>
  </si>
  <si>
    <t>Copiah</t>
  </si>
  <si>
    <t>The Central Ohio Urology</t>
  </si>
  <si>
    <t>COUG</t>
  </si>
  <si>
    <t>COUG Group</t>
  </si>
  <si>
    <t>Central Ohio Surgery Center</t>
  </si>
  <si>
    <t>COUSC</t>
  </si>
  <si>
    <t>Central Ohio Urology Tech Center Division</t>
  </si>
  <si>
    <t>COUTCD</t>
  </si>
  <si>
    <t>College Park Rehab Center</t>
  </si>
  <si>
    <t>CPRC</t>
  </si>
  <si>
    <t>Cardiovascular Group</t>
  </si>
  <si>
    <t>CVG</t>
  </si>
  <si>
    <t>Champlain Valley Physicians Hospital</t>
  </si>
  <si>
    <t>CVPH</t>
  </si>
  <si>
    <t>The Dayton Heart Center</t>
  </si>
  <si>
    <t>DHC</t>
  </si>
  <si>
    <t>Dr. Chino</t>
  </si>
  <si>
    <t>Florida Heart Group</t>
  </si>
  <si>
    <t>FHG</t>
  </si>
  <si>
    <t>Dr. Garza</t>
  </si>
  <si>
    <t>GARZA</t>
  </si>
  <si>
    <t>Gordon Memorial Health Services</t>
  </si>
  <si>
    <t>GMHS</t>
  </si>
  <si>
    <t>Healthwin Specialized Care</t>
  </si>
  <si>
    <t>HEALTHWIN</t>
  </si>
  <si>
    <t>Horizon Health And Rehabilitation Center</t>
  </si>
  <si>
    <t>HHRC</t>
  </si>
  <si>
    <t>Heart And Vascular Specialist</t>
  </si>
  <si>
    <t>HVS</t>
  </si>
  <si>
    <t>Imperial Health</t>
  </si>
  <si>
    <t>IMPH</t>
  </si>
  <si>
    <t>Dr Joseph B Grow</t>
  </si>
  <si>
    <t>JBG</t>
  </si>
  <si>
    <t>Juneau Bone AND Joint Center</t>
  </si>
  <si>
    <t>JBJC</t>
  </si>
  <si>
    <t>Lake Mead Health and Rehabilitation</t>
  </si>
  <si>
    <t>LMHR</t>
  </si>
  <si>
    <t>Julio Lora, MD</t>
  </si>
  <si>
    <t>LORA</t>
  </si>
  <si>
    <t>Mid Carolina Cardiology</t>
  </si>
  <si>
    <t>MCC</t>
  </si>
  <si>
    <t>Magnolia Medical Clinic</t>
  </si>
  <si>
    <t>MMC</t>
  </si>
  <si>
    <t>Melissa Memorial Hospital</t>
  </si>
  <si>
    <t>MMH</t>
  </si>
  <si>
    <t>North Las Vegas Care Center</t>
  </si>
  <si>
    <t>NLVCC</t>
  </si>
  <si>
    <t>Noyes Memorial Hospital</t>
  </si>
  <si>
    <t>NMH</t>
  </si>
  <si>
    <t>North Ottawa Community Hospital</t>
  </si>
  <si>
    <t>NOCH</t>
  </si>
  <si>
    <t>Owensboro Urology PLC</t>
  </si>
  <si>
    <t>OBURO</t>
  </si>
  <si>
    <t>Plessen Healthcare, LLC</t>
  </si>
  <si>
    <t>PHC</t>
  </si>
  <si>
    <t>SHIFA MEDICAL</t>
  </si>
  <si>
    <t>SHIFA</t>
  </si>
  <si>
    <t>Singing River Health System</t>
  </si>
  <si>
    <t>SRH</t>
  </si>
  <si>
    <t>Sonoma Valley Hospital</t>
  </si>
  <si>
    <t>SVH</t>
  </si>
  <si>
    <t>Wyoming State Hospital</t>
  </si>
  <si>
    <t>WSH</t>
  </si>
  <si>
    <t>Mmodal</t>
  </si>
  <si>
    <t>Wellstar</t>
  </si>
  <si>
    <t>Nemours Children's Specialty Care Clinic</t>
  </si>
  <si>
    <t>NCSCC</t>
  </si>
  <si>
    <t>Sweeney Spine</t>
  </si>
  <si>
    <t>SWS</t>
  </si>
  <si>
    <t>Elena Antonelli, MD</t>
  </si>
  <si>
    <t>EAM</t>
  </si>
  <si>
    <t>Springfield Trauma Counseling Center</t>
  </si>
  <si>
    <t>STCC</t>
  </si>
  <si>
    <t>Brian Gruber, MD</t>
  </si>
  <si>
    <t>BRIAN</t>
  </si>
  <si>
    <t>UT Health Austin</t>
  </si>
  <si>
    <t>UTHA</t>
  </si>
  <si>
    <t>NORTH CHICAGO, FHCC</t>
  </si>
  <si>
    <t>NHC</t>
  </si>
  <si>
    <t>SALEM VA MEDICAL CENTER</t>
  </si>
  <si>
    <t>SMC</t>
  </si>
  <si>
    <t>Aerete Integrative Medicine</t>
  </si>
  <si>
    <t>AIM</t>
  </si>
  <si>
    <t>RICHMOND MEDICAL CENTER</t>
  </si>
  <si>
    <t>RMD</t>
  </si>
  <si>
    <t>SALISBURY VA MEDICAL CENTER</t>
  </si>
  <si>
    <t>SSY</t>
  </si>
  <si>
    <t>Legal Medicine Consultant</t>
  </si>
  <si>
    <t>LMC</t>
  </si>
  <si>
    <t>Tyler Neurosurgical Associates</t>
  </si>
  <si>
    <t>TNA</t>
  </si>
  <si>
    <t>Kansas City Psychiatric Consultants</t>
  </si>
  <si>
    <t>KCPC</t>
  </si>
  <si>
    <t>Philadelphia VA Medical Center</t>
  </si>
  <si>
    <t>PDA</t>
  </si>
  <si>
    <t>Daniel N Blum, MD</t>
  </si>
  <si>
    <t>DNB</t>
  </si>
  <si>
    <t>LANE COUNTY</t>
  </si>
  <si>
    <t>Sunnyside Medical Arts, PC</t>
  </si>
  <si>
    <t>SMA</t>
  </si>
  <si>
    <t>Rajesh Vishen MD</t>
  </si>
  <si>
    <t>RVM</t>
  </si>
  <si>
    <t>Commonwealth Medical Legal Services</t>
  </si>
  <si>
    <t>CMLS</t>
  </si>
  <si>
    <t>Brownsboro Dermatology</t>
  </si>
  <si>
    <t>BOD</t>
  </si>
  <si>
    <t>Wilkes Barre</t>
  </si>
  <si>
    <t>WIB</t>
  </si>
  <si>
    <t>Alpha Transcription</t>
  </si>
  <si>
    <t>MANCHESTER</t>
  </si>
  <si>
    <t>MHR</t>
  </si>
  <si>
    <t>CONNECTICUT</t>
  </si>
  <si>
    <t>CTT</t>
  </si>
  <si>
    <t>TOGUS</t>
  </si>
  <si>
    <t>TGS</t>
  </si>
  <si>
    <t>PROVIDENCE</t>
  </si>
  <si>
    <t>PDE</t>
  </si>
  <si>
    <t>White River Junction</t>
  </si>
  <si>
    <t>WRJ</t>
  </si>
  <si>
    <t>MILWAUKEE</t>
  </si>
  <si>
    <t>MWE</t>
  </si>
  <si>
    <t>BOSTON</t>
  </si>
  <si>
    <t>BSN</t>
  </si>
  <si>
    <t>CHARLESTON</t>
  </si>
  <si>
    <t>CRN</t>
  </si>
  <si>
    <t>DETROIT</t>
  </si>
  <si>
    <t>DTT</t>
  </si>
  <si>
    <t>DURHAM</t>
  </si>
  <si>
    <t>DRM</t>
  </si>
  <si>
    <t>FAYETTEVILLE</t>
  </si>
  <si>
    <t>FTE</t>
  </si>
  <si>
    <t>HAMPTON</t>
  </si>
  <si>
    <t>HPN</t>
  </si>
  <si>
    <t>HINES</t>
  </si>
  <si>
    <t>HIN</t>
  </si>
  <si>
    <t>Jesse Brown</t>
  </si>
  <si>
    <t>JEB</t>
  </si>
  <si>
    <t>MADISON</t>
  </si>
  <si>
    <t>MDN</t>
  </si>
  <si>
    <t>NORTH CHICAGO</t>
  </si>
  <si>
    <t>SALEM</t>
  </si>
  <si>
    <t>RICHMOND</t>
  </si>
  <si>
    <t>SALISBURY</t>
  </si>
  <si>
    <t>BRONX</t>
  </si>
  <si>
    <t>BOX</t>
  </si>
  <si>
    <t>WEST PALM BEACH</t>
  </si>
  <si>
    <t>WPB</t>
  </si>
  <si>
    <t>SOUTH TEXAS</t>
  </si>
  <si>
    <t>STS</t>
  </si>
  <si>
    <t>TAMPA</t>
  </si>
  <si>
    <t>TMA</t>
  </si>
  <si>
    <t>TUCSON</t>
  </si>
  <si>
    <t>TSN</t>
  </si>
  <si>
    <t>ALBUQUERQUE</t>
  </si>
  <si>
    <t>AUE</t>
  </si>
  <si>
    <t>LEAVENWORTH</t>
  </si>
  <si>
    <t>LNH</t>
  </si>
  <si>
    <t>TOPEKA</t>
  </si>
  <si>
    <t>TEA</t>
  </si>
  <si>
    <t>BAY PINES</t>
  </si>
  <si>
    <t>BPS</t>
  </si>
  <si>
    <t>ASHEVILLE</t>
  </si>
  <si>
    <t>AVE</t>
  </si>
  <si>
    <t>BOISE</t>
  </si>
  <si>
    <t>BIE</t>
  </si>
  <si>
    <t>PHILADELPHIA</t>
  </si>
  <si>
    <t>AMARILLO</t>
  </si>
  <si>
    <t>ARO</t>
  </si>
  <si>
    <t>PHOENIX</t>
  </si>
  <si>
    <t>PEX</t>
  </si>
  <si>
    <t>ROSEBURG</t>
  </si>
  <si>
    <t>RBG</t>
  </si>
  <si>
    <t>GVLC</t>
  </si>
  <si>
    <t>ALASKA</t>
  </si>
  <si>
    <t>ASA</t>
  </si>
  <si>
    <t>KANSAS CITY</t>
  </si>
  <si>
    <t>KSC</t>
  </si>
  <si>
    <t>COLUMBIA</t>
  </si>
  <si>
    <t>CMA</t>
  </si>
  <si>
    <t>MOUNTAIN HOME</t>
  </si>
  <si>
    <t>MNE</t>
  </si>
  <si>
    <t>SPOKANE</t>
  </si>
  <si>
    <t>SKE</t>
  </si>
  <si>
    <t>BECKLEY</t>
  </si>
  <si>
    <t>BKY</t>
  </si>
  <si>
    <t>DANVILLE</t>
  </si>
  <si>
    <t>DVE</t>
  </si>
  <si>
    <t>PITTSBURGH</t>
  </si>
  <si>
    <t>PBH</t>
  </si>
  <si>
    <t>CENTRAL TEXAS</t>
  </si>
  <si>
    <t>CTS</t>
  </si>
  <si>
    <t>PORTLAND</t>
  </si>
  <si>
    <t>PTD</t>
  </si>
  <si>
    <t>PUGET</t>
  </si>
  <si>
    <t>PGT</t>
  </si>
  <si>
    <t>ST CLOUD</t>
  </si>
  <si>
    <t>STD</t>
  </si>
  <si>
    <t>WILMINGTON</t>
  </si>
  <si>
    <t>WNN</t>
  </si>
  <si>
    <t>Noelle Thomas, MD</t>
  </si>
  <si>
    <t>NTS</t>
  </si>
  <si>
    <t>LA County GT</t>
  </si>
  <si>
    <t>LAGT</t>
  </si>
  <si>
    <t>LAS VEGAS</t>
  </si>
  <si>
    <t>LVS</t>
  </si>
  <si>
    <t>Kentuckiana Medical Center</t>
  </si>
  <si>
    <t>KMC</t>
  </si>
  <si>
    <t>Springbrook Behavioral Health System</t>
  </si>
  <si>
    <t>SBHS</t>
  </si>
  <si>
    <t>Barlow Respiratory Hospital VPH - 232</t>
  </si>
  <si>
    <t>Barlow</t>
  </si>
  <si>
    <t>WCMC - White County Medical Center Cardi</t>
  </si>
  <si>
    <t>WCMC</t>
  </si>
  <si>
    <t>GMG - Gwinnett Medical Group</t>
  </si>
  <si>
    <t>GMG</t>
  </si>
  <si>
    <t>AI Data</t>
  </si>
  <si>
    <t>Adam Transcription</t>
  </si>
  <si>
    <t>ATN</t>
  </si>
  <si>
    <t>StatCare Pulmonary Consultants</t>
  </si>
  <si>
    <t>SPC</t>
  </si>
  <si>
    <t>Injury-Care Associates LLC</t>
  </si>
  <si>
    <t>ICA</t>
  </si>
  <si>
    <t>emPower ASR</t>
  </si>
  <si>
    <t>Oracle</t>
  </si>
  <si>
    <t>Virginia Medical Consultants</t>
  </si>
  <si>
    <t>VMC</t>
  </si>
  <si>
    <t>Ritesh.Patel@cardioscribes.com</t>
  </si>
  <si>
    <t>Riteshkumar Patel</t>
  </si>
  <si>
    <t>gopalrajith@gmail.com</t>
  </si>
  <si>
    <t>shiny.iype@cardioscribes.com</t>
  </si>
  <si>
    <t>Shiny Iype</t>
  </si>
  <si>
    <t>ushaaaam40@gmail.com</t>
  </si>
  <si>
    <t>Usha M</t>
  </si>
  <si>
    <t>M Thiruchelvi</t>
  </si>
  <si>
    <t>purvi.thakore@cardioscribes.com</t>
  </si>
  <si>
    <t>Purvi Thakore</t>
  </si>
  <si>
    <t>pranav.desai@cardioscribes.com</t>
  </si>
  <si>
    <t>Pranav Desai</t>
  </si>
  <si>
    <t>sivasankari.a@cardioscribes.com</t>
  </si>
  <si>
    <t>shweta.parmar@cardioscribes.com</t>
  </si>
  <si>
    <t>Shweta Parmar</t>
  </si>
  <si>
    <t>Nimesh Bhavsar</t>
  </si>
  <si>
    <t>CAMG_OV</t>
  </si>
  <si>
    <t>Devang Thakkar</t>
  </si>
  <si>
    <t>Major-Incorrect Text/Gender/Names</t>
  </si>
  <si>
    <t>Major-Omitted/Inserted Text</t>
  </si>
  <si>
    <t>Aarti Gajjar</t>
  </si>
  <si>
    <t>NoGo</t>
  </si>
  <si>
    <t>rajanisinbox@gmail.com</t>
  </si>
  <si>
    <t>Rajani K</t>
  </si>
  <si>
    <t>Shahana Shajas</t>
  </si>
  <si>
    <t>Sandeep S</t>
  </si>
  <si>
    <t>Sonali Patel</t>
  </si>
  <si>
    <t>Savitha Arun</t>
  </si>
  <si>
    <t>sonali.patel@cardioscribes.com</t>
  </si>
  <si>
    <t>Chintul Sutaria</t>
  </si>
  <si>
    <t>manojkumara@cardioscribes.com</t>
  </si>
  <si>
    <t>preetha.uchil@cardioscribes.com</t>
  </si>
  <si>
    <t>Preetha Uchil</t>
  </si>
  <si>
    <t>Devi Balu</t>
  </si>
  <si>
    <t>renish.bhairapure@cardioscribes.com</t>
  </si>
  <si>
    <t>Tintu Soman</t>
  </si>
  <si>
    <t>Responsible_User_Designation</t>
  </si>
  <si>
    <t>Sr. No</t>
  </si>
  <si>
    <t>EZMediscribes</t>
  </si>
  <si>
    <t>Initials</t>
  </si>
  <si>
    <t>Target</t>
  </si>
  <si>
    <t>Desg</t>
  </si>
  <si>
    <t>Status</t>
  </si>
  <si>
    <t>Timing</t>
  </si>
  <si>
    <t>Shift</t>
  </si>
  <si>
    <t>Weekoff</t>
  </si>
  <si>
    <t>Primary</t>
  </si>
  <si>
    <t>Secondary</t>
  </si>
  <si>
    <t>Tertiary</t>
  </si>
  <si>
    <t>TL</t>
  </si>
  <si>
    <t>Email id</t>
  </si>
  <si>
    <t>Personal Email ID</t>
  </si>
  <si>
    <t>Skype ID</t>
  </si>
  <si>
    <t>Mobile number</t>
  </si>
  <si>
    <t>vvdeepak</t>
  </si>
  <si>
    <t>idv-t</t>
  </si>
  <si>
    <t>MTX - India</t>
  </si>
  <si>
    <t>DIRECT</t>
  </si>
  <si>
    <t>9 p.m. to 5 a.m.</t>
  </si>
  <si>
    <t>Night</t>
  </si>
  <si>
    <t>Saturday/Sunday Alternate</t>
  </si>
  <si>
    <t>IMPH, OIP</t>
  </si>
  <si>
    <t>deepak.v@cardioscribes.com</t>
  </si>
  <si>
    <t>9633682450</t>
  </si>
  <si>
    <t>dileeps</t>
  </si>
  <si>
    <t>Dileep S</t>
  </si>
  <si>
    <t>ids-t</t>
  </si>
  <si>
    <t>5 a.m. to 2 p.m.</t>
  </si>
  <si>
    <t>Day</t>
  </si>
  <si>
    <t>Sunday-Monday Alternate</t>
  </si>
  <si>
    <t>IMPH, GMHS, HAH, OIP, LAC, OUP</t>
  </si>
  <si>
    <t>dileep.s@cardioscribes.com</t>
  </si>
  <si>
    <t>9847888449</t>
  </si>
  <si>
    <t>febinc</t>
  </si>
  <si>
    <t>ifbc-t</t>
  </si>
  <si>
    <t>7 a.m. to 3 p.m.</t>
  </si>
  <si>
    <t>Sunday/Monday</t>
  </si>
  <si>
    <t>Fundamentals, IMPH, OIP, LAC</t>
  </si>
  <si>
    <t>NA</t>
  </si>
  <si>
    <t>febin.clament@cardioscribes.com</t>
  </si>
  <si>
    <t>8606038897 / 8089759380</t>
  </si>
  <si>
    <t>giginp</t>
  </si>
  <si>
    <t>Gigin Prakash</t>
  </si>
  <si>
    <t>igp-t</t>
  </si>
  <si>
    <t>7:30 a.m. to 3:30 p.m.</t>
  </si>
  <si>
    <t>Monday</t>
  </si>
  <si>
    <t>Fundamentals</t>
  </si>
  <si>
    <t>OIP, IMPH</t>
  </si>
  <si>
    <t>giginmediscribes@gmail.com</t>
  </si>
  <si>
    <t>9995251764</t>
  </si>
  <si>
    <t>lakshmi</t>
  </si>
  <si>
    <t>ila</t>
  </si>
  <si>
    <t>MTx-India</t>
  </si>
  <si>
    <t>4:30 a.m. to 12:30 p.m.</t>
  </si>
  <si>
    <t>OUP</t>
  </si>
  <si>
    <t>lakshmi.gm@cardioscribes.com</t>
  </si>
  <si>
    <t>9495370068</t>
  </si>
  <si>
    <t>mercya</t>
  </si>
  <si>
    <t>MERCY ARUN</t>
  </si>
  <si>
    <t>ima-t</t>
  </si>
  <si>
    <t>QA - India</t>
  </si>
  <si>
    <t>9 am to 6 pm</t>
  </si>
  <si>
    <t>All TVM accounts</t>
  </si>
  <si>
    <t>mercy.arun@cardioscribes.com</t>
  </si>
  <si>
    <t>9895343700</t>
  </si>
  <si>
    <t>nitheeshc</t>
  </si>
  <si>
    <t>inc-t</t>
  </si>
  <si>
    <t>7 a.m. to 3  p.m.</t>
  </si>
  <si>
    <t>PRMC, IMPH</t>
  </si>
  <si>
    <t>GMHS, OIP,  SRH</t>
  </si>
  <si>
    <t>nitheesh.c@cardioscribes.com</t>
  </si>
  <si>
    <t>9037446942</t>
  </si>
  <si>
    <t>sprasanth</t>
  </si>
  <si>
    <t>ips-t</t>
  </si>
  <si>
    <t>5:30 a.m. to 2 p.m.</t>
  </si>
  <si>
    <t>GMHS, OIP, IMPH</t>
  </si>
  <si>
    <t>prasanth.sivan@cardioscribes.com</t>
  </si>
  <si>
    <t>8921645118</t>
  </si>
  <si>
    <t>rrenjini</t>
  </si>
  <si>
    <t>Renjini Raj</t>
  </si>
  <si>
    <t>irr-t</t>
  </si>
  <si>
    <t>LINE COUNT</t>
  </si>
  <si>
    <t>Sunday</t>
  </si>
  <si>
    <t>chellu_ren@yahoo.co.in</t>
  </si>
  <si>
    <t>8129007920</t>
  </si>
  <si>
    <t>ssandeep</t>
  </si>
  <si>
    <t>isan-t</t>
  </si>
  <si>
    <t>6:30 p.m. to 2:30 a.m.</t>
  </si>
  <si>
    <t>IMPH, GMHS, SRH, OIP, LAC</t>
  </si>
  <si>
    <t>sandeep.s@cardioscribes.com</t>
  </si>
  <si>
    <t>9747673817</t>
  </si>
  <si>
    <t>sarun</t>
  </si>
  <si>
    <t>SAVITHA ARUN</t>
  </si>
  <si>
    <t>isar-t</t>
  </si>
  <si>
    <t>4:30 a.m. to 1 p.m.</t>
  </si>
  <si>
    <t>savitha.arun@cardioscribes.com</t>
  </si>
  <si>
    <t>8893252247</t>
  </si>
  <si>
    <t>vipins</t>
  </si>
  <si>
    <t>Vipin S</t>
  </si>
  <si>
    <t>ivps-t</t>
  </si>
  <si>
    <t>vipinvsprajapathy@gmail.com</t>
  </si>
  <si>
    <t>9544421751</t>
  </si>
  <si>
    <t>jagranathj</t>
  </si>
  <si>
    <t>Jagranath Jha</t>
  </si>
  <si>
    <t>ijj</t>
  </si>
  <si>
    <t>Needs QA</t>
  </si>
  <si>
    <t>4 a.m. to 12 p.m.</t>
  </si>
  <si>
    <t>COON/SHIFA</t>
  </si>
  <si>
    <t>NMH/CCH/CCM</t>
  </si>
  <si>
    <t>jagranath.j@cardioscribes.com</t>
  </si>
  <si>
    <t>9831263018</t>
  </si>
  <si>
    <t>Tharsh</t>
  </si>
  <si>
    <t>Tushar Harsh</t>
  </si>
  <si>
    <t>ihtj</t>
  </si>
  <si>
    <t>8 a.m. to 4 p.m.</t>
  </si>
  <si>
    <t>COUG/COUSC</t>
  </si>
  <si>
    <t>MMC/CVG/CVAMD</t>
  </si>
  <si>
    <t>TKFC/RVM</t>
  </si>
  <si>
    <t>tushar.harsh@cardioscribes.com</t>
  </si>
  <si>
    <t>9687608383</t>
  </si>
  <si>
    <t>shinyi</t>
  </si>
  <si>
    <t>iis</t>
  </si>
  <si>
    <t>Auburn-HIM</t>
  </si>
  <si>
    <t>FLVD</t>
  </si>
  <si>
    <t>HVS/CRENSAW/Lora/DHS
MMC</t>
  </si>
  <si>
    <t>riteshp</t>
  </si>
  <si>
    <t>10 P.M. TO 6 A.M.</t>
  </si>
  <si>
    <t>SVH/CVG</t>
  </si>
  <si>
    <t>8401201594 \ 9925771028</t>
  </si>
  <si>
    <t>ptrivedi</t>
  </si>
  <si>
    <t>PURVANG TRIVEDI</t>
  </si>
  <si>
    <t>ipt</t>
  </si>
  <si>
    <t>Saturday</t>
  </si>
  <si>
    <t>Multiple Accounts</t>
  </si>
  <si>
    <t>purvang.trivedi@cardioscribes.com</t>
  </si>
  <si>
    <t>9137120712</t>
  </si>
  <si>
    <t>arunaj</t>
  </si>
  <si>
    <t>Aruna Arun</t>
  </si>
  <si>
    <t>iajad</t>
  </si>
  <si>
    <t>BB-QA - India</t>
  </si>
  <si>
    <t>7 pm to 10 pm</t>
  </si>
  <si>
    <t>Jitendra.Nim@cardioscribes.com</t>
  </si>
  <si>
    <t>9825582502</t>
  </si>
  <si>
    <t>sharmab</t>
  </si>
  <si>
    <t>Bhakti Sharma</t>
  </si>
  <si>
    <t>ibys</t>
  </si>
  <si>
    <t>10 am to 4 pm</t>
  </si>
  <si>
    <t>bhaktisharma1@yahoo.co.in</t>
  </si>
  <si>
    <t>9910236455</t>
  </si>
  <si>
    <t>gunjanc</t>
  </si>
  <si>
    <t>GUNJAN CHAWDA</t>
  </si>
  <si>
    <t>igpc</t>
  </si>
  <si>
    <t>8 pm to 4 am</t>
  </si>
  <si>
    <t>All</t>
  </si>
  <si>
    <t>gunjan.chavda@cardioscribes.com</t>
  </si>
  <si>
    <t>doubtdt</t>
  </si>
  <si>
    <t>Devang ThakkarBB</t>
  </si>
  <si>
    <t>idvtd</t>
  </si>
  <si>
    <t>7 am to 9 am</t>
  </si>
  <si>
    <t>devang.thakker@cardioscribes.com</t>
  </si>
  <si>
    <t>9825653232</t>
  </si>
  <si>
    <t>mazhart</t>
  </si>
  <si>
    <t>imnt</t>
  </si>
  <si>
    <t>8 am to 4 pm</t>
  </si>
  <si>
    <t>All Accounts</t>
  </si>
  <si>
    <t>9924135228</t>
  </si>
  <si>
    <t>parvej</t>
  </si>
  <si>
    <t>Parvez Shaikh</t>
  </si>
  <si>
    <t>isp</t>
  </si>
  <si>
    <t>9 A.M. To 6 P.M.</t>
  </si>
  <si>
    <t>FHG/WOS</t>
  </si>
  <si>
    <t>parvez.shaikh@cardioscribes.com</t>
  </si>
  <si>
    <t>98246-95885</t>
  </si>
  <si>
    <t>pdesai</t>
  </si>
  <si>
    <t>ipd</t>
  </si>
  <si>
    <t>10 A.M. TO 6 P.M.</t>
  </si>
  <si>
    <t>CVAMD/SVH</t>
  </si>
  <si>
    <t>99254-99193</t>
  </si>
  <si>
    <t>rmodha</t>
  </si>
  <si>
    <t>Rajesh Modha</t>
  </si>
  <si>
    <t>irm</t>
  </si>
  <si>
    <t>rajesh.modha@cardioscribes.com</t>
  </si>
  <si>
    <t>97127-59638</t>
  </si>
  <si>
    <t>Renishb</t>
  </si>
  <si>
    <t>RENISH BHAIRAPURE</t>
  </si>
  <si>
    <t>irbb</t>
  </si>
  <si>
    <t>4 A.M. To 12 P.M.</t>
  </si>
  <si>
    <t>All account</t>
  </si>
  <si>
    <t>9925035143</t>
  </si>
  <si>
    <t>SANTOSH</t>
  </si>
  <si>
    <t>isks</t>
  </si>
  <si>
    <t>1 p.m. to 8 p.m.</t>
  </si>
  <si>
    <t>ALL</t>
  </si>
  <si>
    <t>9586560199</t>
  </si>
  <si>
    <t>shrikantc</t>
  </si>
  <si>
    <t>SHRIKANT CHANDAK</t>
  </si>
  <si>
    <t>iscd</t>
  </si>
  <si>
    <t>10 p.m. to 6 a.m.</t>
  </si>
  <si>
    <t>shrikant.c@cardioscribes.com</t>
  </si>
  <si>
    <t>9924124240</t>
  </si>
  <si>
    <t>shwetap</t>
  </si>
  <si>
    <t>iskp</t>
  </si>
  <si>
    <t>9.00 A.M. TO 7 P.M.</t>
  </si>
  <si>
    <t>FHG/NSCA</t>
  </si>
  <si>
    <t>9998077837/9724540977</t>
  </si>
  <si>
    <t>Sonali</t>
  </si>
  <si>
    <t>ajv</t>
  </si>
  <si>
    <t>10 A.M. To 6 P.M.</t>
  </si>
  <si>
    <t xml:space="preserve">94281-13951/7069034599
</t>
  </si>
  <si>
    <t>Agajjar</t>
  </si>
  <si>
    <t>iadj</t>
  </si>
  <si>
    <t>VR - MT</t>
  </si>
  <si>
    <t>10 am to 6 pm</t>
  </si>
  <si>
    <t>aarti.gajjar@cardioscribes.com</t>
  </si>
  <si>
    <t>9879306349</t>
  </si>
  <si>
    <t>Mchauhan</t>
  </si>
  <si>
    <t>Meera Chauhan</t>
  </si>
  <si>
    <t>imvc</t>
  </si>
  <si>
    <t>CVG/COUG</t>
  </si>
  <si>
    <t>CAMG/NLC</t>
  </si>
  <si>
    <t>meera.chauhan@cardioscribes.com</t>
  </si>
  <si>
    <t>9913432171</t>
  </si>
  <si>
    <t>Pthakore</t>
  </si>
  <si>
    <t>ipyt</t>
  </si>
  <si>
    <t>CVG/CAMG/COUG</t>
  </si>
  <si>
    <t>Auburn/Cophia/TKFC</t>
  </si>
  <si>
    <t>9825564916</t>
  </si>
  <si>
    <t>Vprajapati</t>
  </si>
  <si>
    <t>Vikram Prajapati</t>
  </si>
  <si>
    <t>ivhp</t>
  </si>
  <si>
    <t>9 A.M. To 5 P.M.</t>
  </si>
  <si>
    <t>NOCH/MMH</t>
  </si>
  <si>
    <t>Auburn/HCC/TKFC/RVM</t>
  </si>
  <si>
    <t>vikram.prajapati@cardioscribes.com</t>
  </si>
  <si>
    <t>98250-25878</t>
  </si>
  <si>
    <t>afaiz</t>
  </si>
  <si>
    <t>FAIZ AHMAD</t>
  </si>
  <si>
    <t>iaf</t>
  </si>
  <si>
    <t>10 p.m. - 6 a.m.</t>
  </si>
  <si>
    <t>ALL ACCOUNTS</t>
  </si>
  <si>
    <t>faiz.ahmad@cardioscribes.com</t>
  </si>
  <si>
    <t>8271144857</t>
  </si>
  <si>
    <t>Gthakkar</t>
  </si>
  <si>
    <t>Gaurang Thakkar</t>
  </si>
  <si>
    <t>igst</t>
  </si>
  <si>
    <t>7 am to 3 pm</t>
  </si>
  <si>
    <t>WOS/CAMG</t>
  </si>
  <si>
    <t>NOCH/SVH</t>
  </si>
  <si>
    <t>Healthwin/Coon</t>
  </si>
  <si>
    <t>gaurang.thakkar@cardioscribes.com</t>
  </si>
  <si>
    <t>girishs</t>
  </si>
  <si>
    <t>Girish S</t>
  </si>
  <si>
    <t>igis</t>
  </si>
  <si>
    <t>8:00 p.m. to 4:00 a.m.</t>
  </si>
  <si>
    <t>MJHS, NOCH, RMCA</t>
  </si>
  <si>
    <t>SVH, NSCA, COUG, OGH</t>
  </si>
  <si>
    <t>PMH, BRH, CVPH</t>
  </si>
  <si>
    <t>girish.s@cardioscribes.com</t>
  </si>
  <si>
    <t>7760758231</t>
  </si>
  <si>
    <t>preethau</t>
  </si>
  <si>
    <t>ipau</t>
  </si>
  <si>
    <t>6 a.m. to 2 p.m.</t>
  </si>
  <si>
    <t>WFA/OGH/SMA/KCPC/TNA</t>
  </si>
  <si>
    <t>Dr.Askins/CVG/SWS/HCA</t>
  </si>
  <si>
    <t>CVPH//TKFC/COUG/MMH</t>
  </si>
  <si>
    <t>9323692241</t>
  </si>
  <si>
    <t>adiseshu</t>
  </si>
  <si>
    <t>Adiseshu T</t>
  </si>
  <si>
    <t>iadi</t>
  </si>
  <si>
    <t>MT - India</t>
  </si>
  <si>
    <t>8:30 pm to 5:30 Am</t>
  </si>
  <si>
    <t>AHMH/MJHS</t>
  </si>
  <si>
    <t>All Chennai accounts</t>
  </si>
  <si>
    <t>Venkataadiseshu.t@cardioscribes.com</t>
  </si>
  <si>
    <t>8688905577</t>
  </si>
  <si>
    <t>arunp</t>
  </si>
  <si>
    <t>Arun Prasad</t>
  </si>
  <si>
    <t>iaru</t>
  </si>
  <si>
    <t>VR QA - India</t>
  </si>
  <si>
    <t>9:30 am to 6:30 pm</t>
  </si>
  <si>
    <t>Arun.p@cardioscribes.com</t>
  </si>
  <si>
    <t>9710601946</t>
  </si>
  <si>
    <t>haritha</t>
  </si>
  <si>
    <t>Haritha P</t>
  </si>
  <si>
    <t>ihar</t>
  </si>
  <si>
    <t>11 am to 8 pm</t>
  </si>
  <si>
    <t>haritha_parthagunta@yahoo.co.in</t>
  </si>
  <si>
    <t>9840161384</t>
  </si>
  <si>
    <t>Latha</t>
  </si>
  <si>
    <t>Latha N</t>
  </si>
  <si>
    <t>ilat</t>
  </si>
  <si>
    <t>8:00 am to 5 pm</t>
  </si>
  <si>
    <t>NCSB/RMCA/SMH</t>
  </si>
  <si>
    <t>lathadeva24@yahoo.com</t>
  </si>
  <si>
    <t>9884124170</t>
  </si>
  <si>
    <t>mlatha</t>
  </si>
  <si>
    <t>M.LATHA</t>
  </si>
  <si>
    <t>imld</t>
  </si>
  <si>
    <t>mlatha@cardioscribes.com</t>
  </si>
  <si>
    <t>9176448386</t>
  </si>
  <si>
    <t>Pratheepkumar</t>
  </si>
  <si>
    <t>iapr</t>
  </si>
  <si>
    <t>8 am to 5 pm</t>
  </si>
  <si>
    <t>SOC, OHH</t>
  </si>
  <si>
    <t>9840260165</t>
  </si>
  <si>
    <t>VKRaman</t>
  </si>
  <si>
    <t>Raman K</t>
  </si>
  <si>
    <t>ivkr</t>
  </si>
  <si>
    <t>10:00 am to 6:00 pm</t>
  </si>
  <si>
    <t>kothandaramank@cardioscribes.com</t>
  </si>
  <si>
    <t>7358370189</t>
  </si>
  <si>
    <t>sdoss</t>
  </si>
  <si>
    <t>Saravanan D</t>
  </si>
  <si>
    <t>isan</t>
  </si>
  <si>
    <t>11:30 am to 8:30 pm</t>
  </si>
  <si>
    <t>saravanan.d@cardioscribes.com</t>
  </si>
  <si>
    <t>9840470657</t>
  </si>
  <si>
    <t>shakilas</t>
  </si>
  <si>
    <t>Shakila S</t>
  </si>
  <si>
    <t>ishk</t>
  </si>
  <si>
    <t>4 am to 4 pm</t>
  </si>
  <si>
    <t>Variable Off</t>
  </si>
  <si>
    <t>MJHS, SOC</t>
  </si>
  <si>
    <t>OHH, NCSB</t>
  </si>
  <si>
    <t>shakila.s@cardioscribes.com</t>
  </si>
  <si>
    <t>9940382051</t>
  </si>
  <si>
    <t>Shyamkumara</t>
  </si>
  <si>
    <t>Shyam Kumar</t>
  </si>
  <si>
    <t>isku</t>
  </si>
  <si>
    <t>11:35 pm to 8:35 am</t>
  </si>
  <si>
    <t>RMCA/SMH</t>
  </si>
  <si>
    <t>All Chennai Accounts</t>
  </si>
  <si>
    <t>Shyamkumar.a@cardioscribes.com</t>
  </si>
  <si>
    <t>7299830245</t>
  </si>
  <si>
    <t>sivasankaria</t>
  </si>
  <si>
    <t>issv</t>
  </si>
  <si>
    <t>8189959922</t>
  </si>
  <si>
    <t>asuresh</t>
  </si>
  <si>
    <t>Suresh A</t>
  </si>
  <si>
    <t>iasr</t>
  </si>
  <si>
    <t>SOC, NSCB</t>
  </si>
  <si>
    <t>Suresh.a@cardioscribes.com</t>
  </si>
  <si>
    <t>9941162180</t>
  </si>
  <si>
    <t>nitinp</t>
  </si>
  <si>
    <t>Nitin Panhalkar</t>
  </si>
  <si>
    <t>innp</t>
  </si>
  <si>
    <t>4 a.m. to 12.p.m.</t>
  </si>
  <si>
    <t>nitin.panhalkar@cardioscribes.com</t>
  </si>
  <si>
    <t>9604949628</t>
  </si>
  <si>
    <t>hirent</t>
  </si>
  <si>
    <t>Hiren Thakur</t>
  </si>
  <si>
    <t>ihrt</t>
  </si>
  <si>
    <t>9:30 a.m. to 5:30 p.m.</t>
  </si>
  <si>
    <t>FRHG</t>
  </si>
  <si>
    <t>hiren.thakur@cardioscribes.com</t>
  </si>
  <si>
    <t>8511198116</t>
  </si>
  <si>
    <t>parineetap</t>
  </si>
  <si>
    <t>iprp</t>
  </si>
  <si>
    <t>WFA/KCPC/OGH/TNA</t>
  </si>
  <si>
    <t>SWS/COUG/SMA/CVG/HCA</t>
  </si>
  <si>
    <t>Dr. Askins/TKFC/PHC/MMH</t>
  </si>
  <si>
    <t>Kartik</t>
  </si>
  <si>
    <t>Kartik Rao</t>
  </si>
  <si>
    <t>ikr</t>
  </si>
  <si>
    <t>8 a.m to 4 p.m.</t>
  </si>
  <si>
    <t>ACMC, BRH, RMCA</t>
  </si>
  <si>
    <t>CVPH/NOCH</t>
  </si>
  <si>
    <t>CCH/NMH</t>
  </si>
  <si>
    <t>kartik.rao@cardioscribes.com</t>
  </si>
  <si>
    <t>9879449422</t>
  </si>
  <si>
    <t>Jitendra</t>
  </si>
  <si>
    <t>Jitendra Duduskar</t>
  </si>
  <si>
    <t>ijd</t>
  </si>
  <si>
    <t>HVS/WC/TNA/DNB/MRC</t>
  </si>
  <si>
    <t>Healthwin/NMH/OGH/KCPC</t>
  </si>
  <si>
    <t>SCR/LORA/DR. GARZA/RVM</t>
  </si>
  <si>
    <t>jitendra.duduskar@cardioscribes.com</t>
  </si>
  <si>
    <t>9909754238/6353874022</t>
  </si>
  <si>
    <t>usha</t>
  </si>
  <si>
    <t>ium-t</t>
  </si>
  <si>
    <t>NEeds QA</t>
  </si>
  <si>
    <t>8 p.m. to 4:30 a.m.</t>
  </si>
  <si>
    <t>9384783718</t>
  </si>
  <si>
    <t>lajua</t>
  </si>
  <si>
    <t>Laju Anil</t>
  </si>
  <si>
    <t>ilja-t</t>
  </si>
  <si>
    <t>6 p.m. to 2 a.m.</t>
  </si>
  <si>
    <t>HAH, Auburn</t>
  </si>
  <si>
    <t>lejuanil@gmail.com</t>
  </si>
  <si>
    <t>9995236211</t>
  </si>
  <si>
    <t>rajanikkQA</t>
  </si>
  <si>
    <t>irk-t</t>
  </si>
  <si>
    <t>8 a.m. to 5 p.m.</t>
  </si>
  <si>
    <t>All TVM Accounts</t>
  </si>
  <si>
    <t>8547941714</t>
  </si>
  <si>
    <t>bkharod</t>
  </si>
  <si>
    <t>Bhargavi Kharod</t>
  </si>
  <si>
    <t>ibk</t>
  </si>
  <si>
    <t>bhargavi.kharod@cardioscribes.com</t>
  </si>
  <si>
    <t>99258-39956</t>
  </si>
  <si>
    <t>vijayb</t>
  </si>
  <si>
    <t>ivb-t</t>
  </si>
  <si>
    <t>8 p.m. to 4 AM</t>
  </si>
  <si>
    <t>OIP, SRH</t>
  </si>
  <si>
    <t>9961331897</t>
  </si>
  <si>
    <t>bipin</t>
  </si>
  <si>
    <t>Bipin George</t>
  </si>
  <si>
    <t>ibg-t</t>
  </si>
  <si>
    <t>nicgeo1985@gmail.com</t>
  </si>
  <si>
    <t>8606399266</t>
  </si>
  <si>
    <t>jhasketans</t>
  </si>
  <si>
    <t>Jhasketan Sahu</t>
  </si>
  <si>
    <t>ijs-t</t>
  </si>
  <si>
    <t>jhasketans@yahoo.com</t>
  </si>
  <si>
    <t>9861123109</t>
  </si>
  <si>
    <t>sujathak</t>
  </si>
  <si>
    <t>Sujatha K</t>
  </si>
  <si>
    <t>isuj</t>
  </si>
  <si>
    <t>MT-India</t>
  </si>
  <si>
    <t>8 pm to 5 am</t>
  </si>
  <si>
    <t>sujathak@cardioscribes.com</t>
  </si>
  <si>
    <t>7904183808</t>
  </si>
  <si>
    <t>manojkumara</t>
  </si>
  <si>
    <t>imkr</t>
  </si>
  <si>
    <t>10 pm to 7 am</t>
  </si>
  <si>
    <t>AHMH, OHH, CVPH</t>
  </si>
  <si>
    <t>SSH/OGH/TNA</t>
  </si>
  <si>
    <t>9841402045</t>
  </si>
  <si>
    <t>lsreekala</t>
  </si>
  <si>
    <t>Sreekala L</t>
  </si>
  <si>
    <t>isrl-t</t>
  </si>
  <si>
    <t>LAC, OIP</t>
  </si>
  <si>
    <t>sreekalagopan2@gmail.com</t>
  </si>
  <si>
    <t>9072799782</t>
  </si>
  <si>
    <t>SharadB</t>
  </si>
  <si>
    <t>Sharad Bhatt</t>
  </si>
  <si>
    <t>iskb</t>
  </si>
  <si>
    <t>MTX</t>
  </si>
  <si>
    <t>SATURDAY</t>
  </si>
  <si>
    <t>sharad.bhatt@cardioscribes.com</t>
  </si>
  <si>
    <t>8085267533</t>
  </si>
  <si>
    <t>sajeetha</t>
  </si>
  <si>
    <t>Sajeetha</t>
  </si>
  <si>
    <t>isaa</t>
  </si>
  <si>
    <t>4:30 pm to 1:30 pm</t>
  </si>
  <si>
    <t>sajeetha@cardioscribes.com</t>
  </si>
  <si>
    <t>9941898786</t>
  </si>
  <si>
    <t>Sonali Khanna</t>
  </si>
  <si>
    <t>isk</t>
  </si>
  <si>
    <t>7 a.m. to 12 pm</t>
  </si>
  <si>
    <t>Auburn</t>
  </si>
  <si>
    <t>DHS/EAM</t>
  </si>
  <si>
    <t>sonali.khanna@cardioscribes.com</t>
  </si>
  <si>
    <t>sreelekshmis</t>
  </si>
  <si>
    <t>sreelekshmi suneesh</t>
  </si>
  <si>
    <t>isls-t</t>
  </si>
  <si>
    <t>sreelekshmisuneesh@yahoo.in</t>
  </si>
  <si>
    <t>9562111725</t>
  </si>
  <si>
    <t>BinnyMathai</t>
  </si>
  <si>
    <t>Binny Mathai</t>
  </si>
  <si>
    <t>ibm-t</t>
  </si>
  <si>
    <t>binny0306@gmail.com</t>
  </si>
  <si>
    <t>9847986437</t>
  </si>
  <si>
    <t>GopalRajith</t>
  </si>
  <si>
    <t>irg-t</t>
  </si>
  <si>
    <t>9895369689</t>
  </si>
  <si>
    <t>vinoshk</t>
  </si>
  <si>
    <t>Vinosh K</t>
  </si>
  <si>
    <t>ivnk</t>
  </si>
  <si>
    <t>vinosh.kumar@cardioscribes.com</t>
  </si>
  <si>
    <t>VIJU P.</t>
  </si>
  <si>
    <t>Viju P</t>
  </si>
  <si>
    <t>MT</t>
  </si>
  <si>
    <t>NEEDS QA</t>
  </si>
  <si>
    <t>10 pm to 6 a.m.</t>
  </si>
  <si>
    <t>sunday</t>
  </si>
  <si>
    <t>AUBURN</t>
  </si>
  <si>
    <t>BRH/DHS</t>
  </si>
  <si>
    <t>CCM/OGH/TNA</t>
  </si>
  <si>
    <t>vijuadithya@gmail.com</t>
  </si>
  <si>
    <t>9901167098</t>
  </si>
  <si>
    <t>Manohar Raju</t>
  </si>
  <si>
    <t>mra</t>
  </si>
  <si>
    <t>TNA/OGH, RMCA</t>
  </si>
  <si>
    <t>Auburn, CVPH, BRH</t>
  </si>
  <si>
    <t>TKFC/NOCH</t>
  </si>
  <si>
    <t>gallamanohar@gmail.com</t>
  </si>
  <si>
    <t>GURPREET SINGH</t>
  </si>
  <si>
    <t>Gurpreet Singh</t>
  </si>
  <si>
    <t>SINGH</t>
  </si>
  <si>
    <t>NOCH, CVPH</t>
  </si>
  <si>
    <t>TKFC/KCPC</t>
  </si>
  <si>
    <t>gurpreet2k3@yahoo.com</t>
  </si>
  <si>
    <t>DEBES BANDYOPADHYAY</t>
  </si>
  <si>
    <t>Debes Bandyopadhyay</t>
  </si>
  <si>
    <t>DEBES</t>
  </si>
  <si>
    <t>Moonlight/RVM/CCM</t>
  </si>
  <si>
    <t xml:space="preserve"> TNA/MRC</t>
  </si>
  <si>
    <t>debes.bandyopadhyay@cardioscribes.com/debes24@gmail.com</t>
  </si>
  <si>
    <t>9674302418</t>
  </si>
  <si>
    <t>M. Thiruchelvi</t>
  </si>
  <si>
    <t>MTH</t>
  </si>
  <si>
    <t>MRC/HCA</t>
  </si>
  <si>
    <r>
      <rPr>
        <u/>
        <sz val="11"/>
        <color rgb="FF3C4043"/>
        <rFont val="Calibri"/>
        <family val="2"/>
      </rPr>
      <t>thiruchelvi.m@cardioscribes.com</t>
    </r>
    <r>
      <rPr>
        <sz val="11"/>
        <color rgb="FF000000"/>
        <rFont val="Calibri"/>
        <family val="2"/>
      </rPr>
      <t>/thiruselvi2009@gmail.com</t>
    </r>
  </si>
  <si>
    <t>9551630230</t>
  </si>
  <si>
    <t>Pradumn SinghRathore</t>
  </si>
  <si>
    <t>12:00 PM to 8:00 PM</t>
  </si>
  <si>
    <t>Dr. Chino/MMH</t>
  </si>
  <si>
    <t>MRC/TKFC</t>
  </si>
  <si>
    <r>
      <rPr>
        <u/>
        <sz val="11"/>
        <color rgb="FF3C4043"/>
        <rFont val="Calibri"/>
        <family val="2"/>
      </rPr>
      <t>pradumn.singh@cardioscribes.com</t>
    </r>
    <r>
      <rPr>
        <sz val="11"/>
        <color rgb="FF000000"/>
        <rFont val="Calibri"/>
        <family val="2"/>
      </rPr>
      <t>/pradumn.singh@cardioscribes.com</t>
    </r>
  </si>
  <si>
    <t>9909711299</t>
  </si>
  <si>
    <t>Rameshwar Bagmare</t>
  </si>
  <si>
    <t>irb</t>
  </si>
  <si>
    <t>Moonlight/SMA/MRC</t>
  </si>
  <si>
    <t>TKFC/DNB</t>
  </si>
  <si>
    <t>TNA/HCA</t>
  </si>
  <si>
    <t xml:space="preserve">rameshwar.bagare@cardioscribes.com </t>
  </si>
  <si>
    <t>6354930526</t>
  </si>
  <si>
    <t>Sylas Turner</t>
  </si>
  <si>
    <t>Sailendra Thapa</t>
  </si>
  <si>
    <t>Saturday-Sunday</t>
  </si>
  <si>
    <t>supersowen@gmail.com</t>
  </si>
  <si>
    <t>MTx</t>
  </si>
  <si>
    <t>Sunday-Monday</t>
  </si>
  <si>
    <t>Fundamentals, BOD</t>
  </si>
  <si>
    <t>devisndh@gmail.com</t>
  </si>
  <si>
    <t>7012437080</t>
  </si>
  <si>
    <t>Raji Suresh</t>
  </si>
  <si>
    <t>5 a.m. to 1 p.m.</t>
  </si>
  <si>
    <t>rajii.tr@gmail.com</t>
  </si>
  <si>
    <t>Nirmalap</t>
  </si>
  <si>
    <t>Nirmala P.</t>
  </si>
  <si>
    <t>Chandrakant Patel</t>
  </si>
  <si>
    <t>Upload</t>
  </si>
  <si>
    <t>Arva Tinwala</t>
  </si>
  <si>
    <t>BB</t>
  </si>
  <si>
    <t>Sudha Rajput</t>
  </si>
  <si>
    <t>Rani Bishop</t>
  </si>
  <si>
    <t>Jitendra Parmar</t>
  </si>
  <si>
    <t>QA</t>
  </si>
  <si>
    <t>Aneesh Pillai</t>
  </si>
  <si>
    <t>Auditor</t>
  </si>
  <si>
    <t>rashmi pawar</t>
  </si>
  <si>
    <t>Boney Bishop</t>
  </si>
  <si>
    <t>upload ezdi</t>
  </si>
  <si>
    <t>Naresh Sing</t>
  </si>
  <si>
    <t>Karunesh Tiwari</t>
  </si>
  <si>
    <t>Vipin Nair</t>
  </si>
  <si>
    <t>Indu Raveendran</t>
  </si>
  <si>
    <t>Nirmala Nakkina</t>
  </si>
  <si>
    <t xml:space="preserve">MTx </t>
  </si>
  <si>
    <t>sandosh kumar</t>
  </si>
  <si>
    <t>Sandosh Kumar</t>
  </si>
  <si>
    <t>Kavitha S</t>
  </si>
  <si>
    <t>MT- Vendor</t>
  </si>
  <si>
    <t>BhartiVendor</t>
  </si>
  <si>
    <t>Darsi Chenchuvan</t>
  </si>
  <si>
    <t>Ameet Parekh</t>
  </si>
  <si>
    <t>Shiva Singh</t>
  </si>
  <si>
    <t>MT - Vendor</t>
  </si>
  <si>
    <t>Dipak Patil</t>
  </si>
  <si>
    <t>YVL Yethiraj</t>
  </si>
  <si>
    <t>Savita Kulkarni</t>
  </si>
  <si>
    <t>Sagar Shirsath</t>
  </si>
  <si>
    <t>MTX - Vendor</t>
  </si>
  <si>
    <t>Pankaj Sahu</t>
  </si>
  <si>
    <t>Sivarama Krishnan</t>
  </si>
  <si>
    <t>Sujata Badmande</t>
  </si>
  <si>
    <t>Mukesh Sharma</t>
  </si>
  <si>
    <t>Vasim Bhati</t>
  </si>
  <si>
    <t>Tapas Nayak</t>
  </si>
  <si>
    <t>Nihar Das</t>
  </si>
  <si>
    <t>Vishal Badgujar</t>
  </si>
  <si>
    <t>Pratibha Shegokar</t>
  </si>
  <si>
    <t>Murthyn N</t>
  </si>
  <si>
    <t>Santosh Ahire</t>
  </si>
  <si>
    <t>upload ezditwo</t>
  </si>
  <si>
    <t>Susan Bhowmick</t>
  </si>
  <si>
    <t>KennytransVendor</t>
  </si>
  <si>
    <t>Manik Barat</t>
  </si>
  <si>
    <t>Sujit Banerjee</t>
  </si>
  <si>
    <t>Hemal Vakil</t>
  </si>
  <si>
    <t>Vicky Bishop</t>
  </si>
  <si>
    <t>Manuel Vaughn</t>
  </si>
  <si>
    <t>Manoj Vijayan</t>
  </si>
  <si>
    <t>Samuel Norris</t>
  </si>
  <si>
    <t>Sunil Nair</t>
  </si>
  <si>
    <t>sally aldrich</t>
  </si>
  <si>
    <t>Easwari S</t>
  </si>
  <si>
    <t>sallyaldrich78@gmail.com</t>
  </si>
  <si>
    <t>jackie Austin</t>
  </si>
  <si>
    <t>Jyoti Shankar</t>
  </si>
  <si>
    <t>jyotishankar.gilani@cardioscribes.com</t>
  </si>
  <si>
    <t>Prashant Sakhare</t>
  </si>
  <si>
    <t>Velma Dattisman</t>
  </si>
  <si>
    <t>Vishakha Dongre</t>
  </si>
  <si>
    <t>Pamela Ulmer</t>
  </si>
  <si>
    <t>Prachi Upadhye</t>
  </si>
  <si>
    <t>Chetan Deshmukh</t>
  </si>
  <si>
    <t>Parth Gadhavi</t>
  </si>
  <si>
    <t>Komal Chauhan</t>
  </si>
  <si>
    <t>Harshil Makwana</t>
  </si>
  <si>
    <t>namrata panchal</t>
  </si>
  <si>
    <t>Tejas Patel</t>
  </si>
  <si>
    <t>Karthikeyan</t>
  </si>
  <si>
    <t>Karthikeyan E</t>
  </si>
  <si>
    <t>Hema Pattabhiraman</t>
  </si>
  <si>
    <t>Nancy Taylor</t>
  </si>
  <si>
    <t>US QA</t>
  </si>
  <si>
    <t>US</t>
  </si>
  <si>
    <t>Angelo Fernandes</t>
  </si>
  <si>
    <t>Alan Nair</t>
  </si>
  <si>
    <t>Snehal patel</t>
  </si>
  <si>
    <t>Sun/Mon</t>
  </si>
  <si>
    <t>Bihag</t>
  </si>
  <si>
    <t>Bihag Antani</t>
  </si>
  <si>
    <t>Jasmine Agnes</t>
  </si>
  <si>
    <t>Jayasree Ajith</t>
  </si>
  <si>
    <t>Saturday/Sunday</t>
  </si>
  <si>
    <t>Vineeth P</t>
  </si>
  <si>
    <t>Mahendran P</t>
  </si>
  <si>
    <t>Rahul Patel</t>
  </si>
  <si>
    <t>Rosy Malhotra</t>
  </si>
  <si>
    <t>Charlyn Barsaga</t>
  </si>
  <si>
    <t>Archana Malgundkar</t>
  </si>
  <si>
    <t>PURVANG</t>
  </si>
  <si>
    <t>Rajesh Mehta</t>
  </si>
  <si>
    <t>Areezha Reda</t>
  </si>
  <si>
    <t>Vasanti Desai</t>
  </si>
  <si>
    <t>Aimee Buelva</t>
  </si>
  <si>
    <t>Madhuri</t>
  </si>
  <si>
    <t>Aashi Sakhare</t>
  </si>
  <si>
    <t>Lokesh Patel</t>
  </si>
  <si>
    <t>Indrani Singh</t>
  </si>
  <si>
    <t>Mayank Patel</t>
  </si>
  <si>
    <t>Ankit Choksi</t>
  </si>
  <si>
    <t>Pradeep Chopra</t>
  </si>
  <si>
    <t>Ankit shah</t>
  </si>
  <si>
    <t>Diptesh Massey</t>
  </si>
  <si>
    <t>Hitesh Prajapati</t>
  </si>
  <si>
    <t>Asher Newell</t>
  </si>
  <si>
    <t>Ashik N</t>
  </si>
  <si>
    <t>Mehul Ganatra</t>
  </si>
  <si>
    <t>MG</t>
  </si>
  <si>
    <t>8 PM TO 4 AM</t>
  </si>
  <si>
    <t>SUNDAY</t>
  </si>
  <si>
    <t>AHMEDABAD</t>
  </si>
  <si>
    <t>mehul.ganatra0608@gmail.com</t>
  </si>
  <si>
    <t>Santanu Maji</t>
  </si>
  <si>
    <t>Kavitha Ramachandran</t>
  </si>
  <si>
    <t>Birendra Thakur</t>
  </si>
  <si>
    <t>Rajkumar Maheshwari</t>
  </si>
  <si>
    <t>Varsha Nagdeve</t>
  </si>
  <si>
    <t>Jignesh Tapodhan</t>
  </si>
  <si>
    <t>Sreekala</t>
  </si>
  <si>
    <t>Sunil Thanki</t>
  </si>
  <si>
    <t>Rajesh Yadav</t>
  </si>
  <si>
    <t>JB Gerona</t>
  </si>
  <si>
    <t>Phillipines</t>
  </si>
  <si>
    <t>Javid Jabar Dar</t>
  </si>
  <si>
    <t>Bipin Leuva</t>
  </si>
  <si>
    <t>Sheila Camatayan</t>
  </si>
  <si>
    <t>Suvendu Chakraborty</t>
  </si>
  <si>
    <t>Maxin Fernandez</t>
  </si>
  <si>
    <t>Jitneesh Layal</t>
  </si>
  <si>
    <t>Renjith Ps</t>
  </si>
  <si>
    <t>Laxmi H</t>
  </si>
  <si>
    <t>Muqeet</t>
  </si>
  <si>
    <t>Pallab Halder</t>
  </si>
  <si>
    <t>Manjula Vajpayee</t>
  </si>
  <si>
    <t>Paramesh Kumar</t>
  </si>
  <si>
    <t>Rajiv Khattar</t>
  </si>
  <si>
    <t>Janis Wynn</t>
  </si>
  <si>
    <t>Colleen Patrick</t>
  </si>
  <si>
    <t>MARVIN MILLS</t>
  </si>
  <si>
    <t>CLIENT</t>
  </si>
  <si>
    <t>MOLLY MCDONALD</t>
  </si>
  <si>
    <t>ALLENE SYKES</t>
  </si>
  <si>
    <t>PATRICIA HILL</t>
  </si>
  <si>
    <t>Inga Walker</t>
  </si>
  <si>
    <t>MICHELE COBURN</t>
  </si>
  <si>
    <t>Janak JagirdarAT</t>
  </si>
  <si>
    <t>Audit</t>
  </si>
  <si>
    <t>INDIA</t>
  </si>
  <si>
    <t>ROBERT DOMINY</t>
  </si>
  <si>
    <t>JESSICA GOODWIN</t>
  </si>
  <si>
    <t>MELINDA CIARAMELLO</t>
  </si>
  <si>
    <t>Nantu Dutta</t>
  </si>
  <si>
    <t>Bhanurekha B</t>
  </si>
  <si>
    <t>Leisa LaRoche</t>
  </si>
  <si>
    <t>Laura Schwalbe</t>
  </si>
  <si>
    <t>Rebecca Overdorf</t>
  </si>
  <si>
    <t>Shabana Begum</t>
  </si>
  <si>
    <t>Soumendu Das</t>
  </si>
  <si>
    <t>Deepak Shah</t>
  </si>
  <si>
    <t>Mahesh Patel</t>
  </si>
  <si>
    <t>Arpita Shaw</t>
  </si>
  <si>
    <t>Sonali Shah</t>
  </si>
  <si>
    <t>Cynthia Borden</t>
  </si>
  <si>
    <t>Arjun Kumavat</t>
  </si>
  <si>
    <t>Karishma Jadav</t>
  </si>
  <si>
    <t>Harshida Makwana</t>
  </si>
  <si>
    <t>S. V. Ananth</t>
  </si>
  <si>
    <t>Anirudha Das</t>
  </si>
  <si>
    <t>Vendor</t>
  </si>
  <si>
    <t>Piyush Sharma</t>
  </si>
  <si>
    <t>Madan Saraswat</t>
  </si>
  <si>
    <t>krunal patel</t>
  </si>
  <si>
    <t>Dijish Pullanat</t>
  </si>
  <si>
    <t>NIght</t>
  </si>
  <si>
    <t>Anusha Praveen</t>
  </si>
  <si>
    <t>Vinod Gopinath</t>
  </si>
  <si>
    <t>Rejanan Raghavan</t>
  </si>
  <si>
    <t>Rohan Setia</t>
  </si>
  <si>
    <t>Pragna Manoj</t>
  </si>
  <si>
    <t>LC</t>
  </si>
  <si>
    <t>ankit</t>
  </si>
  <si>
    <t>Rajesh S</t>
  </si>
  <si>
    <t>Rajesh Kumar</t>
  </si>
  <si>
    <t>Harsh Patel</t>
  </si>
  <si>
    <t>Director</t>
  </si>
  <si>
    <t>Akhilesh Agrawal</t>
  </si>
  <si>
    <t>Pritam Kansara</t>
  </si>
  <si>
    <t>Skariah Verghese</t>
  </si>
  <si>
    <t>Radhika P</t>
  </si>
  <si>
    <t>Pritam Gajjar</t>
  </si>
  <si>
    <t>Parth Parikh</t>
  </si>
  <si>
    <t>Simi najas</t>
  </si>
  <si>
    <t>Salma Munavar</t>
  </si>
  <si>
    <t>Suganya Muralidaran</t>
  </si>
  <si>
    <t>Sivakumar Chodagam</t>
  </si>
  <si>
    <t>Arya Sundhar</t>
  </si>
  <si>
    <t>Selvin Christian</t>
  </si>
  <si>
    <t>Rakesh Zaveri</t>
  </si>
  <si>
    <t>rakeshbzaveri@gmail.com</t>
  </si>
  <si>
    <t>Chintan Savaniya</t>
  </si>
  <si>
    <t>Rutvik Khedekar</t>
  </si>
  <si>
    <t>Himani Koshti</t>
  </si>
  <si>
    <t>Suraj Vaghela</t>
  </si>
  <si>
    <t>Sindu N</t>
  </si>
  <si>
    <t>Gurpreet Kaur Babra</t>
  </si>
  <si>
    <t>Debashis Pal</t>
  </si>
  <si>
    <t>Prashanth D</t>
  </si>
  <si>
    <t>Sathish Kumar A</t>
  </si>
  <si>
    <t>Raja JB</t>
  </si>
  <si>
    <t>Adel M Sidky, MD FACC</t>
  </si>
  <si>
    <t>AMS</t>
  </si>
  <si>
    <t>NoGo%</t>
  </si>
  <si>
    <t>No Go</t>
  </si>
  <si>
    <t>Office Visit</t>
  </si>
  <si>
    <t>Major-Number/Value/Dates</t>
  </si>
  <si>
    <t>Major-Drug/Medical Error</t>
  </si>
  <si>
    <t>Internal Medicine</t>
  </si>
  <si>
    <t xml:space="preserve"> Total Error occurrences</t>
  </si>
  <si>
    <t>Kurt L Reintjes, MD</t>
  </si>
  <si>
    <t>Brian Martinez, PAC</t>
  </si>
  <si>
    <t>Craig Mansour, MD</t>
  </si>
  <si>
    <t>Missed</t>
  </si>
  <si>
    <t>PSYCHOLOGICAL REPORT</t>
  </si>
  <si>
    <t>Ortho</t>
  </si>
  <si>
    <t>Shaun T Patel, MD FACC</t>
  </si>
  <si>
    <t>Robert Sogomonian, MD</t>
  </si>
  <si>
    <t>Major-Spelling Error</t>
  </si>
  <si>
    <t>Operative report</t>
  </si>
  <si>
    <t>Joseph Blaser, DO</t>
  </si>
  <si>
    <t>HAH_OP</t>
  </si>
  <si>
    <t>CONSULTATION</t>
  </si>
  <si>
    <t>Julie Morantz, PA</t>
  </si>
  <si>
    <t>Generic Operative Report</t>
  </si>
  <si>
    <t>awaiting_bb</t>
  </si>
  <si>
    <t>Major-Demographics/Formatting/Protocol</t>
  </si>
  <si>
    <t>Reydel B Alvarez, NP-C</t>
  </si>
  <si>
    <t>DISCHARGE SUMMARY</t>
  </si>
  <si>
    <t>History and Physical</t>
  </si>
  <si>
    <t>Yes</t>
  </si>
  <si>
    <t>Ralph J Fritzsch, MD</t>
  </si>
  <si>
    <t>qa_new</t>
  </si>
  <si>
    <t>Operative Report</t>
  </si>
  <si>
    <t>Clinic Template (OHH)</t>
  </si>
  <si>
    <t>Jeffrey C Brackett, MD, FACC</t>
  </si>
  <si>
    <t>Austin Christensen, MD</t>
  </si>
  <si>
    <t>Psychiatric Assessment</t>
  </si>
  <si>
    <t>Travis Hinze, Ph.D.</t>
  </si>
  <si>
    <t>Daniel Alexander, MD</t>
  </si>
  <si>
    <t>John Decker, MD</t>
  </si>
  <si>
    <t>ENT Clinic Follow-Up</t>
  </si>
  <si>
    <t>Marc W Zylstra, PHD</t>
  </si>
  <si>
    <t>Ryan J Veurink, MD</t>
  </si>
  <si>
    <t>Mark Mankins, MD</t>
  </si>
  <si>
    <t>Melissa G Wampler, MD</t>
  </si>
  <si>
    <t>Office Visits</t>
  </si>
  <si>
    <t>Hospital</t>
  </si>
  <si>
    <t>Discharge Summary (OHH)</t>
  </si>
  <si>
    <t>STAT</t>
  </si>
  <si>
    <t>Sylvester G Ramirez, MD</t>
  </si>
  <si>
    <t>Consultation</t>
  </si>
  <si>
    <t>Mark P Goldman, PhD</t>
  </si>
  <si>
    <t>John Chip Davis, MD</t>
  </si>
  <si>
    <t>IVET HARTONIAN, MD  -  PEDIATRICIAN</t>
  </si>
  <si>
    <t>GLENDALE</t>
  </si>
  <si>
    <t>GLENDALE_Clinic Notes</t>
  </si>
  <si>
    <t>ENT Clinic History and Physical</t>
  </si>
  <si>
    <t>Alon A Steinberg, MD, FACC</t>
  </si>
  <si>
    <t>Usha M Total</t>
  </si>
  <si>
    <t>Shiny Iype Total</t>
  </si>
  <si>
    <t>William Smith, MD</t>
  </si>
  <si>
    <t>Vishal Mehta</t>
  </si>
  <si>
    <t>sandeepskn88@gmail.com</t>
  </si>
  <si>
    <t>Brian Miller, MD</t>
  </si>
  <si>
    <t>HAH_MISC</t>
  </si>
  <si>
    <t>Eve Burns, MD</t>
  </si>
  <si>
    <t>Mark Pushkash, Ph.D.</t>
  </si>
  <si>
    <t>Adam Abodeely, MD</t>
  </si>
  <si>
    <t>Discharge Summary</t>
  </si>
  <si>
    <t>Jessica Moja, MD</t>
  </si>
  <si>
    <t>HAH_PFT</t>
  </si>
  <si>
    <t>Procedure Note</t>
  </si>
  <si>
    <t>SSTAT</t>
  </si>
  <si>
    <t>Emmett R Mackan, MD</t>
  </si>
  <si>
    <t>Progress Note</t>
  </si>
  <si>
    <t>Blake Little, MD</t>
  </si>
  <si>
    <t>HAH_SLEEP</t>
  </si>
  <si>
    <t>Jeffrey Dodge, DO</t>
  </si>
  <si>
    <t>Joel Wietfeldt, MD</t>
  </si>
  <si>
    <t>Christopher Sanchez, MD</t>
  </si>
  <si>
    <t>Kamran Khan, DO</t>
  </si>
  <si>
    <t>History &amp; Physical</t>
  </si>
  <si>
    <t>Daniel Zakhary, MD</t>
  </si>
  <si>
    <t>STRESS TEST REPORT</t>
  </si>
  <si>
    <t>Manuel Ojeda, MD</t>
  </si>
  <si>
    <t>NursingHome</t>
  </si>
  <si>
    <t>Progress Note (Nursing Home)</t>
  </si>
  <si>
    <t>Sabieli Kabeli, MD</t>
  </si>
  <si>
    <t>SLEEP STUDY</t>
  </si>
  <si>
    <t>Joseph Schwartzer, MD</t>
  </si>
  <si>
    <t>Chennai</t>
  </si>
  <si>
    <t>Integrated Care Unit_Progress Note_3</t>
  </si>
  <si>
    <t>ROBERT KAY, MD  -  ORTHOPEDIST</t>
  </si>
  <si>
    <t>PACIFICBLVD</t>
  </si>
  <si>
    <t>PACIFICBLVD_Clinic Notes</t>
  </si>
  <si>
    <t>Paul Valenza, DPM</t>
  </si>
  <si>
    <t>Jill N Jones, NP</t>
  </si>
  <si>
    <t>Cost Center CAS ICARE</t>
  </si>
  <si>
    <t>Kelly Sullivan, DO</t>
  </si>
  <si>
    <t>PACT_Progress Note 2</t>
  </si>
  <si>
    <t>Lisa Cao, MD - Orthopedist</t>
  </si>
  <si>
    <t>SANPEDRO</t>
  </si>
  <si>
    <t>SANPEDRO_Clinic Notes</t>
  </si>
  <si>
    <t>MIDCITIES</t>
  </si>
  <si>
    <t>MIDCITIES_Clinic Notes</t>
  </si>
  <si>
    <t>LONGBEACH</t>
  </si>
  <si>
    <t>LONGBEACH_Clinic Notes</t>
  </si>
  <si>
    <t>Gnaneswer Billakanti, MD</t>
  </si>
  <si>
    <t>GIZELLE STEVENS, MD</t>
  </si>
  <si>
    <t>RMCA_PFT</t>
  </si>
  <si>
    <t>DONALD T NORBY, DMD</t>
  </si>
  <si>
    <t>RMCA_OP</t>
  </si>
  <si>
    <t>jobs4savitha@gmail.com</t>
  </si>
  <si>
    <t>Tejasahm@gmail.com</t>
  </si>
  <si>
    <t>David Radovich, Psy.D</t>
  </si>
  <si>
    <t>Jonathan Still, MD</t>
  </si>
  <si>
    <t>Rebecca Flegner, PsyD</t>
  </si>
  <si>
    <t>Melissa Murillo, PA</t>
  </si>
  <si>
    <t>Null</t>
  </si>
  <si>
    <t>James A Young, MD</t>
  </si>
  <si>
    <t>Hospice</t>
  </si>
  <si>
    <t>Michael E Guerra, MD</t>
  </si>
  <si>
    <t>JEFFREY LAWLER, MD</t>
  </si>
  <si>
    <t>GARDENA</t>
  </si>
  <si>
    <t>GARDENA_Clinic Notes</t>
  </si>
  <si>
    <t>SUE YOUNG, DMD</t>
  </si>
  <si>
    <t>Holter Monitor</t>
  </si>
  <si>
    <t>ZACHARY DODD, MD</t>
  </si>
  <si>
    <t>Pediatric_Initial Psychiatric Evaluation</t>
  </si>
  <si>
    <t>Kara E Whittington, DDS</t>
  </si>
  <si>
    <t>Ivor Purchas, MD</t>
  </si>
  <si>
    <t>SA_Progress Note</t>
  </si>
  <si>
    <t>Shahida Munim, MD</t>
  </si>
  <si>
    <t>chintul.s@mediscribes.com</t>
  </si>
  <si>
    <t>Thomas S Lehmann, PHD</t>
  </si>
  <si>
    <t>Christopher M Cesa, MD</t>
  </si>
  <si>
    <t>GEMMS OV-CONS.TEMPLATE</t>
  </si>
  <si>
    <t xml:space="preserve">Jules J Barefoot, </t>
  </si>
  <si>
    <t>Independent Medical Examination</t>
  </si>
  <si>
    <t>ready_for_review</t>
  </si>
  <si>
    <t>ROHIT GHANSHYAMBHAI PATEL, MD</t>
  </si>
  <si>
    <t>RMCA_SLEEP_STUDY</t>
  </si>
  <si>
    <t>Mary Law, Psy. D</t>
  </si>
  <si>
    <t>History and Physical (Nursing Home)</t>
  </si>
  <si>
    <t>Kathi F Teixeira, MD</t>
  </si>
  <si>
    <t>Richard Field, III, M.D.</t>
  </si>
  <si>
    <t>Clinic Patient Note</t>
  </si>
  <si>
    <t>Ward Jankus, MD</t>
  </si>
  <si>
    <t>JankusOrtho</t>
  </si>
  <si>
    <t>Dr Jankus Ortho</t>
  </si>
  <si>
    <t>Scott Trippe, Psy.D.</t>
  </si>
  <si>
    <t>EXERCISE MYOVIEW STRESS TEST</t>
  </si>
  <si>
    <t>Joan R Nuttall, Ph.D</t>
  </si>
  <si>
    <t>Brian Allen, DO</t>
  </si>
  <si>
    <t>Operation Note</t>
  </si>
  <si>
    <t>Mark Cassol, M.D.</t>
  </si>
  <si>
    <t>Letter</t>
  </si>
  <si>
    <t>MATTIE BENNETT, DMD</t>
  </si>
  <si>
    <t>PANKAJ KASHYAP, MD</t>
  </si>
  <si>
    <t>awaiting_qa</t>
  </si>
  <si>
    <t>FERNANDO NUSSENBAUM, MD</t>
  </si>
  <si>
    <t>Jonathan Dukes, MD</t>
  </si>
  <si>
    <t>Marianne Wudarsky, MD, PhD</t>
  </si>
  <si>
    <t>OV</t>
  </si>
  <si>
    <t>Joseph Roe, PsyD</t>
  </si>
  <si>
    <t>MAHOMED YAZEED SALAME, MD</t>
  </si>
  <si>
    <t>RMCA_NUCLEAR_STRESS</t>
  </si>
  <si>
    <t>Bevins Chue, MD</t>
  </si>
  <si>
    <t>NEUROLOGY EXAM</t>
  </si>
  <si>
    <t>Sean P Lacy, DO</t>
  </si>
  <si>
    <t>Tejas Patel Total</t>
  </si>
  <si>
    <t>Sivasankari A Total</t>
  </si>
  <si>
    <t>Sandeep S Total</t>
  </si>
  <si>
    <t>Vijay Babu Total</t>
  </si>
  <si>
    <t>Chintul Sutaria Total</t>
  </si>
  <si>
    <t>Gopal Rajith Total</t>
  </si>
  <si>
    <t>Pratheep Kumar Total</t>
  </si>
  <si>
    <t>Savitha Arun Total</t>
  </si>
  <si>
    <t>mt_new Total</t>
  </si>
  <si>
    <t>qa_new Total</t>
  </si>
  <si>
    <t>Adel M Sidky, MD FACC Total</t>
  </si>
  <si>
    <t>William Smith, MD Total</t>
  </si>
  <si>
    <t>John Decker, MD Total</t>
  </si>
  <si>
    <t>Eve Burns, MD Total</t>
  </si>
  <si>
    <t>Daniel Zakhary, MD Total</t>
  </si>
  <si>
    <t>Sabieli Kabeli, MD Total</t>
  </si>
  <si>
    <t>Adam Abodeely, MD Total</t>
  </si>
  <si>
    <t>Jeffrey Dodge, DO Total</t>
  </si>
  <si>
    <t>Adirondack Medical Center Total</t>
  </si>
  <si>
    <t>Daniel Alexander, MD Total</t>
  </si>
  <si>
    <t>Kathi F Teixeira, MD Total</t>
  </si>
  <si>
    <t>Auburn Community Hospital Total</t>
  </si>
  <si>
    <t>Jeffrey C Brackett, MD, FACC Total</t>
  </si>
  <si>
    <t>Melissa Murillo, PA Total</t>
  </si>
  <si>
    <t>Brian Martinez, PAC Total</t>
  </si>
  <si>
    <t>Craig Mansour, MD Total</t>
  </si>
  <si>
    <t>Julie Morantz, PA Total</t>
  </si>
  <si>
    <t>Alon A Steinberg, MD, FACC Total</t>
  </si>
  <si>
    <t>Jonathan Dukes, MD Total</t>
  </si>
  <si>
    <t>Robert Sogomonian, MD Total</t>
  </si>
  <si>
    <t>Shaun T Patel, MD FACC Total</t>
  </si>
  <si>
    <t>Cardiology Associates Medical Group Total</t>
  </si>
  <si>
    <t>Mark Cassol, M.D. Total</t>
  </si>
  <si>
    <t>Cassol Eye Total</t>
  </si>
  <si>
    <t>Reydel B Alvarez, NP-C Total</t>
  </si>
  <si>
    <t>Bevins Chue, MD Total</t>
  </si>
  <si>
    <t>Coronado Ridge Nursing and Rehab Center Total</t>
  </si>
  <si>
    <t>Mark Pushkash, Ph.D. Total</t>
  </si>
  <si>
    <t>Rebecca Flegner, PsyD Total</t>
  </si>
  <si>
    <t>Shahida Munim, MD Total</t>
  </si>
  <si>
    <t>Scott Trippe, Psy.D. Total</t>
  </si>
  <si>
    <t>David Radovich, Psy.D Total</t>
  </si>
  <si>
    <t>Travis Hinze, Ph.D. Total</t>
  </si>
  <si>
    <t>Joan R Nuttall, Ph.D Total</t>
  </si>
  <si>
    <t>Joseph Roe, PsyD Total</t>
  </si>
  <si>
    <t>Kurt L Reintjes, MD Total</t>
  </si>
  <si>
    <t>Thomas S Lehmann, PHD Total</t>
  </si>
  <si>
    <t>Marc W Zylstra, PHD Total</t>
  </si>
  <si>
    <t>Ward Jankus, MD Total</t>
  </si>
  <si>
    <t>Brian Allen, DO Total</t>
  </si>
  <si>
    <t>Mary Law, Psy. D Total</t>
  </si>
  <si>
    <t>Department Of Health Services - Wisconsin Total</t>
  </si>
  <si>
    <t>Richard Field, III, M.D. Total</t>
  </si>
  <si>
    <t>Field Memorial Community Hospital Total</t>
  </si>
  <si>
    <t>Fred V Lause, DPM Total</t>
  </si>
  <si>
    <t>Kamran Khan, DO Total</t>
  </si>
  <si>
    <t>Jonathan Still, MD Total</t>
  </si>
  <si>
    <t>Austin Christensen, MD Total</t>
  </si>
  <si>
    <t>Gnaneswer Billakanti, MD Total</t>
  </si>
  <si>
    <t>Harmon Medical And Rehabilitation Hospital Total</t>
  </si>
  <si>
    <t>Blake Little, MD Total</t>
  </si>
  <si>
    <t>Joel Wietfeldt, MD Total</t>
  </si>
  <si>
    <t>Joseph Blaser, DO Total</t>
  </si>
  <si>
    <t>Brian Miller, MD Total</t>
  </si>
  <si>
    <t>Jessica Moja, MD Total</t>
  </si>
  <si>
    <t>Hillsboro Area Hospital Total</t>
  </si>
  <si>
    <t>Horizon Health And Rehabilitation Center Total</t>
  </si>
  <si>
    <t>Lisa Cao, MD - Orthopedist Total</t>
  </si>
  <si>
    <t>IVET HARTONIAN, MD  -  PEDIATRICIAN Total</t>
  </si>
  <si>
    <t>ROBERT KAY, MD  -  ORTHOPEDIST Total</t>
  </si>
  <si>
    <t>LA County Total</t>
  </si>
  <si>
    <t>Jules J Barefoot,  Total</t>
  </si>
  <si>
    <t>MEDICAL RESOURCE CENTER Total</t>
  </si>
  <si>
    <t>Manuel Ojeda, MD Total</t>
  </si>
  <si>
    <t>Miami Jewish Health Systems Total</t>
  </si>
  <si>
    <t>Kelly Sullivan, DO Total</t>
  </si>
  <si>
    <t>Ivor Purchas, MD Total</t>
  </si>
  <si>
    <t>Joseph Schwartzer, MD Total</t>
  </si>
  <si>
    <t>Jill N Jones, NP Total</t>
  </si>
  <si>
    <t>Norfolk Community Service Board Total</t>
  </si>
  <si>
    <t>Christopher M Cesa, MD Total</t>
  </si>
  <si>
    <t>North Suffolk Cardiology Associates Total</t>
  </si>
  <si>
    <t>Sean P Lacy, DO Total</t>
  </si>
  <si>
    <t>Northland Cardiology Total</t>
  </si>
  <si>
    <t>Mark Mankins, MD Total</t>
  </si>
  <si>
    <t>Olney Hamiltion Hospital Total</t>
  </si>
  <si>
    <t>Melissa G Wampler, MD Total</t>
  </si>
  <si>
    <t>Sylvester G Ramirez, MD Total</t>
  </si>
  <si>
    <t>Paul Valenza, DPM Total</t>
  </si>
  <si>
    <t>Kara E Whittington, DDS Total</t>
  </si>
  <si>
    <t>Mark P Goldman, PhD Total</t>
  </si>
  <si>
    <t>James A Young, MD Total</t>
  </si>
  <si>
    <t>Ryan J Veurink, MD Total</t>
  </si>
  <si>
    <t>Ralph J Fritzsch, MD Total</t>
  </si>
  <si>
    <t>Emmett R Mackan, MD Total</t>
  </si>
  <si>
    <t>Michael E Guerra, MD Total</t>
  </si>
  <si>
    <t>Peterson Regional Medical Center Total</t>
  </si>
  <si>
    <t>MATTIE BENNETT, DMD Total</t>
  </si>
  <si>
    <t>DONALD T NORBY, DMD Total</t>
  </si>
  <si>
    <t>ROHIT GHANSHYAMBHAI PATEL, MD Total</t>
  </si>
  <si>
    <t>GIZELLE STEVENS, MD Total</t>
  </si>
  <si>
    <t>MAHOMED YAZEED SALAME, MD Total</t>
  </si>
  <si>
    <t>Regional Medical Center Anniston Total</t>
  </si>
  <si>
    <t>Sagebrush Medical Consultants Total</t>
  </si>
  <si>
    <t>John Chip Davis, MD Total</t>
  </si>
  <si>
    <t>ZACHARY DODD, MD Total</t>
  </si>
  <si>
    <t>Christopher Sanchez, MD Total</t>
  </si>
  <si>
    <t>FERNANDO NUSSENBAUM, MD Total</t>
  </si>
  <si>
    <t>Sterling Surgical Hospital Total</t>
  </si>
  <si>
    <t>JEFFREY LAWLER, MD Total</t>
  </si>
  <si>
    <t>SUE YOUNG, DMD Total</t>
  </si>
  <si>
    <t>PANKAJ KASHYAP, MD Total</t>
  </si>
  <si>
    <t>Stringfellow Memorial Hospital Total</t>
  </si>
  <si>
    <t>Marianne Wudarsky, MD, PhD Total</t>
  </si>
  <si>
    <t>The Klingberg Family Centers Total</t>
  </si>
  <si>
    <t>Devi Balu Total</t>
  </si>
  <si>
    <t>Manoj Kumar Total</t>
  </si>
  <si>
    <t>Nitheesh C Total</t>
  </si>
  <si>
    <t>Prasanth Sivan Total</t>
  </si>
  <si>
    <t>Nimesh Bhavsar Total</t>
  </si>
  <si>
    <t>Parineeta Patel Total</t>
  </si>
  <si>
    <t>Snehal patel Total</t>
  </si>
  <si>
    <t>Bihag Antani Total</t>
  </si>
  <si>
    <t xml:space="preserve"> Responsible User / Error Name</t>
  </si>
  <si>
    <t xml:space="preserve"> Error Type</t>
  </si>
  <si>
    <t>Total Files Audited</t>
  </si>
  <si>
    <t>GO %</t>
  </si>
  <si>
    <t>NoGo Count</t>
  </si>
  <si>
    <t>NoGo %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</si>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</sst>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1"/>
      <color rgb="FF1155CC"/>
      <name val="Calibri"/>
      <family val="2"/>
    </font>
    <font>
      <b/>
      <sz val="11"/>
      <color rgb="FF000000"/>
      <name val="Calibri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89B7"/>
      <name val="Roboto"/>
    </font>
    <font>
      <b/>
      <i/>
      <sz val="11"/>
      <color rgb="FF000000"/>
      <name val="Calibri"/>
      <family val="2"/>
    </font>
    <font>
      <u/>
      <sz val="11"/>
      <color rgb="FF3C4043"/>
      <name val="Calibri"/>
      <family val="2"/>
    </font>
    <font>
      <b/>
      <sz val="14"/>
      <color rgb="FF333333"/>
      <name val="Calibri"/>
      <family val="2"/>
      <scheme val="minor"/>
    </font>
    <font>
      <sz val="28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F3E5EA"/>
        <bgColor indexed="64"/>
      </patternFill>
    </fill>
    <fill>
      <patternFill patternType="solid">
        <fgColor rgb="FFF3E5EA"/>
        <bgColor theme="5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5F7F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6">
    <xf numFmtId="0" fontId="0" fillId="0" borderId="0" xfId="0"/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pivotButton="1" applyBorder="1" applyAlignment="1">
      <alignment horizontal="center" vertical="center"/>
    </xf>
    <xf numFmtId="0" fontId="0" fillId="0" borderId="10" xfId="0" pivotButton="1" applyBorder="1" applyAlignment="1">
      <alignment horizontal="center" vertical="center" wrapText="1"/>
    </xf>
    <xf numFmtId="2" fontId="0" fillId="0" borderId="0" xfId="0" applyNumberFormat="1"/>
    <xf numFmtId="0" fontId="16" fillId="34" borderId="10" xfId="1" applyNumberFormat="1" applyFont="1" applyFill="1" applyBorder="1" applyAlignment="1">
      <alignment horizontal="center"/>
    </xf>
    <xf numFmtId="0" fontId="16" fillId="38" borderId="10" xfId="1" applyNumberFormat="1" applyFont="1" applyFill="1" applyBorder="1" applyAlignment="1">
      <alignment horizontal="center"/>
    </xf>
    <xf numFmtId="0" fontId="18" fillId="33" borderId="10" xfId="1" applyNumberFormat="1" applyFon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/>
    <xf numFmtId="9" fontId="0" fillId="0" borderId="0" xfId="1" applyFont="1"/>
    <xf numFmtId="0" fontId="13" fillId="36" borderId="10" xfId="0" applyFont="1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10" xfId="0" pivotButton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2" fontId="0" fillId="0" borderId="10" xfId="0" applyNumberFormat="1" applyBorder="1" applyAlignment="1" applyProtection="1">
      <alignment horizontal="center"/>
      <protection locked="0"/>
    </xf>
    <xf numFmtId="0" fontId="20" fillId="39" borderId="10" xfId="0" applyFont="1" applyFill="1" applyBorder="1" applyAlignment="1">
      <alignment horizontal="center"/>
    </xf>
    <xf numFmtId="0" fontId="21" fillId="39" borderId="10" xfId="0" applyFont="1" applyFill="1" applyBorder="1" applyAlignment="1">
      <alignment horizontal="center"/>
    </xf>
    <xf numFmtId="0" fontId="18" fillId="40" borderId="10" xfId="0" applyFont="1" applyFill="1" applyBorder="1" applyAlignment="1">
      <alignment horizontal="center" vertical="center"/>
    </xf>
    <xf numFmtId="0" fontId="22" fillId="40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7" fillId="41" borderId="10" xfId="0" applyFont="1" applyFill="1" applyBorder="1" applyAlignment="1">
      <alignment horizontal="center" vertical="center"/>
    </xf>
    <xf numFmtId="0" fontId="28" fillId="42" borderId="10" xfId="0" applyFont="1" applyFill="1" applyBorder="1" applyAlignment="1">
      <alignment horizontal="center" vertical="center"/>
    </xf>
    <xf numFmtId="49" fontId="28" fillId="42" borderId="10" xfId="0" applyNumberFormat="1" applyFont="1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top"/>
    </xf>
    <xf numFmtId="0" fontId="0" fillId="41" borderId="10" xfId="0" applyFill="1" applyBorder="1" applyAlignment="1">
      <alignment horizontal="center" vertical="center"/>
    </xf>
    <xf numFmtId="0" fontId="23" fillId="41" borderId="10" xfId="0" applyFont="1" applyFill="1" applyBorder="1" applyAlignment="1">
      <alignment horizontal="center" vertical="center"/>
    </xf>
    <xf numFmtId="49" fontId="0" fillId="41" borderId="10" xfId="0" applyNumberFormat="1" applyFill="1" applyBorder="1" applyAlignment="1">
      <alignment horizontal="center" vertical="center"/>
    </xf>
    <xf numFmtId="0" fontId="0" fillId="0" borderId="10" xfId="0" applyBorder="1"/>
    <xf numFmtId="0" fontId="23" fillId="41" borderId="11" xfId="0" applyFont="1" applyFill="1" applyBorder="1" applyAlignment="1">
      <alignment horizontal="center" vertical="center"/>
    </xf>
    <xf numFmtId="0" fontId="0" fillId="41" borderId="11" xfId="0" applyFill="1" applyBorder="1" applyAlignment="1">
      <alignment horizontal="center" vertical="center"/>
    </xf>
    <xf numFmtId="0" fontId="18" fillId="33" borderId="12" xfId="1" applyNumberFormat="1" applyFont="1" applyFill="1" applyBorder="1" applyAlignment="1">
      <alignment horizontal="center"/>
    </xf>
    <xf numFmtId="0" fontId="13" fillId="36" borderId="12" xfId="0" applyFont="1" applyFill="1" applyBorder="1" applyAlignment="1">
      <alignment horizontal="center" vertical="center" wrapText="1"/>
    </xf>
    <xf numFmtId="10" fontId="0" fillId="0" borderId="10" xfId="1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13" fillId="36" borderId="10" xfId="0" applyFont="1" applyFill="1" applyBorder="1" applyAlignment="1">
      <alignment horizontal="center" vertical="center" wrapText="1"/>
    </xf>
    <xf numFmtId="0" fontId="16" fillId="43" borderId="10" xfId="0" applyFont="1" applyFill="1" applyBorder="1" applyAlignment="1">
      <alignment horizontal="center"/>
    </xf>
    <xf numFmtId="0" fontId="0" fillId="44" borderId="10" xfId="0" applyFill="1" applyBorder="1" applyAlignment="1">
      <alignment horizontal="center"/>
    </xf>
    <xf numFmtId="9" fontId="16" fillId="45" borderId="10" xfId="1" applyFont="1" applyFill="1" applyBorder="1" applyAlignment="1">
      <alignment horizontal="center" vertical="center"/>
    </xf>
    <xf numFmtId="9" fontId="16" fillId="43" borderId="10" xfId="1" applyFont="1" applyFill="1" applyBorder="1" applyAlignment="1">
      <alignment horizontal="center" vertical="center"/>
    </xf>
    <xf numFmtId="0" fontId="13" fillId="36" borderId="10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/>
    </xf>
    <xf numFmtId="0" fontId="19" fillId="37" borderId="0" xfId="0" applyFont="1" applyFill="1" applyAlignment="1" applyProtection="1">
      <alignment horizontal="center"/>
      <protection locked="0"/>
    </xf>
    <xf numFmtId="0" fontId="19" fillId="37" borderId="0" xfId="0" applyFont="1" applyFill="1" applyAlignment="1">
      <alignment horizontal="center"/>
    </xf>
    <xf numFmtId="0" fontId="16" fillId="43" borderId="13" xfId="0" applyFont="1" applyFill="1" applyBorder="1" applyAlignment="1">
      <alignment horizontal="center" vertical="center"/>
    </xf>
    <xf numFmtId="0" fontId="16" fillId="43" borderId="14" xfId="0" applyFont="1" applyFill="1" applyBorder="1" applyAlignment="1">
      <alignment horizontal="center" vertical="center"/>
    </xf>
    <xf numFmtId="0" fontId="16" fillId="43" borderId="15" xfId="0" applyFont="1" applyFill="1" applyBorder="1" applyAlignment="1">
      <alignment horizontal="center" vertical="center"/>
    </xf>
    <xf numFmtId="0" fontId="0" fillId="46" borderId="12" xfId="0" applyFill="1" applyBorder="1" applyAlignment="1">
      <alignment horizontal="center" vertical="center"/>
    </xf>
    <xf numFmtId="0" fontId="0" fillId="46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44" borderId="10" xfId="0" applyFill="1" applyBorder="1" applyAlignment="1">
      <alignment horizontal="center" vertical="center"/>
    </xf>
    <xf numFmtId="0" fontId="0" fillId="44" borderId="10" xfId="0" applyFill="1" applyBorder="1" applyAlignment="1">
      <alignment horizontal="center"/>
    </xf>
    <xf numFmtId="0" fontId="0" fillId="46" borderId="1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46" borderId="10" xfId="0" applyFill="1" applyBorder="1" applyAlignment="1">
      <alignment horizontal="center" vertical="center" wrapText="1"/>
    </xf>
    <xf numFmtId="0" fontId="0" fillId="46" borderId="10" xfId="0" applyFill="1" applyBorder="1" applyAlignment="1">
      <alignment horizontal="center"/>
    </xf>
    <xf numFmtId="0" fontId="16" fillId="47" borderId="10" xfId="0" applyFont="1" applyFill="1" applyBorder="1" applyAlignment="1">
      <alignment horizontal="center" vertical="center" wrapText="1"/>
    </xf>
    <xf numFmtId="0" fontId="16" fillId="47" borderId="10" xfId="0" applyFon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46" borderId="10" xfId="0" applyNumberFormat="1" applyFill="1" applyBorder="1" applyAlignment="1">
      <alignment horizontal="center"/>
    </xf>
    <xf numFmtId="0" fontId="16" fillId="47" borderId="10" xfId="0" applyNumberFormat="1" applyFont="1" applyFill="1" applyBorder="1" applyAlignment="1">
      <alignment horizontal="center"/>
    </xf>
    <xf numFmtId="0" fontId="30" fillId="48" borderId="17" xfId="0" applyFont="1" applyFill="1" applyBorder="1" applyAlignment="1">
      <alignment horizontal="center" vertical="center"/>
    </xf>
    <xf numFmtId="0" fontId="30" fillId="48" borderId="18" xfId="0" applyFont="1" applyFill="1" applyBorder="1" applyAlignment="1">
      <alignment horizontal="center" vertical="center"/>
    </xf>
    <xf numFmtId="0" fontId="30" fillId="48" borderId="19" xfId="0" applyFont="1" applyFill="1" applyBorder="1" applyAlignment="1">
      <alignment horizontal="center" vertical="center"/>
    </xf>
    <xf numFmtId="10" fontId="31" fillId="48" borderId="17" xfId="1" applyNumberFormat="1" applyFont="1" applyFill="1" applyBorder="1" applyAlignment="1">
      <alignment horizontal="center" vertical="center"/>
    </xf>
    <xf numFmtId="10" fontId="31" fillId="48" borderId="18" xfId="1" applyNumberFormat="1" applyFont="1" applyFill="1" applyBorder="1" applyAlignment="1">
      <alignment horizontal="center" vertical="center"/>
    </xf>
    <xf numFmtId="0" fontId="0" fillId="46" borderId="10" xfId="0" applyFill="1" applyBorder="1" applyAlignment="1">
      <alignment horizontal="center" vertical="center"/>
    </xf>
    <xf numFmtId="0" fontId="31" fillId="48" borderId="17" xfId="0" applyFont="1" applyFill="1" applyBorder="1" applyAlignment="1">
      <alignment horizontal="center" vertical="center"/>
    </xf>
    <xf numFmtId="0" fontId="31" fillId="48" borderId="18" xfId="0" applyFont="1" applyFill="1" applyBorder="1" applyAlignment="1">
      <alignment horizontal="center" vertical="center"/>
    </xf>
    <xf numFmtId="0" fontId="31" fillId="48" borderId="19" xfId="0" applyFont="1" applyFill="1" applyBorder="1" applyAlignment="1">
      <alignment horizontal="center" vertical="center"/>
    </xf>
    <xf numFmtId="10" fontId="31" fillId="48" borderId="19" xfId="1" applyNumberFormat="1" applyFont="1" applyFill="1" applyBorder="1" applyAlignment="1">
      <alignment horizontal="center" vertical="center"/>
    </xf>
    <xf numFmtId="1" fontId="31" fillId="48" borderId="17" xfId="1" applyNumberFormat="1" applyFont="1" applyFill="1" applyBorder="1" applyAlignment="1">
      <alignment horizontal="center" vertical="center"/>
    </xf>
    <xf numFmtId="1" fontId="31" fillId="48" borderId="18" xfId="1" applyNumberFormat="1" applyFont="1" applyFill="1" applyBorder="1" applyAlignment="1">
      <alignment horizontal="center" vertical="center"/>
    </xf>
    <xf numFmtId="1" fontId="31" fillId="48" borderId="19" xfId="1" applyNumberFormat="1" applyFon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19">
    <dxf>
      <font>
        <color rgb="FF9C0006"/>
      </font>
      <fill>
        <patternFill>
          <bgColor rgb="FFFFC7CE"/>
        </patternFill>
      </fill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0" tint="-0.14999847407452621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2" formatCode="0.00"/>
    </dxf>
    <dxf>
      <numFmt numFmtId="2" formatCode="0.0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2" formatCode="0.00"/>
    </dxf>
    <dxf>
      <numFmt numFmtId="2" formatCode="0.0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333333"/>
      <color rgb="FFF5F7FA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Go vs Nogo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DashBoard!$AA$8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DashBoard!$Z$9:$Z$10</c:f>
              <c:strCache>
                <c:ptCount val="2"/>
                <c:pt idx="0">
                  <c:v>Go</c:v>
                </c:pt>
                <c:pt idx="1">
                  <c:v>NoGo</c:v>
                </c:pt>
              </c:strCache>
            </c:strRef>
          </c:cat>
          <c:val>
            <c:numRef>
              <c:f>DashBoard!$AA$9:$AA$10</c:f>
              <c:numCache>
                <c:formatCode>General</c:formatCode>
                <c:ptCount val="2"/>
                <c:pt idx="0">
                  <c:v>174</c:v>
                </c:pt>
                <c:pt idx="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3-4DCE-A6AB-328A852DC9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27"/>
        <c:axId val="24841871"/>
        <c:axId val="24842351"/>
      </c:barChart>
      <c:catAx>
        <c:axId val="2484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2351"/>
        <c:crosses val="autoZero"/>
        <c:auto val="1"/>
        <c:lblAlgn val="ctr"/>
        <c:lblOffset val="100"/>
        <c:noMultiLvlLbl val="0"/>
      </c:catAx>
      <c:valAx>
        <c:axId val="2484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>
          <a:solidFill>
            <a:srgbClr val="333333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[Primary Analysis 042426.xlsx]Error Details !PivotTable8</c:name>
    <c:fmtId val="1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dk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Error Count Graph</a:t>
            </a:r>
            <a:endParaRPr lang="en-US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marker>
          <c:symbol val="none"/>
        </c:marke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accent1"/>
              </a:solidFill>
              <a:prstDash val="solid"/>
            </a:ln>
            <a:effectLst/>
          </c:spPr>
          <c:txPr>
            <a:bodyPr/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marker>
          <c:symbol val="none"/>
        </c:marke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accent1"/>
              </a:solidFill>
              <a:prstDash val="solid"/>
            </a:ln>
            <a:effectLst/>
          </c:spPr>
          <c:txPr>
            <a:bodyPr/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marker>
          <c:symbol val="none"/>
        </c:marke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accent1"/>
              </a:solidFill>
              <a:prstDash val="solid"/>
            </a:ln>
            <a:effectLst/>
          </c:spPr>
          <c:txPr>
            <a:bodyPr/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marker>
          <c:symbol val="none"/>
        </c:marke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accent1"/>
              </a:solidFill>
              <a:prstDash val="solid"/>
            </a:ln>
            <a:effectLst/>
          </c:spPr>
          <c:txPr>
            <a:bodyPr/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marker>
          <c:symbol val="none"/>
        </c:marke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accent1"/>
              </a:solidFill>
              <a:prstDash val="solid"/>
            </a:ln>
            <a:effectLst/>
          </c:spPr>
          <c:txPr>
            <a:bodyPr/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marker>
          <c:symbol val="none"/>
        </c:marke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accent1"/>
              </a:solidFill>
              <a:prstDash val="solid"/>
            </a:ln>
            <a:effectLst/>
          </c:spPr>
          <c:txPr>
            <a:bodyPr/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'Error Details '!$B$6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'Error Details '!$A$7:$A$13</c:f>
              <c:strCache>
                <c:ptCount val="6"/>
                <c:pt idx="0">
                  <c:v>Major-Incorrect Text/Gender/Names</c:v>
                </c:pt>
                <c:pt idx="1">
                  <c:v>Major-Omitted/Inserted Text</c:v>
                </c:pt>
                <c:pt idx="2">
                  <c:v>Major-Spelling Error</c:v>
                </c:pt>
                <c:pt idx="3">
                  <c:v>Major-Drug/Medical Error</c:v>
                </c:pt>
                <c:pt idx="4">
                  <c:v>Major-Demographics/Formatting/Protocol</c:v>
                </c:pt>
                <c:pt idx="5">
                  <c:v>Major-Number/Value/Dates</c:v>
                </c:pt>
              </c:strCache>
            </c:strRef>
          </c:cat>
          <c:val>
            <c:numRef>
              <c:f>'Error Details '!$B$7:$B$13</c:f>
              <c:numCache>
                <c:formatCode>General</c:formatCode>
                <c:ptCount val="6"/>
                <c:pt idx="0">
                  <c:v>95</c:v>
                </c:pt>
                <c:pt idx="1">
                  <c:v>33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D-40FD-B192-6A864A50D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408775072"/>
        <c:axId val="-408768544"/>
      </c:barChart>
      <c:catAx>
        <c:axId val="-40877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Error NAme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6661083175691326"/>
              <c:y val="0.90284703995333915"/>
            </c:manualLayout>
          </c:layout>
          <c:overlay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8768544"/>
        <c:crosses val="autoZero"/>
        <c:auto val="1"/>
        <c:lblAlgn val="ctr"/>
        <c:lblOffset val="100"/>
        <c:noMultiLvlLbl val="0"/>
      </c:catAx>
      <c:valAx>
        <c:axId val="-4087685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Error Count</a:t>
                </a:r>
                <a:endParaRPr lang="en-US"/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877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304800</xdr:rowOff>
    </xdr:from>
    <xdr:to>
      <xdr:col>7</xdr:col>
      <xdr:colOff>9525</xdr:colOff>
      <xdr:row>12</xdr:row>
      <xdr:rowOff>219075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508D1-B20F-61B3-3FE7-C39FAD2E1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44767</xdr:rowOff>
    </xdr:from>
    <xdr:to>
      <xdr:col>10</xdr:col>
      <xdr:colOff>441960</xdr:colOff>
      <xdr:row>14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Gadhvi" refreshedDate="46122.702311111112" createdVersion="6" refreshedVersion="5" minRefreshableVersion="3" recordCount="1551" xr:uid="{00000000-000A-0000-FFFF-FFFF02000000}">
  <cacheSource type="worksheet">
    <worksheetSource ref="A1:BF1552" sheet="Data"/>
  </cacheSource>
  <cacheFields count="58">
    <cacheField name="Received_Date_UTC" numFmtId="22">
      <sharedItems containsNonDate="0" containsDate="1" containsString="0" containsBlank="1" minDate="2026-03-03T06:42:51" maxDate="2026-04-03T08:09:44"/>
    </cacheField>
    <cacheField name="Received_Date_IST" numFmtId="22">
      <sharedItems containsNonDate="0" containsDate="1" containsString="0" containsBlank="1" minDate="2026-03-03T12:12:51" maxDate="2026-04-03T13:39:44"/>
    </cacheField>
    <cacheField name="Date_audited_UTC" numFmtId="22">
      <sharedItems containsNonDate="0" containsDate="1" containsString="0" containsBlank="1" minDate="2026-03-10T05:00:16" maxDate="2026-04-07T18:32:09"/>
    </cacheField>
    <cacheField name="Date_audited_IST" numFmtId="22">
      <sharedItems containsNonDate="0" containsDate="1" containsString="0" containsBlank="1" minDate="2026-03-10T10:30:16" maxDate="2026-04-08T00:02:09"/>
    </cacheField>
    <cacheField name="Auditor_Work_Start_Date_IST" numFmtId="22">
      <sharedItems containsNonDate="0" containsDate="1" containsString="0" containsBlank="1" minDate="2026-03-05T15:06:23" maxDate="2026-04-07T12:16:09"/>
    </cacheField>
    <cacheField name="Auditor_Work_End_Date_IST" numFmtId="22">
      <sharedItems containsNonDate="0" containsDate="1" containsString="0" containsBlank="1" minDate="2026-03-10T10:30:16" maxDate="2026-04-08T00:02:09"/>
    </cacheField>
    <cacheField name="Auditor_name" numFmtId="0">
      <sharedItems containsBlank="1" count="23">
        <s v="Devang Thakkar"/>
        <s v="Vishal Mehta"/>
        <m/>
        <s v="Hiren Thakur" u="1"/>
        <s v="Vijay Babu" u="1"/>
        <s v="Jitneesh Layal" u="1"/>
        <s v="Renish Bhairapure" u="1"/>
        <s v="Mercy Arun" u="1"/>
        <s v="Aneesh Pillai" u="1"/>
        <s v="Ashik N" u="1"/>
        <s v="Chirag S" u="1"/>
        <s v="Tejas Patel" u="1"/>
        <s v="Alan Nair" u="1"/>
        <s v="Saravanan D" u="1"/>
        <s v="Rajani K" u="1"/>
        <s v="Pradumn SinghRathore" u="1"/>
        <s v="Ankit shah" u="1"/>
        <s v="Savitha Arun" u="1"/>
        <s v="Chintul Sutaria" u="1"/>
        <s v="Nitheesh C" u="1"/>
        <s v="Eldrine P" u="1"/>
        <s v="Mazhar Tinwala" u="1"/>
        <s v="Santosh Singh" u="1"/>
      </sharedItems>
    </cacheField>
    <cacheField name="Auditor_Screen_Time_Spend_In_Seconds" numFmtId="0">
      <sharedItems containsString="0" containsBlank="1" containsNumber="1" containsInteger="1" minValue="6" maxValue="17351"/>
    </cacheField>
    <cacheField name="Time_Taken_by_Auditor_in_mins" numFmtId="0">
      <sharedItems containsString="0" containsBlank="1" containsNumber="1" minValue="0.16669999999999999" maxValue="7282.6666999999998"/>
    </cacheField>
    <cacheField name="Auditor_milestone" numFmtId="0">
      <sharedItems containsBlank="1" count="5">
        <s v="cqa"/>
        <m/>
        <s v="bb" u="1"/>
        <s v="qa" u="1"/>
        <s v="upload" u="1"/>
      </sharedItems>
    </cacheField>
    <cacheField name="File_name" numFmtId="0">
      <sharedItems containsString="0" containsBlank="1" containsNumber="1" containsInteger="1" minValue="12825697" maxValue="12834786"/>
    </cacheField>
    <cacheField name="Doctor" numFmtId="0">
      <sharedItems containsBlank="1"/>
    </cacheField>
    <cacheField name="Account_name" numFmtId="0">
      <sharedItems containsBlank="1"/>
    </cacheField>
    <cacheField name="Subhospital" numFmtId="0">
      <sharedItems containsBlank="1"/>
    </cacheField>
    <cacheField name="Responsible_ID" numFmtId="0">
      <sharedItems containsBlank="1"/>
    </cacheField>
    <cacheField name="Responsible_User_Name" numFmtId="0">
      <sharedItems containsBlank="1" count="58">
        <s v="Vijay Babu"/>
        <s v="Sandeep S"/>
        <s v="Usha M"/>
        <s v="Sivasankari A"/>
        <s v="Gopal Rajith"/>
        <s v="Savitha Arun"/>
        <s v="Pratheep Kumar"/>
        <s v="Tejas Patel"/>
        <s v="Chintul Sutaria"/>
        <s v="Shiny Iype"/>
        <m/>
        <s v="Rajani K" u="1"/>
        <s v="Aneesh Pillai" u="1"/>
        <s v="Rajesh Mehta" u="1"/>
        <s v="Ankit shah" u="1"/>
        <s v="Mercy Arun" u="1"/>
        <s v="Bipin George" u="1"/>
        <s v="Lakshmi M" u="1"/>
        <s v="Manoj Kumar" u="1"/>
        <s v="Febin Clament" u="1"/>
        <s v="Rajesh S" u="1"/>
        <s v="Sherry Fernandez" u="1"/>
        <s v="Shahana Shajas" u="1"/>
        <s v="Shweta Parmar" u="1"/>
        <s v="Pradumn SinghRathore" u="1"/>
        <s v="Aarti Gajjar" u="1"/>
        <s v="Riteshkumar Patel" u="1"/>
        <s v="Pradeep Chopra" u="1"/>
        <s v="Deepak V" u="1"/>
        <s v="Parineeta Patel" u="1"/>
        <s v="Sonali Patel" u="1"/>
        <s v="Tintu Soman" u="1"/>
        <s v="Raja JB" u="1"/>
        <s v="Latha N" u="1"/>
        <s v="sreelekshmi suneesh" u="1"/>
        <s v="M Thiruchelvi" u="1"/>
        <s v="Deepak Shah" u="1"/>
        <s v="Nitheesh C" u="1"/>
        <s v="Prashanth D" u="1"/>
        <s v="Saravanan D" u="1"/>
        <s v="Sindu N" u="1"/>
        <s v="Ashik N" u="1"/>
        <s v="Jitendra Duduskar" u="1"/>
        <s v="Purvi Thakore" u="1"/>
        <s v="Prasanth Sivan" u="1"/>
        <s v="Devi Balu" u="1"/>
        <s v="Renish Bhairapure" u="1"/>
        <s v="Nimesh Bhavsar" u="1"/>
        <s v="Indrani Singh" u="1"/>
        <s v="Hiren Thakur" u="1"/>
        <s v="Meera Chauhan" u="1"/>
        <s v="Kartik Rao" u="1"/>
        <s v="Preetha Uchil" u="1"/>
        <s v="Pranav Desai" u="1"/>
        <s v="Santosh Singh" u="1"/>
        <s v="Jitneesh Layal" u="1"/>
        <s v="Gurpreet Kaur Babra" u="1"/>
        <s v="Mazhar Tinwala" u="1"/>
      </sharedItems>
    </cacheField>
    <cacheField name="Location" numFmtId="0">
      <sharedItems containsBlank="1"/>
    </cacheField>
    <cacheField name="NoGo/Go_2010" numFmtId="0">
      <sharedItems containsBlank="1"/>
    </cacheField>
    <cacheField name="Line Count" numFmtId="0">
      <sharedItems containsString="0" containsBlank="1" containsNumber="1" minValue="0.6" maxValue="258.22000000000003"/>
    </cacheField>
    <cacheField name="Accuracy_2010" numFmtId="0">
      <sharedItems containsString="0" containsBlank="1" containsNumber="1" containsInteger="1" minValue="93" maxValue="100"/>
    </cacheField>
    <cacheField name="Error_Name" numFmtId="0">
      <sharedItems containsBlank="1" count="14">
        <m/>
        <s v="Minor-Punctuation/Grammar/Feedback"/>
        <s v="Major-Incorrect Text/Gender/Names"/>
        <s v="Major-Drug/Medical Error"/>
        <s v="Major-Number/Value/Dates"/>
        <s v="Major-Spelling Error"/>
        <s v="Major-Omitted/Inserted Text"/>
        <s v="Major-Demographics/Formatting/Protocol"/>
        <s v="Critical-Number/Value/Dates" u="1"/>
        <s v="Critical-Incorrect Text/Gender/Names" u="1"/>
        <s v="Minor-Demographics/Formatting/Protocol" u="1"/>
        <s v="Critical-Omitted/Inserted Text" u="1"/>
        <s v="Critical-Drug/Medical Error" u="1"/>
        <s v="Critical-Demographics/Formatting/Protocol" u="1"/>
      </sharedItems>
    </cacheField>
    <cacheField name="Total_error_type_receiver_by_auditor" numFmtId="0">
      <sharedItems containsString="0" containsBlank="1" containsNumber="1" containsInteger="1" minValue="0" maxValue="18"/>
    </cacheField>
    <cacheField name="Remarks" numFmtId="0">
      <sharedItems containsNonDate="0" containsString="0" containsBlank="1"/>
    </cacheField>
    <cacheField name="Worktype" numFmtId="0">
      <sharedItems containsBlank="1" count="213">
        <s v="HAH_OP"/>
        <s v="Generic Operative Report"/>
        <s v="Psychiatric Assessment"/>
        <s v="ENT Clinic History and Physical"/>
        <s v="ENT Clinic Follow-Up"/>
        <s v="HAH_MISC"/>
        <s v="PSYCHOLOGICAL REPORT"/>
        <s v="Discharge Summary"/>
        <s v="HAH_PFT"/>
        <s v="Consultation"/>
        <s v="Procedure Note"/>
        <s v="Operative Report"/>
        <s v="Progress Note"/>
        <s v="HAH_SLEEP"/>
        <s v="History &amp; Physical"/>
        <s v="STRESS TEST REPORT"/>
        <s v="History and Physical"/>
        <s v="Progress Note (Nursing Home)"/>
        <s v="SLEEP STUDY"/>
        <s v="Integrated Care Unit_Progress Note_3"/>
        <s v="PACIFICBLVD_Clinic Notes"/>
        <s v="Cost Center CAS ICARE"/>
        <s v="GLENDALE_Clinic Notes"/>
        <s v="PACT_Progress Note 2"/>
        <s v="SANPEDRO_Clinic Notes"/>
        <s v="MIDCITIES_Clinic Notes"/>
        <s v="LONGBEACH_Clinic Notes"/>
        <s v="RMCA_PFT"/>
        <s v="RMCA_OP"/>
        <s v="CAMG_OV"/>
        <s v="Office Visit"/>
        <s v="Internal Medicine"/>
        <s v="Ortho"/>
        <s v="Hospice"/>
        <s v="GARDENA_Clinic Notes"/>
        <s v="Holter Monitor"/>
        <s v="Pediatric_Initial Psychiatric Evaluation"/>
        <s v="SA_Progress Note"/>
        <s v="GEMMS OV-CONS.TEMPLATE"/>
        <s v="Independent Medical Examination"/>
        <s v="RMCA_SLEEP_STUDY"/>
        <s v="Office Visits"/>
        <s v="History and Physical (Nursing Home)"/>
        <s v="Clinic Template (OHH)"/>
        <s v="Clinic Patient Note"/>
        <s v="Dr Jankus Ortho"/>
        <s v="EXERCISE MYOVIEW STRESS TEST"/>
        <s v="Discharge Summary (OHH)"/>
        <s v="Operation Note"/>
        <s v="Letter"/>
        <s v="OV"/>
        <s v="RMCA_NUCLEAR_STRESS"/>
        <s v="NEUROLOGY EXAM"/>
        <m/>
        <s v="AMC_DS" u="1"/>
        <s v="Operative Report (OHH)" u="1"/>
        <s v="General Surgery" u="1"/>
        <s v="MEDICAL HOME NOTE" u="1"/>
        <s v="PHYSICAL THERAPY_BARIATRIC INITIAL EVAL" u="1"/>
        <s v="Dr. Barclay - Consult" u="1"/>
        <s v="Progress Note_Saranac Lake Inpatient" u="1"/>
        <s v="Pediatric report" u="1"/>
        <s v="Integrated Care Unit_Progress Note 1" u="1"/>
        <s v="Discharge Summary (Physician Assistant)" u="1"/>
        <s v="Psychiatric Admit Note" u="1"/>
        <s v="Progress Note (OHH)" u="1"/>
        <s v="NLVCC_HNP" u="1"/>
        <s v="Event Monitor" u="1"/>
        <s v="Office Exam" u="1"/>
        <s v="SA_Intervention" u="1"/>
        <s v="CLAREMONT_Clinic Notes" u="1"/>
        <s v="HCA_EP" u="1"/>
        <s v="Private Post Op - Follow-up" u="1"/>
        <s v="Progress Report" u="1"/>
        <s v="RESEDA_Clinic Notes" u="1"/>
        <s v="ARMC_DS" u="1"/>
        <s v="SANTACLARITA_Clinic Notes" u="1"/>
        <s v="RMCA_GXT" u="1"/>
        <s v="Follow up visits" u="1"/>
        <s v="NORWALK_Clinic Notes" u="1"/>
        <s v="Carotid Artery Duplex" u="1"/>
        <s v="RMCA_DS" u="1"/>
        <s v="Clinic Template (OHHA)" u="1"/>
        <s v="Ultrasound" u="1"/>
        <s v="Disability Physical Exams" u="1"/>
        <s v="COON_HNP" u="1"/>
        <s v="TEE OPERATIVE REPORT" u="1"/>
        <s v="NLC_SIGNOUT_DR" u="1"/>
        <s v="Generic History &amp; Physical" u="1"/>
        <s v="Surgery Note" u="1"/>
        <s v="Dr. Conrad - Consultation" u="1"/>
        <s v="Dr. Heilig - Consultation" u="1"/>
        <s v="Dr. Sutton - Consultation" u="1"/>
        <s v="Video Transcript" u="1"/>
        <s v="HCA_LTR" u="1"/>
        <s v="IME" u="1"/>
        <s v="KGP Operative Report" u="1"/>
        <s v="Interview" u="1"/>
        <s v="NLVCC_DS" u="1"/>
        <s v="Test Results" u="1"/>
        <s v="Testing" u="1"/>
        <s v="HCA_STESS_ECHO" u="1"/>
        <s v="Initial Evaluation" u="1"/>
        <s v="In Office Operative Report" u="1"/>
        <s v="PHYSICAL THERAPY - Daily Update Note" u="1"/>
        <s v="AMC_MIS" u="1"/>
        <s v="Nursing Home Note (OHH)" u="1"/>
        <s v="Echo" u="1"/>
        <s v="Jasser Clinic" u="1"/>
        <s v="MMC_EP" u="1"/>
        <s v="PALMDALE_Clinic Notes" u="1"/>
        <s v="Physical Report" u="1"/>
        <s v="ARMC_HNP" u="1"/>
        <s v="History and Physicals" u="1"/>
        <s v="Clinic Note" u="1"/>
        <s v="PEREZ_Clinic Notes" u="1"/>
        <s v="WMNH_HNP" u="1"/>
        <s v="Consultation (Nursing Home)" u="1"/>
        <s v="RMCA_HNP" u="1"/>
        <s v="HAH_HNP" u="1"/>
        <s v="Physician Progress Note" u="1"/>
        <s v="NORTHHOLLYWOOD_Clinic Notes" u="1"/>
        <s v="AMC_PN" u="1"/>
        <s v="WMNH_IPN" u="1"/>
        <s v="NP Visit" u="1"/>
        <s v="CVAMD_CSA" u="1"/>
        <s v="History and Physical (OHH)" u="1"/>
        <s v="HAH_PN" u="1"/>
        <s v="COON_CONS" u="1"/>
        <s v="EEG" u="1"/>
        <s v="CLINIC NOTE_LAKE PLACID" u="1"/>
        <s v="WC Post Op Follow-up" u="1"/>
        <s v="MMH_Hajek_Clinic Note" u="1"/>
        <s v="MMH_Yakel_Clinic Note" u="1"/>
        <s v="Short Stay Note" u="1"/>
        <s v="ARMC_PN" u="1"/>
        <s v="Cardioversion" u="1"/>
        <s v="RADIOLOGY (X-ray)" u="1"/>
        <s v="ELMONTE_Clinic Notes" u="1"/>
        <s v="Eric Roman_14-81 Legal" u="1"/>
        <s v="Ray Hospital Studies" u="1"/>
        <s v="Dr. Klein - Consultation" u="1"/>
        <s v="Surgical Report" u="1"/>
        <s v="LOSANGELES_Clinic Notes" u="1"/>
        <s v="Dr. Askins Office Visit" u="1"/>
        <s v="Treadmill Report" u="1"/>
        <s v="Progress Note (Hospital)" u="1"/>
        <s v="RMCA_MISC" u="1"/>
        <s v="Private Pre Op" u="1"/>
        <s v="HAH_CON" u="1"/>
        <s v="LOOP Report" u="1"/>
        <s v="SOC_OV" u="1"/>
        <s v="New patient evaluations" u="1"/>
        <s v="Mn DDB Internal Medicine" u="1"/>
        <s v="Discharge Summaries" u="1"/>
        <s v="RMCA_MUGA" u="1"/>
        <s v="MEDICAL HOME NUTRITIONAL CONSULT" u="1"/>
        <s v="Echocardiogram (MED)" u="1"/>
        <s v="Default" u="1"/>
        <s v="MMH_Follow Up" u="1"/>
        <s v="MARVISTA_Clinic Notes" u="1"/>
        <s v="CTA" u="1"/>
        <s v="History Report" u="1"/>
        <s v="Discharge-Admin-Result  Letter" u="1"/>
        <s v="Nuclear Stress Test" u="1"/>
        <s v="WHITTIER_Clinic Notes" u="1"/>
        <s v="24 HOUR BP MONITOR" u="1"/>
        <s v="VERNONTOLO_Clinic Notes" u="1"/>
        <s v="HCA_CN" u="1"/>
        <s v="SOUTHBAY_Clinic Notes" u="1"/>
        <s v="WIDNEY_Clinic Notes" u="1"/>
        <s v="MMH_New Patient" u="1"/>
        <s v="History &amp; Physical (Physician Assistant)" u="1"/>
        <s v="Independent Medical Evaluation" u="1"/>
        <s v="OBSERVATION SUMMARY" u="1"/>
        <s v="MMH_Clinic Visit" u="1"/>
        <s v="LAPUENTE_Clinic Notes" u="1"/>
        <s v="PHYSICAL THERAPY - Initial Eval" u="1"/>
        <s v="RMCA_HOLTER" u="1"/>
        <s v="Transfer Summary" u="1"/>
        <s v="SPECT- PET" u="1"/>
        <s v="DOWNEY_Clinic Notes" u="1"/>
        <s v="ARTERIAL DOPPLER STUDY" u="1"/>
        <s v="History and Physical (Clinic)" u="1"/>
        <s v="HCA_ADENO" u="1"/>
        <s v="Office Note" u="1"/>
        <s v="Dr. Roth - Consult" u="1"/>
        <s v="Discharge Summary (Nursing Home)" u="1"/>
        <s v="MMH_Operative Note" u="1"/>
        <s v="Consultation Report" u="1"/>
        <s v="CVAMD_OV" u="1"/>
        <s v="CVAMD_ROV" u="1"/>
        <s v="ARMC_OR" u="1"/>
        <s v="HCA_TREADMILL_STRESSTEST" u="1"/>
        <s v="Stress Test" u="1"/>
        <s v="Venous Ultrasound" u="1"/>
        <s v="Progress Note (Clinic)" u="1"/>
        <s v="OPERATIVE NOTE" u="1"/>
        <s v="RMCA_CONSULT" u="1"/>
        <s v="HCA_ECHO" u="1"/>
        <s v="ENDOSCOPY" u="1"/>
        <s v="Oncology Note" u="1"/>
        <s v="Discharge Summary (Hospital)" u="1"/>
        <s v="HCA_STRESS" u="1"/>
        <s v="History and Physical (Hospital)" u="1"/>
        <s v="Non-physician Operative Report" u="1"/>
        <s v="Integrated Care Unit_Progress Note 2" u="1"/>
        <s v="Integrated Care Unit Initial Psychiatric Evaluation_2" u="1"/>
        <s v="HCA_LEXISCAN" u="1"/>
        <s v="Echocardiogram" u="1"/>
        <s v="HUNTINGTONPARK_Clinic Notes" u="1"/>
        <s v="PROGRESS NOTE_BRHV" u="1"/>
        <s v="Follow-up Visit" u="1"/>
      </sharedItems>
    </cacheField>
    <cacheField name="First_Touch" numFmtId="0">
      <sharedItems containsNonDate="0" containsString="0" containsBlank="1"/>
    </cacheField>
    <cacheField name="Time_Taken_First_Touch_mins" numFmtId="0">
      <sharedItems containsNonDate="0" containsString="0" containsBlank="1"/>
    </cacheField>
    <cacheField name="TAT" numFmtId="0">
      <sharedItems containsString="0" containsBlank="1" containsNumber="1" containsInteger="1" minValue="120" maxValue="2880"/>
    </cacheField>
    <cacheField name="Is_Tough_Dictator" numFmtId="0">
      <sharedItems containsBlank="1"/>
    </cacheField>
    <cacheField name="Play_Time_in_sec" numFmtId="0">
      <sharedItems containsString="0" containsBlank="1" containsNumber="1" containsInteger="1" minValue="0" maxValue="1644"/>
    </cacheField>
    <cacheField name="SSTAT_STAT_Normal" numFmtId="0">
      <sharedItems containsBlank="1"/>
    </cacheField>
    <cacheField name="Missed_Achieved" numFmtId="0">
      <sharedItems containsBlank="1"/>
    </cacheField>
    <cacheField name="Final_Blank_Count" numFmtId="0">
      <sharedItems containsString="0" containsBlank="1" containsNumber="1" containsInteger="1" minValue="0" maxValue="5"/>
    </cacheField>
    <cacheField name="Second_Last_Touch" numFmtId="0">
      <sharedItems containsNonDate="0" containsString="0" containsBlank="1"/>
    </cacheField>
    <cacheField name="Time_Taken_Second_Touch_mins" numFmtId="0">
      <sharedItems containsNonDate="0" containsString="0" containsBlank="1"/>
    </cacheField>
    <cacheField name="Last_Touch" numFmtId="0">
      <sharedItems containsNonDate="0" containsString="0" containsBlank="1"/>
    </cacheField>
    <cacheField name="Time_Taken_Last_Touch_mins" numFmtId="0">
      <sharedItems containsNonDate="0" containsString="0" containsBlank="1"/>
    </cacheField>
    <cacheField name="Audited Date" numFmtId="14">
      <sharedItems containsNonDate="0" containsDate="1" containsString="0" containsBlank="1" minDate="2026-03-10T00:00:00" maxDate="2026-04-09T00:00:00"/>
    </cacheField>
    <cacheField name="Week" numFmtId="0">
      <sharedItems containsBlank="1"/>
    </cacheField>
    <cacheField name="Initial" numFmtId="0">
      <sharedItems containsBlank="1" count="65">
        <s v="HAH"/>
        <s v="AMC"/>
        <s v="HMRH"/>
        <s v="DHS"/>
        <s v="PRMC"/>
        <s v="SSH"/>
        <s v="Auburn HIM"/>
        <s v="MJHS"/>
        <s v="NCSB"/>
        <s v="LAC"/>
        <s v="RMCA"/>
        <s v="HHRC"/>
        <s v="CAMG"/>
        <s v="CRNRC"/>
        <s v="AMS"/>
        <s v="SMH"/>
        <s v="NSCA"/>
        <s v="MRC"/>
        <s v="SMCO"/>
        <s v="FVLD"/>
        <s v="OHH"/>
        <s v="FMCH"/>
        <s v="CEE"/>
        <s v="TKFC"/>
        <s v="NLC"/>
        <m/>
        <s v="ARMC" u="1"/>
        <e v="#N/A" u="1"/>
        <s v="PHE" u="1"/>
        <s v="MMC" u="1"/>
        <s v="MMH" u="1"/>
        <s v="TNA" u="1"/>
        <s v="CCH" u="1"/>
        <s v="BRH" u="1"/>
        <s v="UTHA" u="1"/>
        <s v="CCM" u="1"/>
        <s v="DNB" u="1"/>
        <s v="SVH" u="1"/>
        <s v="SOC" u="1"/>
        <s v="WOS" u="1"/>
        <s v="SNMRC" u="1"/>
        <s v="OHV" u="1"/>
        <s v="NLVCC" u="1"/>
        <s v="HSH" u="1"/>
        <s v="OGH" u="1"/>
        <s v="WFA" u="1"/>
        <s v="LAGT" u="1"/>
        <s v="ICA" u="1"/>
        <s v="KMC" u="1"/>
        <s v="SHWS" u="1"/>
        <s v="DRASK" u="1"/>
        <s v="WSH" u="1"/>
        <s v="GHWS" u="1"/>
        <s v="HEALTHWIN" u="1"/>
        <s v="CPRC" u="1"/>
        <s v="Mira Vista" u="1"/>
        <s v="COON" u="1"/>
        <s v="VMC" u="1"/>
        <s v="TTMC" u="1"/>
        <s v="GARZA" u="1"/>
        <s v="HCA" u="1"/>
        <s v="CVAMD" u="1"/>
        <s v="HCC" u="1"/>
        <s v="CLS" u="1"/>
        <s v="GMHS" u="1"/>
      </sharedItems>
    </cacheField>
    <cacheField name="NoGo/Go" numFmtId="0">
      <sharedItems containsBlank="1"/>
    </cacheField>
    <cacheField name="Accuracy" numFmtId="2">
      <sharedItems containsString="0" containsBlank="1" containsNumber="1" minValue="77.109221713538261" maxValue="100"/>
    </cacheField>
    <cacheField name="Point value" numFmtId="0">
      <sharedItems containsString="0" containsBlank="1" containsNumber="1" containsInteger="1" minValue="0" maxValue="5"/>
    </cacheField>
    <cacheField name="Overall Score" numFmtId="0">
      <sharedItems containsString="0" containsBlank="1" containsNumber="1" containsInteger="1" minValue="0" maxValue="7"/>
    </cacheField>
    <cacheField name="Account's MTTL" numFmtId="0">
      <sharedItems containsBlank="1"/>
    </cacheField>
    <cacheField name="USer's MTTL" numFmtId="0">
      <sharedItems containsBlank="1"/>
    </cacheField>
    <cacheField name="First touch MTTL" numFmtId="0">
      <sharedItems containsBlank="1"/>
    </cacheField>
    <cacheField name="Error Type" numFmtId="0">
      <sharedItems containsBlank="1"/>
    </cacheField>
    <cacheField name="Con" numFmtId="0">
      <sharedItems containsBlank="1"/>
    </cacheField>
    <cacheField name="Name" numFmtId="0">
      <sharedItems containsBlank="1"/>
    </cacheField>
    <cacheField name="Score" numFmtId="0">
      <sharedItems containsBlank="1" containsMixedTypes="1" containsNumber="1" containsInteger="1" minValue="0" maxValue="1"/>
    </cacheField>
    <cacheField name="Location-1" numFmtId="0">
      <sharedItems containsBlank="1"/>
    </cacheField>
    <cacheField name="T/F" numFmtId="0">
      <sharedItems containsBlank="1" count="3">
        <b v="0"/>
        <b v="1"/>
        <m/>
      </sharedItems>
    </cacheField>
    <cacheField name="Total Error Count" numFmtId="0">
      <sharedItems containsBlank="1" containsMixedTypes="1" containsNumber="1" containsInteger="1" minValue="1" maxValue="1"/>
    </cacheField>
    <cacheField name="Total Error occurrences" numFmtId="0">
      <sharedItems containsString="0" containsBlank="1" containsNumber="1" containsInteger="1" minValue="0" maxValue="18"/>
    </cacheField>
    <cacheField name="First_Touch-1" numFmtId="0">
      <sharedItems containsBlank="1"/>
    </cacheField>
    <cacheField name="Responsible_User_Status" numFmtId="0">
      <sharedItems containsBlank="1" count="4">
        <s v="mt_new"/>
        <s v="qa_new"/>
        <m/>
        <s v="bb_new" u="1"/>
      </sharedItems>
    </cacheField>
    <cacheField name="Sent Status Name" numFmtId="0">
      <sharedItems containsBlank="1"/>
    </cacheField>
    <cacheField name="Matc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Gadhvi" refreshedDate="46122.702311226851" createdVersion="6" refreshedVersion="5" minRefreshableVersion="3" recordCount="332" xr:uid="{00000000-000A-0000-FFFF-FFFF03000000}">
  <cacheSource type="worksheet">
    <worksheetSource name="Data"/>
  </cacheSource>
  <cacheFields count="60">
    <cacheField name="Received_Date_UTC" numFmtId="22">
      <sharedItems containsSemiMixedTypes="0" containsNonDate="0" containsDate="1" containsString="0" minDate="2026-03-03T06:42:51" maxDate="2026-04-03T08:09:44"/>
    </cacheField>
    <cacheField name="Received_Date_IST" numFmtId="22">
      <sharedItems containsSemiMixedTypes="0" containsNonDate="0" containsDate="1" containsString="0" minDate="2026-03-03T12:12:51" maxDate="2026-04-03T13:39:44"/>
    </cacheField>
    <cacheField name="Date_audited_UTC" numFmtId="22">
      <sharedItems containsSemiMixedTypes="0" containsNonDate="0" containsDate="1" containsString="0" minDate="2026-03-10T05:00:16" maxDate="2026-04-07T18:32:09"/>
    </cacheField>
    <cacheField name="Date_audited_IST" numFmtId="22">
      <sharedItems containsSemiMixedTypes="0" containsNonDate="0" containsDate="1" containsString="0" minDate="2026-03-10T10:30:16" maxDate="2026-04-08T00:02:09"/>
    </cacheField>
    <cacheField name="Auditor_Work_Start_Date_IST" numFmtId="22">
      <sharedItems containsSemiMixedTypes="0" containsNonDate="0" containsDate="1" containsString="0" minDate="2026-03-05T15:06:23" maxDate="2026-04-07T12:16:09"/>
    </cacheField>
    <cacheField name="Auditor_Work_End_Date_IST" numFmtId="22">
      <sharedItems containsSemiMixedTypes="0" containsNonDate="0" containsDate="1" containsString="0" minDate="2026-03-10T10:30:16" maxDate="2026-04-08T00:02:09"/>
    </cacheField>
    <cacheField name="Auditor_name" numFmtId="0">
      <sharedItems count="22">
        <s v="Devang Thakkar"/>
        <s v="Vishal Mehta"/>
        <s v="Hiren Thakur" u="1"/>
        <s v="Vijay Babu" u="1"/>
        <s v="Jitneesh Layal" u="1"/>
        <s v="Renish Bhairapure" u="1"/>
        <s v="Mercy Arun" u="1"/>
        <s v="Aneesh Pillai" u="1"/>
        <s v="Ashik N" u="1"/>
        <s v="Chirag S" u="1"/>
        <s v="Tejas Patel" u="1"/>
        <s v="Alan Nair" u="1"/>
        <s v="Saravanan D" u="1"/>
        <s v="Rajani K" u="1"/>
        <s v="Pradumn SinghRathore" u="1"/>
        <s v="Ankit shah" u="1"/>
        <s v="Savitha Arun" u="1"/>
        <s v="Chintul Sutaria" u="1"/>
        <s v="Nitheesh C" u="1"/>
        <s v="Eldrine P" u="1"/>
        <s v="Mazhar Tinwala" u="1"/>
        <s v="Santosh Singh" u="1"/>
      </sharedItems>
    </cacheField>
    <cacheField name="Auditor_Screen_Time_Spend_In_Seconds" numFmtId="0">
      <sharedItems containsSemiMixedTypes="0" containsString="0" containsNumber="1" containsInteger="1" minValue="6" maxValue="17351"/>
    </cacheField>
    <cacheField name="Time_Taken_by_Auditor_in_mins" numFmtId="0">
      <sharedItems containsSemiMixedTypes="0" containsString="0" containsNumber="1" minValue="0.16669999999999999" maxValue="7282.6666999999998"/>
    </cacheField>
    <cacheField name="Auditor_milestone" numFmtId="0">
      <sharedItems count="4">
        <s v="cqa"/>
        <s v="bb" u="1"/>
        <s v="qa" u="1"/>
        <s v="upload" u="1"/>
      </sharedItems>
    </cacheField>
    <cacheField name="File_name" numFmtId="0">
      <sharedItems containsSemiMixedTypes="0" containsString="0" containsNumber="1" containsInteger="1" minValue="12825697" maxValue="12834786" count="240">
        <n v="12825718"/>
        <n v="12825779"/>
        <n v="12825745"/>
        <n v="12825757"/>
        <n v="12827216"/>
        <n v="12826205"/>
        <n v="12826941"/>
        <n v="12826946"/>
        <n v="12826909"/>
        <n v="12826504"/>
        <n v="12826529"/>
        <n v="12826615"/>
        <n v="12827217"/>
        <n v="12826879"/>
        <n v="12827341"/>
        <n v="12827152"/>
        <n v="12827412"/>
        <n v="12825697"/>
        <n v="12827219"/>
        <n v="12827221"/>
        <n v="12827222"/>
        <n v="12827439"/>
        <n v="12828088"/>
        <n v="12828013"/>
        <n v="12828093"/>
        <n v="12827668"/>
        <n v="12827215"/>
        <n v="12827329"/>
        <n v="12827359"/>
        <n v="12827338"/>
        <n v="12827624"/>
        <n v="12827641"/>
        <n v="12827613"/>
        <n v="12827252"/>
        <n v="12826490"/>
        <n v="12827283"/>
        <n v="12827157"/>
        <n v="12826577"/>
        <n v="12826021"/>
        <n v="12826278"/>
        <n v="12826910"/>
        <n v="12828038"/>
        <n v="12827745"/>
        <n v="12826912"/>
        <n v="12827117"/>
        <n v="12827766"/>
        <n v="12827712"/>
        <n v="12826908"/>
        <n v="12827606"/>
        <n v="12827644"/>
        <n v="12827651"/>
        <n v="12828048"/>
        <n v="12827551"/>
        <n v="12828145"/>
        <n v="12827794"/>
        <n v="12827958"/>
        <n v="12827962"/>
        <n v="12827825"/>
        <n v="12828138"/>
        <n v="12828184"/>
        <n v="12827798"/>
        <n v="12828416"/>
        <n v="12827750"/>
        <n v="12828538"/>
        <n v="12828485"/>
        <n v="12826924"/>
        <n v="12826952"/>
        <n v="12827738"/>
        <n v="12827705"/>
        <n v="12828770"/>
        <n v="12828532"/>
        <n v="12827876"/>
        <n v="12827655"/>
        <n v="12827454"/>
        <n v="12827753"/>
        <n v="12827742"/>
        <n v="12828056"/>
        <n v="12827728"/>
        <n v="12828531"/>
        <n v="12828503"/>
        <n v="12828364"/>
        <n v="12828541"/>
        <n v="12829564"/>
        <n v="12828958"/>
        <n v="12829210"/>
        <n v="12828836"/>
        <n v="12827698"/>
        <n v="12827628"/>
        <n v="12829125"/>
        <n v="12828838"/>
        <n v="12827711"/>
        <n v="12828799"/>
        <n v="12828256"/>
        <n v="12828179"/>
        <n v="12828837"/>
        <n v="12828486"/>
        <n v="12827653"/>
        <n v="12827708"/>
        <n v="12827748"/>
        <n v="12829024"/>
        <n v="12828583"/>
        <n v="12828158"/>
        <n v="12828268"/>
        <n v="12828956"/>
        <n v="12828384"/>
        <n v="12828573"/>
        <n v="12829068"/>
        <n v="12828775"/>
        <n v="12828500"/>
        <n v="12829562"/>
        <n v="12828931"/>
        <n v="12828915"/>
        <n v="12828809"/>
        <n v="12828839"/>
        <n v="12826034"/>
        <n v="12826249"/>
        <n v="12828310"/>
        <n v="12829410"/>
        <n v="12828723"/>
        <n v="12829342"/>
        <n v="12829607"/>
        <n v="12829182"/>
        <n v="12827892"/>
        <n v="12828332"/>
        <n v="12828338"/>
        <n v="12828335"/>
        <n v="12828339"/>
        <n v="12829277"/>
        <n v="12828428"/>
        <n v="12828434"/>
        <n v="12828433"/>
        <n v="12828049"/>
        <n v="12829352"/>
        <n v="12829708"/>
        <n v="12829325"/>
        <n v="12829230"/>
        <n v="12830174"/>
        <n v="12829981"/>
        <n v="12829982"/>
        <n v="12829761"/>
        <n v="12829759"/>
        <n v="12829227"/>
        <n v="12829233"/>
        <n v="12830153"/>
        <n v="12830151"/>
        <n v="12829807"/>
        <n v="12829280"/>
        <n v="12829289"/>
        <n v="12830236"/>
        <n v="12830160"/>
        <n v="12830691"/>
        <n v="12830831"/>
        <n v="12829545"/>
        <n v="12829555"/>
        <n v="12830390"/>
        <n v="12830205"/>
        <n v="12829548"/>
        <n v="12830459"/>
        <n v="12830380"/>
        <n v="12830621"/>
        <n v="12830460"/>
        <n v="12829479"/>
        <n v="12830872"/>
        <n v="12829557"/>
        <n v="12830914"/>
        <n v="12829549"/>
        <n v="12829539"/>
        <n v="12829546"/>
        <n v="12830631"/>
        <n v="12830719"/>
        <n v="12830608"/>
        <n v="12830009"/>
        <n v="12830888"/>
        <n v="12830884"/>
        <n v="12830880"/>
        <n v="12831012"/>
        <n v="12829934"/>
        <n v="12830754"/>
        <n v="12830739"/>
        <n v="12830737"/>
        <n v="12830905"/>
        <n v="12831005"/>
        <n v="12831391"/>
        <n v="12830864"/>
        <n v="12830321"/>
        <n v="12831054"/>
        <n v="12829472"/>
        <n v="12831367"/>
        <n v="12831266"/>
        <n v="12829528"/>
        <n v="12830403"/>
        <n v="12831219"/>
        <n v="12832444"/>
        <n v="12830890"/>
        <n v="12830411"/>
        <n v="12831186"/>
        <n v="12831539"/>
        <n v="12831858"/>
        <n v="12830817"/>
        <n v="12831090"/>
        <n v="12831130"/>
        <n v="12831951"/>
        <n v="12831188"/>
        <n v="12830770"/>
        <n v="12831916"/>
        <n v="12831559"/>
        <n v="12830892"/>
        <n v="12830878"/>
        <n v="12832704"/>
        <n v="12832393"/>
        <n v="12832163"/>
        <n v="12830909"/>
        <n v="12832009"/>
        <n v="12831603"/>
        <n v="12832705"/>
        <n v="12830607"/>
        <n v="12830772"/>
        <n v="12832160"/>
        <n v="12831908"/>
        <n v="12832737"/>
        <n v="12832291"/>
        <n v="12832650"/>
        <n v="12832756"/>
        <n v="12832988"/>
        <n v="12832989"/>
        <n v="12832252"/>
        <n v="12832478"/>
        <n v="12833275"/>
        <n v="12831673"/>
        <n v="12832718"/>
        <n v="12832722"/>
        <n v="12832727"/>
        <n v="12832665"/>
        <n v="12833381"/>
        <n v="12832573"/>
        <n v="12832769"/>
        <n v="12831522"/>
        <n v="12833034"/>
        <n v="12833214"/>
        <n v="12834786"/>
      </sharedItems>
    </cacheField>
    <cacheField name="Doctor" numFmtId="0">
      <sharedItems count="419">
        <s v="Joseph Blaser, DO"/>
        <s v="William Smith, MD"/>
        <s v="Austin Christensen, MD"/>
        <s v="John Decker, MD"/>
        <s v="Brian Miller, MD"/>
        <s v="Eve Burns, MD"/>
        <s v="Mark Pushkash, Ph.D."/>
        <s v="Adam Abodeely, MD"/>
        <s v="Jessica Moja, MD"/>
        <s v="Mark P Goldman, PhD"/>
        <s v="John Chip Davis, MD"/>
        <s v="Ryan J Veurink, MD"/>
        <s v="Emmett R Mackan, MD"/>
        <s v="Blake Little, MD"/>
        <s v="Jeffrey Dodge, DO"/>
        <s v="Joel Wietfeldt, MD"/>
        <s v="Christopher Sanchez, MD"/>
        <s v="Daniel Alexander, MD"/>
        <s v="Kamran Khan, DO"/>
        <s v="Daniel Zakhary, MD"/>
        <s v="Manuel Ojeda, MD"/>
        <s v="Sabieli Kabeli, MD"/>
        <s v="Joseph Schwartzer, MD"/>
        <s v="ROBERT KAY, MD  -  ORTHOPEDIST"/>
        <s v="Paul Valenza, DPM"/>
        <s v="Jill N Jones, NP"/>
        <s v="IVET HARTONIAN, MD  -  PEDIATRICIAN"/>
        <s v="Kelly Sullivan, DO"/>
        <s v="Lisa Cao, MD - Orthopedist"/>
        <s v="Ralph J Fritzsch, MD"/>
        <s v="Gnaneswer Billakanti, MD"/>
        <s v="Melissa G Wampler, MD"/>
        <s v="GIZELLE STEVENS, MD"/>
        <s v="DONALD T NORBY, DMD"/>
        <s v="Brian Martinez, PAC"/>
        <s v="Reydel B Alvarez, NP-C"/>
        <s v="Jeffrey C Brackett, MD, FACC"/>
        <s v="David Radovich, Psy.D"/>
        <s v="Adel M Sidky, MD FACC"/>
        <s v="Jonathan Still, MD"/>
        <s v="Kurt L Reintjes, MD"/>
        <s v="Rebecca Flegner, PsyD"/>
        <s v="Melissa Murillo, PA"/>
        <s v="James A Young, MD"/>
        <s v="Michael E Guerra, MD"/>
        <s v="JEFFREY LAWLER, MD"/>
        <s v="SUE YOUNG, DMD"/>
        <s v="Julie Morantz, PA"/>
        <s v="ZACHARY DODD, MD"/>
        <s v="Shaun T Patel, MD FACC"/>
        <s v="Kara E Whittington, DDS"/>
        <s v="Ivor Purchas, MD"/>
        <s v="Shahida Munim, MD"/>
        <s v="Thomas S Lehmann, PHD"/>
        <s v="Christopher M Cesa, MD"/>
        <s v="Jules J Barefoot, "/>
        <s v="ROHIT GHANSHYAMBHAI PATEL, MD"/>
        <s v="Mary Law, Psy. D"/>
        <s v="Fred V Lause, DPM"/>
        <s v="Robert Sogomonian, MD"/>
        <s v="Mark Mankins, MD"/>
        <s v="Kathi F Teixeira, MD"/>
        <s v="Craig Mansour, MD"/>
        <s v="Richard Field, III, M.D."/>
        <s v="Ward Jankus, MD"/>
        <s v="Scott Trippe, Psy.D."/>
        <s v="Joan R Nuttall, Ph.D"/>
        <s v="Sylvester G Ramirez, MD"/>
        <s v="Brian Allen, DO"/>
        <s v="Mark Cassol, M.D."/>
        <s v="MATTIE BENNETT, DMD"/>
        <s v="PANKAJ KASHYAP, MD"/>
        <s v="FERNANDO NUSSENBAUM, MD"/>
        <s v="Marc W Zylstra, PHD"/>
        <s v="Jonathan Dukes, MD"/>
        <s v="Marianne Wudarsky, MD, PhD"/>
        <s v="Joseph Roe, PsyD"/>
        <s v="MAHOMED YAZEED SALAME, MD"/>
        <s v="Travis Hinze, Ph.D."/>
        <s v="Bevins Chue, MD"/>
        <s v="Alon A Steinberg, MD, FACC"/>
        <s v="Sean P Lacy, DO"/>
        <s v="MOHAMMAD NASIRI, MD" u="1"/>
        <s v="Thuan Loi, DDS" u="1"/>
        <s v="Brandon Conrad, MD" u="1"/>
        <s v="Jesse Kampshoff, MD" u="1"/>
        <s v="Tena E Murphy, M.D., F.A.C.C." u="1"/>
        <s v="Alan Roth, MD" u="1"/>
        <s v="David Kaplan, MD" u="1"/>
        <s v="Ricardo A Garza, MD" u="1"/>
        <s v="Roland Pua, MD" u="1"/>
        <s v="JAMES SWANN HIXON, MD" u="1"/>
        <s v="Candace Scruggs, DDS" u="1"/>
        <s v="Arden Johnson, MD" u="1"/>
        <s v="Heath G Wilt, DO" u="1"/>
        <s v="Jason LaTowsky, MD" u="1"/>
        <s v="ANNIE JENG, MD  -  PEDIATRICIAN" u="1"/>
        <s v="Michael Lynch, MD" u="1"/>
        <s v="Jake Neibaur, PA" u="1"/>
        <s v="Leo Sillick, PA-C" u="1"/>
        <s v="Phong Nguyen, DO" u="1"/>
        <s v="James Green, Jr, MD" u="1"/>
        <s v="Angela Belitz, PT" u="1"/>
        <s v="Christian McMonigal, Jr., PA-C" u="1"/>
        <s v="Mark A St. Pierre, M.D., F.A.C.C." u="1"/>
        <s v="Ricardo Ruvalcaba, " u="1"/>
        <s v="Richard Texada, MD" u="1"/>
        <s v="Beena Thomas, PA-C" u="1"/>
        <s v="Sameh Elamir, MD  -  PEDIATRICIAN" u="1"/>
        <s v="Nephtali Kogan, MD, FACC" u="1"/>
        <s v="Clint D Morris, MD" u="1"/>
        <s v="Mauricio Anaya-Cisneros, MD, FACC" u="1"/>
        <s v="BENJAMIN BLAGOGEE, MD" u="1"/>
        <s v="Japonesa Read, APRN" u="1"/>
        <s v="David Carrington, MD" u="1"/>
        <s v="RACHEL THOMPSON, MD  -  ORTHOPEDIST" u="1"/>
        <s v="Lisa Cao, MD" u="1"/>
        <s v="Ousamma Abousamra, MD  -  ORTHOPEDIST" u="1"/>
        <s v="Robert E Mitchell, MD" u="1"/>
        <s v="Ravi S Shah, MD" u="1"/>
        <s v="Mahmoud Elsayed, MD" u="1"/>
        <s v="Muhammad Hyder, MD" u="1"/>
        <s v="Andre Setaghian, PAC" u="1"/>
        <s v="Brian G Pachter, DO" u="1"/>
        <s v="Terrance Foust, DO" u="1"/>
        <s v="Ronnye Purvis, MD" u="1"/>
        <s v="Christopher Quinn, MD" u="1"/>
        <s v="Nancy L Oplinger, MD" u="1"/>
        <s v="Tyler Jorand Israel, PAC" u="1"/>
        <s v="Terry Troutt, MN CIME FAAPMR" u="1"/>
        <s v="Darren Vigee, D.P.M" u="1"/>
        <s v="John Colleran, D.O., F.A.C.C" u="1"/>
        <s v="Stacy Head, APRN" u="1"/>
        <s v="Bruce Brown, MD" u="1"/>
        <s v="Jaime Campbell, MS, PT" u="1"/>
        <s v="Steve krawiec, PhD" u="1"/>
        <s v="Generic Physician, " u="1"/>
        <s v="Bruce Germer, " u="1"/>
        <s v="Rajya L Malay, MD, FACC" u="1"/>
        <s v="Loren G Vanriper, MD" u="1"/>
        <s v="Belinda Orden, " u="1"/>
        <s v="Daniel N Blum, MD" u="1"/>
        <s v="Nicholas Barbaro, MD" u="1"/>
        <s v="Andrew Friebel, PA-C" u="1"/>
        <s v="Rebecca Linquist, MD" u="1"/>
        <s v="Corrie Starkey, " u="1"/>
        <s v="Gwen Cousins, MD" u="1"/>
        <s v="Jeremy T Reed, MD" u="1"/>
        <s v="David Mastrianni, " u="1"/>
        <s v="Amiel Levin, MD" u="1"/>
        <s v="Brian V Given, MD" u="1"/>
        <s v="THOMAS CHANG, MD" u="1"/>
        <s v="Kamrie Costello, CRNP" u="1"/>
        <s v="Bruce Patterson, MD, FACC" u="1"/>
        <s v="MAHOMED SALAME, MD" u="1"/>
        <s v="Sabeli Kabeli, MD" u="1"/>
        <s v="Justin Maxfield, MD" u="1"/>
        <s v="Bill Billups, III, MD, FACS" u="1"/>
        <s v="JAMES D YAKEL, DPM" u="1"/>
        <s v="JEFFREY DAVID LAWLER, MD" u="1"/>
        <s v="Brandi Watson, NP" u="1"/>
        <s v="Shaun T Patel, MD, FACC" u="1"/>
        <s v="Drew S Allen, DO, FACC" u="1"/>
        <s v="LUCY KATHERINE BALLARD, MD" u="1"/>
        <s v="Marvin W Ashford, Jr., M.D." u="1"/>
        <s v="Daniel Bullock, MD" u="1"/>
        <s v="Jenelle Wallis, APRN" u="1"/>
        <s v="Katherine J Durham, M.D." u="1"/>
        <s v="Neal Pollack, DO" u="1"/>
        <s v="Mohammed N Khan, MD" u="1"/>
        <s v="Jack R Chamberlin, MD, FACC" u="1"/>
        <s v="Steven Herrmann, MD, PhD" u="1"/>
        <s v="Ellen Schneider, MD" u="1"/>
        <s v="Lynn Sheppard, NP" u="1"/>
        <s v="Matthew Hakimi, MD" u="1"/>
        <s v="Richard KatholiMD, " u="1"/>
        <s v="Kent Dauterman, MD, FACC, FSCAI" u="1"/>
        <s v="Jeremy Johnson, DO" u="1"/>
        <s v="Mark G Moran, MD FACC FSCAI" u="1"/>
        <s v="Marie Cecile MacFarlane, RD" u="1"/>
        <s v="Rod Parkhurst, M.D." u="1"/>
        <s v="Stephanie Walton, M.D" u="1"/>
        <s v="Henry M Klotz, MD" u="1"/>
        <s v="Jacob Neibaur, PA" u="1"/>
        <s v="John Frisbee, MD" u="1"/>
        <s v="Barry Klein, MD" u="1"/>
        <s v="Noah D Weiss, MD" u="1"/>
        <s v="Lisa M Watts, " u="1"/>
        <s v="ABDUL AHAD KAZI, MD" u="1"/>
        <s v="Clayton C Barclay, MD" u="1"/>
        <s v="Tamiko Jordan, MD  -  PEDIATRICIAN" u="1"/>
        <s v="Archana Chopra, MD" u="1"/>
        <s v="Alok Saxena, MD" u="1"/>
        <s v="Michael J Streitmann, " u="1"/>
        <s v="Thomas W Wallace, MD" u="1"/>
        <s v="Thomas W Wallace, M.D." u="1"/>
        <s v="Erik Murphy, DC" u="1"/>
        <s v="Prabhat Hebbar, MD" u="1"/>
        <s v="Camille Bitar, MD" u="1"/>
        <s v="Douglas C Borg, M.D., F.A.C.C." u="1"/>
        <s v="Ayhan Yoruk, MD" u="1"/>
        <s v="Tena E Murphy, " u="1"/>
        <s v="MOHAMMAD KAMRAN, MD" u="1"/>
        <s v="John Juern, PsyD" u="1"/>
        <s v="James Pate, MD" u="1"/>
        <s v="D D CLARK, MD" u="1"/>
        <s v="Ashley Moran, APRN" u="1"/>
        <s v="Jon Brower, MD, FACC" u="1"/>
        <s v="Leigh A Futrell, APRN" u="1"/>
        <s v="General Interview, " u="1"/>
        <s v="Melynne Youngblood, MD" u="1"/>
        <s v="A. Neil Johnson, MD" u="1"/>
        <s v="Stephen K Gimple, MD, FACC" u="1"/>
        <s v="J Lawrence Mason, MD" u="1"/>
        <s v="JENTA SHEN, MD" u="1"/>
        <s v="Michael Nowicki, MD" u="1"/>
        <s v="Sachit Das, MD" u="1"/>
        <s v="JEFFREY W COLLINS, MD" u="1"/>
        <s v="Gerhard Mundinger, " u="1"/>
        <s v="Matthew Ellington, MD" u="1"/>
        <s v="Suresh H Shah, MD" u="1"/>
        <s v="Gregory Cowan, Phd" u="1"/>
        <s v="Brian Gross, MD, FACC" u="1"/>
        <s v="Syed Rahman, MD" u="1"/>
        <s v="Jeffrey Pinto, MD" u="1"/>
        <s v="MARY DOYLE, MD  -  PEDIATRICIAN" u="1"/>
        <s v="JOHN NWOGU, MD" u="1"/>
        <s v="Marie Cecile MacFarlane, " u="1"/>
        <s v="MARK LOPEZ, DO" u="1"/>
        <s v="Tabreez Ali, DO" u="1"/>
        <s v="Karen Piszczek, Psy. D" u="1"/>
        <s v="Michael M Gnuechtel, DO" u="1"/>
        <s v="Christopher Good, DO" u="1"/>
        <s v="Eugene Byrne, MD" u="1"/>
        <s v="Kofi Sarfo, MD" u="1"/>
        <s v="Peter Hahn, MD  -  ORTHOPEDIST" u="1"/>
        <s v="Venoodhar K Reddy, MD, FACC" u="1"/>
        <s v="John Barton, MD" u="1"/>
        <s v="Sundeep Dabra, MD" u="1"/>
        <s v="Suhattai Gamnerdsiri, MD" u="1"/>
        <s v="GV Naga, MD" u="1"/>
        <s v="JOHNNY DELASHAW, MD" u="1"/>
        <s v="Adam Bier, MD" u="1"/>
        <s v="Sari Kohazi, MD" u="1"/>
        <s v="Tyler Tetreault, MD - Orthopedist" u="1"/>
        <s v="Anthony F Tramontano, MD" u="1"/>
        <s v="Roland Pua, " u="1"/>
        <s v="Carl A Weiss, III, MD., PhD" u="1"/>
        <s v="OSITA ANTHONY ONYEKWERE, MD" u="1"/>
        <s v="Kishor N. Vora, MD, FACC, FSCAI, CCDS" u="1"/>
        <s v="Richard A Mills, MD" u="1"/>
        <s v="Joni Gerken, RD" u="1"/>
        <s v="Syed Akbarullah, MD" u="1"/>
        <s v="Donald Calzolaio, MD" u="1"/>
        <s v="Timothy Laughlin, PhD" u="1"/>
        <s v="Linda Savarie, CDCES" u="1"/>
        <s v="Feiteng Su, MD" u="1"/>
        <s v="Vishal P Panchmatia, DMD" u="1"/>
        <s v="Neda Zamani, MD" u="1"/>
        <s v="Nadeem Khan, MD" u="1"/>
        <s v="Ryan H Patrick, MD" u="1"/>
        <s v="BLANE EDWARD BATEMAN, DO" u="1"/>
        <s v="Wendy Reeves, " u="1"/>
        <s v="Anna Melynne McArthur, MD" u="1"/>
        <s v="Keith Cochran, MD" u="1"/>
        <s v="Paul Simon, MD  -  PEDIATRICIAN" u="1"/>
        <s v="Douglas Borg M.D., F.A.C.C., " u="1"/>
        <s v="ANGELA SHOHO, MD" u="1"/>
        <s v="Debasis Das, M.D., M.R.C.P., F.A.C.C." u="1"/>
        <s v="Noel Diao, APRN" u="1"/>
        <s v="Scott Stoddard, PT" u="1"/>
        <s v="Christopher D Janish, MD" u="1"/>
        <s v="Cassie Baillargeon, RD, CDN" u="1"/>
        <s v="Babak Mahgerefteh, DO" u="1"/>
        <s v="ABDUL KAZI, MD" u="1"/>
        <s v="Andrei Pop, MD" u="1"/>
        <s v="Alfredo A Hibbert, PAC" u="1"/>
        <s v="Hayng Sung Yang, MD" u="1"/>
        <s v="Jennifer S Lo, PA-C" u="1"/>
        <s v="Kishor N Vora, MD,FACC" u="1"/>
        <s v="Carol S Bailey, LPN" u="1"/>
        <s v="Nathan Funk, MD, FACC" u="1"/>
        <s v="Michael B Brady, DDS" u="1"/>
        <s v="JAMES STANLEY, MD" u="1"/>
        <s v="BEATRICE LAWRENCE SMITH, MD" u="1"/>
        <s v="Brett Dupont, DPM" u="1"/>
        <s v="Mildred Martinez, NP" u="1"/>
        <s v="Scott W Rypkema, MD" u="1"/>
        <s v="Juan Abreu, MD" u="1"/>
        <s v="Sayyadu M Siddiqui, M.D." u="1"/>
        <s v="Jennifer Huffstickler, M.D." u="1"/>
        <s v="Savannah Harris, NP" u="1"/>
        <s v="Oussama Abousambra, MD  -  ORTHOPEDIST" u="1"/>
        <s v="Oussamra Abousamra, MD  -  ORTHOPEDIST" u="1"/>
        <s v="MOHAMED JASSER, MD" u="1"/>
        <s v="Thomas Beutler, MD" u="1"/>
        <s v="Stephen Nalbach, MD" u="1"/>
        <s v="Ashley DeLeon, " u="1"/>
        <s v="Lisa Harris, MD" u="1"/>
        <s v="Pavan Janapati, MD" u="1"/>
        <s v="Aaron Purdy, MD" u="1"/>
        <s v="Ben Cady, MD" u="1"/>
        <s v="Zafir A Hawa, MD, FACC, FSCAI" u="1"/>
        <s v="Eric Van Bean, FNP" u="1"/>
        <s v="MAY LAU, MD  -  PEDIATRICIAN" u="1"/>
        <s v="Oussama Abousamra, MD  -  ORTHOPEDIST" u="1"/>
        <s v="Avi Domnitz Gebet, DO" u="1"/>
        <s v="Lindsey Prewitt, MD" u="1"/>
        <s v="Shaun Corbett, MD" u="1"/>
        <s v="Aravind Nemarkommula, MD" u="1"/>
        <s v="Prithviraj Rajaram Chavan, MD" u="1"/>
        <s v="Joseph Hsin, " u="1"/>
        <s v="Patricia Monroe, MD" u="1"/>
        <s v="J. Lynn Davis, MD" u="1"/>
        <s v="Michael Heilig, " u="1"/>
        <s v="Dane Petersen, NP" u="1"/>
        <s v="Vance Askins, MD" u="1"/>
        <s v="Scott S Chapman, MD, FACC" u="1"/>
        <s v="DAVID SCHNAPP, MD" u="1"/>
        <s v="STEPHEN MELLI, MD  -  PEDIATRICIAN" u="1"/>
        <s v="William Murphy, DC" u="1"/>
        <s v="JOHN IFEANYI NWOGU, MD" u="1"/>
        <s v="Mark Lindemann, DO" u="1"/>
        <s v="VISHWANATH M REDDY, MD" u="1"/>
        <s v="CLINTON MICHAEL RAY, MD" u="1"/>
        <s v="Brandy Abell, APRN" u="1"/>
        <s v="Felicie Wyatt, MD" u="1"/>
        <s v="MICHAEL HAJEK, MD" u="1"/>
        <s v="Steven K Starr, MD, FACC" u="1"/>
        <s v="Cameron Johnstone, " u="1"/>
        <s v="Kofi E Sarfo, MD" u="1"/>
        <s v="Saket Prasad, MD" u="1"/>
        <s v="Sundeep Dabra, " u="1"/>
        <s v="Tanya Paul, MD" u="1"/>
        <s v="Michelle Leslie Albaran, APRN" u="1"/>
        <s v="Jonas Owen, MD  -  ORTHOPEDIST" u="1"/>
        <s v="Bill Forte, MD" u="1"/>
        <s v="Bartlomiej Szczech, MD" u="1"/>
        <s v="Mangaraju Chakka, M.D., F.A.C.C." u="1"/>
        <s v="Bassam Al-Owir, MD" u="1"/>
        <s v="Roger Patricio, APRN" u="1"/>
        <s v="Ginger Hart, APRN" u="1"/>
        <s v="Camie Pinkelman, " u="1"/>
        <s v="VISHWANATH REDDY, MD" u="1"/>
        <s v="Walter Kolmodin, DPM" u="1"/>
        <s v="Malik Rahim, MD" u="1"/>
        <s v="Kerry King, PT, DPT" u="1"/>
        <s v="Prabhu Manjeshwar, MD" u="1"/>
        <s v="David D Griffin, MD" u="1"/>
        <s v="Alfredo Hibbert, PA-C" u="1"/>
        <s v="Asif Lala, MD" u="1"/>
        <s v="Shaun T Patel, MD FACC ALL" u="1"/>
        <s v="Paige Cisna, Certified Wound NP" u="1"/>
        <s v="Rhonda Schlegel, DNP,  APRN, NP-C" u="1"/>
        <s v="Paige Cisna, " u="1"/>
        <s v="Fred Grynberg, MD" u="1"/>
        <s v="Marc P Pietropaoli, MD" u="1"/>
        <s v="Eric Pena, MD, FACC" u="1"/>
        <s v="Jessica Snyder, RDN,CDN" u="1"/>
        <s v="Stephanie Hatcher, NP" u="1"/>
        <s v="James H Mitchell, MD, FACC" u="1"/>
        <s v="Felecia Brown, CNM" u="1"/>
        <s v="MOHAMMED KANDIL SHUBAIR, MD" u="1"/>
        <s v="Jerome Mairin, MD" u="1"/>
        <s v="MUZAMIL E BABIKER, MD" u="1"/>
        <s v="Mark Greatting, MD" u="1"/>
        <s v="Amanda Ward, APRN" u="1"/>
        <s v="Daniel M Sauri, MD" u="1"/>
        <s v="Debasis Das, " u="1"/>
        <s v="Sachit P Das, MD" u="1"/>
        <s v="RACHEL GOLDSTEIN, MD  -  ORTHOPEDIST" u="1"/>
        <s v="Sara Ames, AOCNP" u="1"/>
        <s v="Michael Enrico, MD" u="1"/>
        <s v="MUZAMIL BABIKER, MD" u="1"/>
        <s v="LBrick Rigden, MD, FACC" u="1"/>
        <s v="L B RICHMOND, MD" u="1"/>
        <s v="Wayne F Arndt, DMD" u="1"/>
        <s v="Kailey Tarufelli, BC" u="1"/>
        <s v="Qui Thai, MD" u="1"/>
        <s v="OSITA ONYEKWERE, MD" u="1"/>
        <s v="MOHAMED S JASSER, MD" u="1"/>
        <s v="Thomas E Ducker, MD" u="1"/>
        <s v="Masroor Munim, " u="1"/>
        <s v="Melynne McArthur, MD" u="1"/>
        <s v="Tyler Tetreault, MD" u="1"/>
        <s v="Bradley Giannotti, MD" u="1"/>
        <s v="Omid Fatemi, MD, FACC" u="1"/>
        <s v="John Reyes, PA-C" u="1"/>
        <s v="Mark Yeakley, MD" u="1"/>
        <s v="Richard Santucci, MD" u="1"/>
        <s v="David M Hahn, MD, FACC" u="1"/>
        <s v="David Martin, MD, FACC" u="1"/>
        <s v="David Drachman, MD" u="1"/>
        <s v="Belinda Orden, APRN" u="1"/>
        <s v="Robert Nolan, " u="1"/>
        <s v="Gregory Thaggard, MD" u="1"/>
        <s v="Peter Jernigan, MD" u="1"/>
        <s v="Yazan Ghosheh, M.D." u="1"/>
        <s v="Mangaraju Chakka, " u="1"/>
        <s v="Neil Notaroberto, MD" u="1"/>
        <s v="Dwight Sutton, " u="1"/>
        <s v="KEVAN CRAIG, DO  -  REHABILITATION MEDICINE" u="1"/>
        <s v="Ethan Munzinger, MD" u="1"/>
        <s v="William J Gries, MD, FACC" u="1"/>
        <s v="Brian Morrison, MD, FACC" u="1"/>
        <s v="MICHAEL WILSON, MD" u="1"/>
        <s v="Emilie Robinson, MD" u="1"/>
        <s v="Srinivas R Bapoje, MD" u="1"/>
        <s v="Celeste Cole, PA" u="1"/>
        <s v="Dane Peterson, NP" u="1"/>
        <s v="Mark Moran, MD FACC" u="1"/>
        <s v="KEITH P SMITH, MD" u="1"/>
        <s v="Michael Hill, MD" u="1"/>
        <s v="MICHAEL ROGER WIEDMER, MD" u="1"/>
        <s v="Gene N Gordon, MD" u="1"/>
        <s v="JOHN F VALENTE, MD" u="1"/>
        <s v="LINDSAY ANDRAS, MD  -  ORTHOPEDIST" u="1"/>
        <s v="David Mastrianni, MD" u="1"/>
        <s v="Andrew D Boerkircher, DO" u="1"/>
      </sharedItems>
    </cacheField>
    <cacheField name="Account_name" numFmtId="0">
      <sharedItems count="48">
        <s v="Hillsboro Area Hospital"/>
        <s v="Adirondack Medical Center"/>
        <s v="Harmon Medical And Rehabilitation Hospital"/>
        <s v="Department Of Health Services - Wisconsin"/>
        <s v="Peterson Regional Medical Center"/>
        <s v="Sterling Surgical Hospital"/>
        <s v="Auburn Community Hospital"/>
        <s v="Miami Jewish Health Systems"/>
        <s v="Norfolk Community Service Board"/>
        <s v="LA County"/>
        <s v="Regional Medical Center Anniston"/>
        <s v="Horizon Health And Rehabilitation Center"/>
        <s v="Cardiology Associates Medical Group"/>
        <s v="Coronado Ridge Nursing and Rehab Center"/>
        <s v="Adel M Sidky, MD FACC"/>
        <s v="Stringfellow Memorial Hospital"/>
        <s v="North Suffolk Cardiology Associates"/>
        <s v="MEDICAL RESOURCE CENTER"/>
        <s v="Sagebrush Medical Consultants"/>
        <s v="Fred V Lause, DPM"/>
        <s v="Olney Hamiltion Hospital"/>
        <s v="Field Memorial Community Hospital"/>
        <s v="Cassol Eye"/>
        <s v="The Klingberg Family Centers"/>
        <s v="Northland Cardiology"/>
        <s v="Gordon Memorial Health Services" u="1"/>
        <s v="Heart Clinic Arkanas" u="1"/>
        <s v="Horizon Specialty Hospital" u="1"/>
        <s v="Charles Cole Memorial Hospital" u="1"/>
        <s v="UT Health Austin" u="1"/>
        <s v="Dr. Garza" u="1"/>
        <s v="Harford County Chiropractic, LLC" u="1"/>
        <s v="CoveShield Legal Support" u="1"/>
        <s v="Wyoming State Hospital" u="1"/>
        <s v="Wayne F Arndt DMD" u="1"/>
        <s v="Weiss Orthopedics" u="1"/>
        <s v="Daniel N Blum, MD" u="1"/>
        <s v="Kentuckiana Medical Center" u="1"/>
        <s v="GREEN VALLEY HEALTH AND WELLNESS SUITES" u="1"/>
        <s v="College Park Rehab Center" u="1"/>
        <s v="Osmond General Hospital" u="1"/>
        <s v="Spanish Hills Wellness Suites" u="1"/>
        <s v="Southern Oregon Cardiology" u="1"/>
        <s v="Promise Healthcare" u="1"/>
        <s v="Magnolia Medical Clinic" u="1"/>
        <s v="Injury-Care Associates LLC" u="1"/>
        <s v="CVAMD" u="1"/>
        <s v="North Las Vegas Care Center" u="1"/>
      </sharedItems>
    </cacheField>
    <cacheField name="Subhospital" numFmtId="0">
      <sharedItems/>
    </cacheField>
    <cacheField name="Responsible_ID" numFmtId="0">
      <sharedItems/>
    </cacheField>
    <cacheField name="Responsible_User_Name" numFmtId="0">
      <sharedItems count="57">
        <s v="Vijay Babu"/>
        <s v="Sandeep S"/>
        <s v="Usha M"/>
        <s v="Sivasankari A"/>
        <s v="Gopal Rajith"/>
        <s v="Savitha Arun"/>
        <s v="Pratheep Kumar"/>
        <s v="Tejas Patel"/>
        <s v="Chintul Sutaria"/>
        <s v="Shiny Iype"/>
        <s v="Rajani K" u="1"/>
        <s v="Aneesh Pillai" u="1"/>
        <s v="Rajesh Mehta" u="1"/>
        <s v="Ankit shah" u="1"/>
        <s v="Mercy Arun" u="1"/>
        <s v="Bipin George" u="1"/>
        <s v="Lakshmi M" u="1"/>
        <s v="Manoj Kumar" u="1"/>
        <s v="Febin Clament" u="1"/>
        <s v="Rajesh S" u="1"/>
        <s v="Sherry Fernandez" u="1"/>
        <s v="Shahana Shajas" u="1"/>
        <s v="Shweta Parmar" u="1"/>
        <s v="Pradumn SinghRathore" u="1"/>
        <s v="Aarti Gajjar" u="1"/>
        <s v="Riteshkumar Patel" u="1"/>
        <s v="Pradeep Chopra" u="1"/>
        <s v="Deepak V" u="1"/>
        <s v="Parineeta Patel" u="1"/>
        <s v="Sonali Patel" u="1"/>
        <s v="Tintu Soman" u="1"/>
        <s v="Raja JB" u="1"/>
        <s v="Latha N" u="1"/>
        <s v="sreelekshmi suneesh" u="1"/>
        <s v="M Thiruchelvi" u="1"/>
        <s v="Deepak Shah" u="1"/>
        <s v="Nitheesh C" u="1"/>
        <s v="Prashanth D" u="1"/>
        <s v="Saravanan D" u="1"/>
        <s v="Sindu N" u="1"/>
        <s v="Ashik N" u="1"/>
        <s v="Jitendra Duduskar" u="1"/>
        <s v="Purvi Thakore" u="1"/>
        <s v="Prasanth Sivan" u="1"/>
        <s v="Devi Balu" u="1"/>
        <s v="Renish Bhairapure" u="1"/>
        <s v="Nimesh Bhavsar" u="1"/>
        <s v="Indrani Singh" u="1"/>
        <s v="Hiren Thakur" u="1"/>
        <s v="Meera Chauhan" u="1"/>
        <s v="Kartik Rao" u="1"/>
        <s v="Preetha Uchil" u="1"/>
        <s v="Pranav Desai" u="1"/>
        <s v="Santosh Singh" u="1"/>
        <s v="Jitneesh Layal" u="1"/>
        <s v="Gurpreet Kaur Babra" u="1"/>
        <s v="Mazhar Tinwala" u="1"/>
      </sharedItems>
    </cacheField>
    <cacheField name="Location" numFmtId="0">
      <sharedItems/>
    </cacheField>
    <cacheField name="NoGo/Go_2010" numFmtId="0">
      <sharedItems/>
    </cacheField>
    <cacheField name="Line Count" numFmtId="0">
      <sharedItems containsSemiMixedTypes="0" containsString="0" containsNumber="1" minValue="0.6" maxValue="258.22000000000003"/>
    </cacheField>
    <cacheField name="Accuracy_2010" numFmtId="0">
      <sharedItems containsSemiMixedTypes="0" containsString="0" containsNumber="1" containsInteger="1" minValue="93" maxValue="100"/>
    </cacheField>
    <cacheField name="Error_Name" numFmtId="0">
      <sharedItems containsBlank="1" count="14">
        <m/>
        <s v="Minor-Punctuation/Grammar/Feedback"/>
        <s v="Major-Incorrect Text/Gender/Names"/>
        <s v="Major-Drug/Medical Error"/>
        <s v="Major-Number/Value/Dates"/>
        <s v="Major-Spelling Error"/>
        <s v="Major-Omitted/Inserted Text"/>
        <s v="Major-Demographics/Formatting/Protocol"/>
        <s v="Critical-Number/Value/Dates" u="1"/>
        <s v="Critical-Incorrect Text/Gender/Names" u="1"/>
        <s v="Minor-Demographics/Formatting/Protocol" u="1"/>
        <s v="Critical-Omitted/Inserted Text" u="1"/>
        <s v="Critical-Drug/Medical Error" u="1"/>
        <s v="Critical-Demographics/Formatting/Protocol" u="1"/>
      </sharedItems>
    </cacheField>
    <cacheField name="Total_error_type_receiver_by_auditor" numFmtId="0">
      <sharedItems containsSemiMixedTypes="0" containsString="0" containsNumber="1" containsInteger="1" minValue="0" maxValue="18"/>
    </cacheField>
    <cacheField name="Remarks" numFmtId="0">
      <sharedItems containsNonDate="0" containsString="0" containsBlank="1"/>
    </cacheField>
    <cacheField name="Worktype" numFmtId="0">
      <sharedItems/>
    </cacheField>
    <cacheField name="First_Touch" numFmtId="0">
      <sharedItems containsNonDate="0" containsString="0" containsBlank="1"/>
    </cacheField>
    <cacheField name="Time_Taken_First_Touch_mins" numFmtId="0">
      <sharedItems containsNonDate="0" containsString="0" containsBlank="1"/>
    </cacheField>
    <cacheField name="TAT" numFmtId="0">
      <sharedItems containsSemiMixedTypes="0" containsString="0" containsNumber="1" containsInteger="1" minValue="120" maxValue="2880"/>
    </cacheField>
    <cacheField name="Is_Tough_Dictator" numFmtId="0">
      <sharedItems/>
    </cacheField>
    <cacheField name="Play_Time_in_sec" numFmtId="0">
      <sharedItems containsSemiMixedTypes="0" containsString="0" containsNumber="1" containsInteger="1" minValue="0" maxValue="1644"/>
    </cacheField>
    <cacheField name="SSTAT_STAT_Normal" numFmtId="0">
      <sharedItems/>
    </cacheField>
    <cacheField name="Missed_Achieved" numFmtId="0">
      <sharedItems/>
    </cacheField>
    <cacheField name="Final_Blank_Count" numFmtId="0">
      <sharedItems containsSemiMixedTypes="0" containsString="0" containsNumber="1" containsInteger="1" minValue="0" maxValue="5"/>
    </cacheField>
    <cacheField name="Second_Last_Touch" numFmtId="0">
      <sharedItems containsNonDate="0" containsString="0" containsBlank="1"/>
    </cacheField>
    <cacheField name="Time_Taken_Second_Touch_mins" numFmtId="0">
      <sharedItems containsNonDate="0" containsString="0" containsBlank="1"/>
    </cacheField>
    <cacheField name="Last_Touch" numFmtId="0">
      <sharedItems containsNonDate="0" containsString="0" containsBlank="1"/>
    </cacheField>
    <cacheField name="Time_Taken_Last_Touch_mins" numFmtId="0">
      <sharedItems containsNonDate="0" containsString="0" containsBlank="1"/>
    </cacheField>
    <cacheField name="Audited Date" numFmtId="14">
      <sharedItems containsSemiMixedTypes="0" containsNonDate="0" containsDate="1" containsString="0" minDate="2024-09-16T00:00:00" maxDate="2026-04-09T00:00:00" count="318">
        <d v="2026-03-10T00:00:00"/>
        <d v="2026-03-11T00:00:00"/>
        <d v="2026-03-12T00:00:00"/>
        <d v="2026-03-13T00:00:00"/>
        <d v="2026-03-15T00:00:00"/>
        <d v="2026-03-16T00:00:00"/>
        <d v="2026-03-17T00:00:00"/>
        <d v="2026-03-18T00:00:00"/>
        <d v="2026-03-19T00:00:00"/>
        <d v="2026-03-20T00:00:00"/>
        <d v="2026-03-22T00:00:00"/>
        <d v="2026-03-23T00:00:00"/>
        <d v="2026-03-24T00:00:00"/>
        <d v="2026-03-25T00:00:00"/>
        <d v="2026-03-26T00:00:00"/>
        <d v="2026-03-27T00:00:00"/>
        <d v="2026-03-29T00:00:00"/>
        <d v="2026-03-30T00:00:00"/>
        <d v="2026-03-31T00:00:00"/>
        <d v="2026-04-01T00:00:00"/>
        <d v="2026-04-08T00:00:00"/>
        <d v="2024-09-29T00:00:00" u="1"/>
        <d v="2024-10-25T00:00:00" u="1"/>
        <d v="2024-11-21T00:00:00" u="1"/>
        <d v="2024-12-17T00:00:00" u="1"/>
        <d v="2024-12-19T00:00:00" u="1"/>
        <d v="2024-10-29T00:00:00" u="1"/>
        <d v="2024-11-25T00:00:00" u="1"/>
        <d v="2025-01-02T00:00:00" u="1"/>
        <d v="2024-11-27T00:00:00" u="1"/>
        <d v="2024-12-23T00:00:00" u="1"/>
        <d v="2024-11-29T00:00:00" u="1"/>
        <d v="2025-01-06T00:00:00" u="1"/>
        <d v="2025-02-02T00:00:00" u="1"/>
        <d v="2024-12-27T00:00:00" u="1"/>
        <d v="2025-01-08T00:00:00" u="1"/>
        <d v="2025-02-04T00:00:00" u="1"/>
        <d v="2025-01-10T00:00:00" u="1"/>
        <d v="2025-02-06T00:00:00" u="1"/>
        <d v="2025-03-02T00:00:00" u="1"/>
        <d v="2024-12-31T00:00:00" u="1"/>
        <d v="2025-01-12T00:00:00" u="1"/>
        <d v="2025-03-04T00:00:00" u="1"/>
        <d v="2025-01-14T00:00:00" u="1"/>
        <d v="2025-02-10T00:00:00" u="1"/>
        <d v="2025-03-06T00:00:00" u="1"/>
        <d v="2025-04-02T00:00:00" u="1"/>
        <d v="2025-01-16T00:00:00" u="1"/>
        <d v="2025-02-12T00:00:00" u="1"/>
        <d v="2025-04-04T00:00:00" u="1"/>
        <d v="2025-02-14T00:00:00" u="1"/>
        <d v="2025-03-10T00:00:00" u="1"/>
        <d v="2025-04-06T00:00:00" u="1"/>
        <d v="2025-05-02T00:00:00" u="1"/>
        <d v="2025-01-20T00:00:00" u="1"/>
        <d v="2025-02-16T00:00:00" u="1"/>
        <d v="2025-03-12T00:00:00" u="1"/>
        <d v="2025-04-08T00:00:00" u="1"/>
        <d v="2025-05-04T00:00:00" u="1"/>
        <d v="2025-01-22T00:00:00" u="1"/>
        <d v="2025-02-18T00:00:00" u="1"/>
        <d v="2025-04-10T00:00:00" u="1"/>
        <d v="2025-05-06T00:00:00" u="1"/>
        <d v="2025-06-02T00:00:00" u="1"/>
        <d v="2025-01-24T00:00:00" u="1"/>
        <d v="2025-02-20T00:00:00" u="1"/>
        <d v="2025-03-16T00:00:00" u="1"/>
        <d v="2025-05-08T00:00:00" u="1"/>
        <d v="2025-06-04T00:00:00" u="1"/>
        <d v="2025-01-26T00:00:00" u="1"/>
        <d v="2025-03-18T00:00:00" u="1"/>
        <d v="2025-04-14T00:00:00" u="1"/>
        <d v="2025-06-06T00:00:00" u="1"/>
        <d v="2025-07-02T00:00:00" u="1"/>
        <d v="2025-01-28T00:00:00" u="1"/>
        <d v="2025-02-24T00:00:00" u="1"/>
        <d v="2025-03-20T00:00:00" u="1"/>
        <d v="2025-04-16T00:00:00" u="1"/>
        <d v="2025-05-12T00:00:00" u="1"/>
        <d v="2025-06-08T00:00:00" u="1"/>
        <d v="2025-07-04T00:00:00" u="1"/>
        <d v="2025-01-30T00:00:00" u="1"/>
        <d v="2025-02-26T00:00:00" u="1"/>
        <d v="2025-04-18T00:00:00" u="1"/>
        <d v="2025-05-14T00:00:00" u="1"/>
        <d v="2025-06-10T00:00:00" u="1"/>
        <d v="2025-07-06T00:00:00" u="1"/>
        <d v="2025-08-02T00:00:00" u="1"/>
        <d v="2025-02-28T00:00:00" u="1"/>
        <d v="2025-03-24T00:00:00" u="1"/>
        <d v="2025-04-20T00:00:00" u="1"/>
        <d v="2025-05-16T00:00:00" u="1"/>
        <d v="2025-06-12T00:00:00" u="1"/>
        <d v="2025-07-08T00:00:00" u="1"/>
        <d v="2025-08-04T00:00:00" u="1"/>
        <d v="2025-03-26T00:00:00" u="1"/>
        <d v="2025-04-22T00:00:00" u="1"/>
        <d v="2025-05-18T00:00:00" u="1"/>
        <d v="2025-06-14T00:00:00" u="1"/>
        <d v="2025-07-10T00:00:00" u="1"/>
        <d v="2025-08-06T00:00:00" u="1"/>
        <d v="2025-09-02T00:00:00" u="1"/>
        <d v="2025-03-28T00:00:00" u="1"/>
        <d v="2025-04-24T00:00:00" u="1"/>
        <d v="2025-05-20T00:00:00" u="1"/>
        <d v="2025-06-16T00:00:00" u="1"/>
        <d v="2025-08-08T00:00:00" u="1"/>
        <d v="2025-03-30T00:00:00" u="1"/>
        <d v="2025-05-22T00:00:00" u="1"/>
        <d v="2025-06-18T00:00:00" u="1"/>
        <d v="2025-07-14T00:00:00" u="1"/>
        <d v="2025-08-10T00:00:00" u="1"/>
        <d v="2025-04-28T00:00:00" u="1"/>
        <d v="2025-05-24T00:00:00" u="1"/>
        <d v="2025-06-20T00:00:00" u="1"/>
        <d v="2025-07-16T00:00:00" u="1"/>
        <d v="2025-08-12T00:00:00" u="1"/>
        <d v="2024-10-04T00:00:00" u="1"/>
        <d v="2025-04-30T00:00:00" u="1"/>
        <d v="2025-05-26T00:00:00" u="1"/>
        <d v="2025-07-18T00:00:00" u="1"/>
        <d v="2025-08-14T00:00:00" u="1"/>
        <d v="2024-10-06T00:00:00" u="1"/>
        <d v="2025-10-06T00:00:00" u="1"/>
        <d v="2025-05-28T00:00:00" u="1"/>
        <d v="2025-06-24T00:00:00" u="1"/>
        <d v="2025-07-20T00:00:00" u="1"/>
        <d v="2024-10-08T00:00:00" u="1"/>
        <d v="2025-10-08T00:00:00" u="1"/>
        <d v="2024-11-04T00:00:00" u="1"/>
        <d v="2025-05-30T00:00:00" u="1"/>
        <d v="2025-06-26T00:00:00" u="1"/>
        <d v="2025-07-22T00:00:00" u="1"/>
        <d v="2024-10-10T00:00:00" u="1"/>
        <d v="2025-10-10T00:00:00" u="1"/>
        <d v="2024-11-06T00:00:00" u="1"/>
        <d v="2024-12-02T00:00:00" u="1"/>
        <d v="2025-07-24T00:00:00" u="1"/>
        <d v="2025-08-20T00:00:00" u="1"/>
        <d v="2024-09-16T00:00:00" u="1"/>
        <d v="2025-10-12T00:00:00" u="1"/>
        <d v="2024-11-08T00:00:00" u="1"/>
        <d v="2024-12-04T00:00:00" u="1"/>
        <d v="2025-06-30T00:00:00" u="1"/>
        <d v="2025-07-26T00:00:00" u="1"/>
        <d v="2025-08-22T00:00:00" u="1"/>
        <d v="2024-09-18T00:00:00" u="1"/>
        <d v="2024-10-14T00:00:00" u="1"/>
        <d v="2025-10-14T00:00:00" u="1"/>
        <d v="2024-12-06T00:00:00" u="1"/>
        <d v="2025-07-28T00:00:00" u="1"/>
        <d v="2025-08-24T00:00:00" u="1"/>
        <d v="2024-09-20T00:00:00" u="1"/>
        <d v="2024-10-16T00:00:00" u="1"/>
        <d v="2024-11-12T00:00:00" u="1"/>
        <d v="2025-07-30T00:00:00" u="1"/>
        <d v="2025-08-26T00:00:00" u="1"/>
        <d v="2024-09-22T00:00:00" u="1"/>
        <d v="2024-10-18T00:00:00" u="1"/>
        <d v="2024-11-14T00:00:00" u="1"/>
        <d v="2024-12-10T00:00:00" u="1"/>
        <d v="2024-09-24T00:00:00" u="1"/>
        <d v="2024-12-12T00:00:00" u="1"/>
        <d v="2024-09-26T00:00:00" u="1"/>
        <d v="2024-10-22T00:00:00" u="1"/>
        <d v="2024-11-18T00:00:00" u="1"/>
        <d v="2024-09-28T00:00:00" u="1"/>
        <d v="2024-10-24T00:00:00" u="1"/>
        <d v="2024-11-20T00:00:00" u="1"/>
        <d v="2024-12-16T00:00:00" u="1"/>
        <d v="2024-09-30T00:00:00" u="1"/>
        <d v="2024-11-22T00:00:00" u="1"/>
        <d v="2024-12-18T00:00:00" u="1"/>
        <d v="2024-10-28T00:00:00" u="1"/>
        <d v="2024-12-20T00:00:00" u="1"/>
        <d v="2024-10-30T00:00:00" u="1"/>
        <d v="2024-11-26T00:00:00" u="1"/>
        <d v="2025-01-03T00:00:00" u="1"/>
        <d v="2024-11-28T00:00:00" u="1"/>
        <d v="2024-12-24T00:00:00" u="1"/>
        <d v="2025-01-05T00:00:00" u="1"/>
        <d v="2024-12-26T00:00:00" u="1"/>
        <d v="2025-01-07T00:00:00" u="1"/>
        <d v="2025-02-03T00:00:00" u="1"/>
        <d v="2025-01-09T00:00:00" u="1"/>
        <d v="2025-02-05T00:00:00" u="1"/>
        <d v="2024-12-30T00:00:00" u="1"/>
        <d v="2025-02-07T00:00:00" u="1"/>
        <d v="2025-03-03T00:00:00" u="1"/>
        <d v="2025-01-13T00:00:00" u="1"/>
        <d v="2025-02-09T00:00:00" u="1"/>
        <d v="2025-03-05T00:00:00" u="1"/>
        <d v="2025-04-01T00:00:00" u="1"/>
        <d v="2025-01-15T00:00:00" u="1"/>
        <d v="2025-02-11T00:00:00" u="1"/>
        <d v="2025-03-07T00:00:00" u="1"/>
        <d v="2025-04-03T00:00:00" u="1"/>
        <d v="2025-01-17T00:00:00" u="1"/>
        <d v="2025-02-13T00:00:00" u="1"/>
        <d v="2025-03-09T00:00:00" u="1"/>
        <d v="2025-05-01T00:00:00" u="1"/>
        <d v="2025-01-19T00:00:00" u="1"/>
        <d v="2025-03-11T00:00:00" u="1"/>
        <d v="2025-04-07T00:00:00" u="1"/>
        <d v="2025-01-21T00:00:00" u="1"/>
        <d v="2025-02-17T00:00:00" u="1"/>
        <d v="2025-03-13T00:00:00" u="1"/>
        <d v="2025-04-09T00:00:00" u="1"/>
        <d v="2025-05-05T00:00:00" u="1"/>
        <d v="2025-06-01T00:00:00" u="1"/>
        <d v="2025-01-23T00:00:00" u="1"/>
        <d v="2025-02-19T00:00:00" u="1"/>
        <d v="2025-04-11T00:00:00" u="1"/>
        <d v="2025-05-07T00:00:00" u="1"/>
        <d v="2025-06-03T00:00:00" u="1"/>
        <d v="2025-02-21T00:00:00" u="1"/>
        <d v="2025-03-17T00:00:00" u="1"/>
        <d v="2025-04-13T00:00:00" u="1"/>
        <d v="2025-05-09T00:00:00" u="1"/>
        <d v="2025-06-05T00:00:00" u="1"/>
        <d v="2025-07-01T00:00:00" u="1"/>
        <d v="2025-01-27T00:00:00" u="1"/>
        <d v="2025-02-23T00:00:00" u="1"/>
        <d v="2025-03-19T00:00:00" u="1"/>
        <d v="2025-04-15T00:00:00" u="1"/>
        <d v="2025-05-11T00:00:00" u="1"/>
        <d v="2025-07-03T00:00:00" u="1"/>
        <d v="2025-01-29T00:00:00" u="1"/>
        <d v="2025-02-25T00:00:00" u="1"/>
        <d v="2025-03-21T00:00:00" u="1"/>
        <d v="2025-04-17T00:00:00" u="1"/>
        <d v="2025-05-13T00:00:00" u="1"/>
        <d v="2025-06-09T00:00:00" u="1"/>
        <d v="2025-08-01T00:00:00" u="1"/>
        <d v="2025-01-31T00:00:00" u="1"/>
        <d v="2025-02-27T00:00:00" u="1"/>
        <d v="2025-03-23T00:00:00" u="1"/>
        <d v="2025-04-19T00:00:00" u="1"/>
        <d v="2025-05-15T00:00:00" u="1"/>
        <d v="2025-06-11T00:00:00" u="1"/>
        <d v="2025-07-07T00:00:00" u="1"/>
        <d v="2025-08-03T00:00:00" u="1"/>
        <d v="2025-03-25T00:00:00" u="1"/>
        <d v="2025-04-21T00:00:00" u="1"/>
        <d v="2025-06-13T00:00:00" u="1"/>
        <d v="2025-07-09T00:00:00" u="1"/>
        <d v="2025-08-05T00:00:00" u="1"/>
        <d v="2025-03-27T00:00:00" u="1"/>
        <d v="2025-04-23T00:00:00" u="1"/>
        <d v="2025-05-19T00:00:00" u="1"/>
        <d v="2025-06-15T00:00:00" u="1"/>
        <d v="2025-07-11T00:00:00" u="1"/>
        <d v="2025-08-07T00:00:00" u="1"/>
        <d v="2025-04-25T00:00:00" u="1"/>
        <d v="2025-05-21T00:00:00" u="1"/>
        <d v="2025-06-17T00:00:00" u="1"/>
        <d v="2025-07-13T00:00:00" u="1"/>
        <d v="2024-10-01T00:00:00" u="1"/>
        <d v="2025-10-01T00:00:00" u="1"/>
        <d v="2025-03-31T00:00:00" u="1"/>
        <d v="2025-04-27T00:00:00" u="1"/>
        <d v="2025-05-23T00:00:00" u="1"/>
        <d v="2025-06-19T00:00:00" u="1"/>
        <d v="2025-07-15T00:00:00" u="1"/>
        <d v="2025-08-11T00:00:00" u="1"/>
        <d v="2024-10-03T00:00:00" u="1"/>
        <d v="2025-10-03T00:00:00" u="1"/>
        <d v="2025-04-29T00:00:00" u="1"/>
        <d v="2025-05-25T00:00:00" u="1"/>
        <d v="2025-06-21T00:00:00" u="1"/>
        <d v="2025-07-17T00:00:00" u="1"/>
        <d v="2025-08-13T00:00:00" u="1"/>
        <d v="2025-10-05T00:00:00" u="1"/>
        <d v="2024-11-01T00:00:00" u="1"/>
        <d v="2025-05-27T00:00:00" u="1"/>
        <d v="2025-06-23T00:00:00" u="1"/>
        <d v="2024-10-07T00:00:00" u="1"/>
        <d v="2025-10-07T00:00:00" u="1"/>
        <d v="2025-05-29T00:00:00" u="1"/>
        <d v="2025-06-25T00:00:00" u="1"/>
        <d v="2025-07-21T00:00:00" u="1"/>
        <d v="2024-10-09T00:00:00" u="1"/>
        <d v="2025-10-09T00:00:00" u="1"/>
        <d v="2024-11-05T00:00:00" u="1"/>
        <d v="2025-05-31T00:00:00" u="1"/>
        <d v="2025-06-27T00:00:00" u="1"/>
        <d v="2025-07-23T00:00:00" u="1"/>
        <d v="2025-08-19T00:00:00" u="1"/>
        <d v="2024-10-11T00:00:00" u="1"/>
        <d v="2024-11-07T00:00:00" u="1"/>
        <d v="2024-12-03T00:00:00" u="1"/>
        <d v="2025-06-29T00:00:00" u="1"/>
        <d v="2025-07-25T00:00:00" u="1"/>
        <d v="2025-08-21T00:00:00" u="1"/>
        <d v="2024-09-17T00:00:00" u="1"/>
        <d v="2025-10-13T00:00:00" u="1"/>
        <d v="2024-12-05T00:00:00" u="1"/>
        <d v="2025-07-27T00:00:00" u="1"/>
        <d v="2025-08-23T00:00:00" u="1"/>
        <d v="2024-09-19T00:00:00" u="1"/>
        <d v="2024-10-15T00:00:00" u="1"/>
        <d v="2024-11-11T00:00:00" u="1"/>
        <d v="2025-07-29T00:00:00" u="1"/>
        <d v="2025-08-25T00:00:00" u="1"/>
        <d v="2024-09-21T00:00:00" u="1"/>
        <d v="2024-10-17T00:00:00" u="1"/>
        <d v="2024-11-13T00:00:00" u="1"/>
        <d v="2024-12-09T00:00:00" u="1"/>
        <d v="2025-07-31T00:00:00" u="1"/>
        <d v="2024-09-23T00:00:00" u="1"/>
        <d v="2024-11-15T00:00:00" u="1"/>
        <d v="2024-12-11T00:00:00" u="1"/>
        <d v="2024-09-25T00:00:00" u="1"/>
        <d v="2024-10-21T00:00:00" u="1"/>
        <d v="2024-12-13T00:00:00" u="1"/>
        <d v="2024-09-27T00:00:00" u="1"/>
        <d v="2024-10-23T00:00:00" u="1"/>
        <d v="2024-11-19T00:00:00" u="1"/>
      </sharedItems>
    </cacheField>
    <cacheField name="Week" numFmtId="0">
      <sharedItems/>
    </cacheField>
    <cacheField name="Initial" numFmtId="0">
      <sharedItems count="63">
        <s v="HAH"/>
        <s v="AMC"/>
        <s v="HMRH"/>
        <s v="DHS"/>
        <s v="PRMC"/>
        <s v="SSH"/>
        <s v="Auburn HIM"/>
        <s v="MJHS"/>
        <s v="NCSB"/>
        <s v="LAC"/>
        <s v="RMCA"/>
        <s v="HHRC"/>
        <s v="CAMG"/>
        <s v="CRNRC"/>
        <s v="AMS"/>
        <s v="SMH"/>
        <s v="NSCA"/>
        <s v="MRC"/>
        <s v="SMCO"/>
        <s v="FVLD"/>
        <s v="OHH"/>
        <s v="FMCH"/>
        <s v="CEE"/>
        <s v="TKFC"/>
        <s v="NLC"/>
        <s v="ARMC" u="1"/>
        <e v="#N/A" u="1"/>
        <s v="PHE" u="1"/>
        <s v="MMC" u="1"/>
        <s v="MMH" u="1"/>
        <s v="TNA" u="1"/>
        <s v="CCH" u="1"/>
        <s v="UTHA" u="1"/>
        <s v="CCM" u="1"/>
        <s v="DNB" u="1"/>
        <s v="SVH" u="1"/>
        <s v="SOC" u="1"/>
        <s v="WOS" u="1"/>
        <s v="SNMRC" u="1"/>
        <s v="OHV" u="1"/>
        <s v="NLVCC" u="1"/>
        <s v="HSH" u="1"/>
        <s v="OGH" u="1"/>
        <s v="WFA" u="1"/>
        <s v="LAGT" u="1"/>
        <s v="ICA" u="1"/>
        <s v="KMC" u="1"/>
        <s v="SHWS" u="1"/>
        <s v="DRASK" u="1"/>
        <s v="WSH" u="1"/>
        <s v="GHWS" u="1"/>
        <s v="HEALTHWIN" u="1"/>
        <s v="CPRC" u="1"/>
        <s v="Mira Vista" u="1"/>
        <s v="COON" u="1"/>
        <s v="VMC" u="1"/>
        <s v="TTMC" u="1"/>
        <s v="GARZA" u="1"/>
        <s v="HCA" u="1"/>
        <s v="CVAMD" u="1"/>
        <s v="HCC" u="1"/>
        <s v="CLS" u="1"/>
        <s v="GMHS" u="1"/>
      </sharedItems>
    </cacheField>
    <cacheField name="NoGo/Go" numFmtId="0">
      <sharedItems count="2">
        <s v="Go"/>
        <s v="NoGo"/>
      </sharedItems>
    </cacheField>
    <cacheField name="Accuracy" numFmtId="2">
      <sharedItems containsSemiMixedTypes="0" containsString="0" containsNumber="1" minValue="77.109221713538261" maxValue="100"/>
    </cacheField>
    <cacheField name="Point value" numFmtId="0">
      <sharedItems containsSemiMixedTypes="0" containsString="0" containsNumber="1" containsInteger="1" minValue="0" maxValue="5"/>
    </cacheField>
    <cacheField name="Overall Score" numFmtId="0">
      <sharedItems containsSemiMixedTypes="0" containsString="0" containsNumber="1" containsInteger="1" minValue="0" maxValue="7"/>
    </cacheField>
    <cacheField name="Account's MTTL" numFmtId="0">
      <sharedItems/>
    </cacheField>
    <cacheField name="USer's MTTL" numFmtId="0">
      <sharedItems/>
    </cacheField>
    <cacheField name="First touch MTTL" numFmtId="0">
      <sharedItems/>
    </cacheField>
    <cacheField name="Error Type" numFmtId="0">
      <sharedItems/>
    </cacheField>
    <cacheField name="Con" numFmtId="0">
      <sharedItems/>
    </cacheField>
    <cacheField name="Name" numFmtId="0">
      <sharedItems/>
    </cacheField>
    <cacheField name="Score" numFmtId="0">
      <sharedItems containsMixedTypes="1" containsNumber="1" containsInteger="1" minValue="0" maxValue="1"/>
    </cacheField>
    <cacheField name="Location-1" numFmtId="0">
      <sharedItems count="2">
        <s v="Trivandrum"/>
        <s v="Ahmedabad"/>
      </sharedItems>
    </cacheField>
    <cacheField name="T/F" numFmtId="0">
      <sharedItems count="2">
        <b v="0"/>
        <b v="1"/>
      </sharedItems>
    </cacheField>
    <cacheField name="Total Error Count" numFmtId="0">
      <sharedItems containsMixedTypes="1" containsNumber="1" containsInteger="1" minValue="1" maxValue="1"/>
    </cacheField>
    <cacheField name="Total Error occurrences" numFmtId="0">
      <sharedItems containsSemiMixedTypes="0" containsString="0" containsNumber="1" containsInteger="1" minValue="0" maxValue="18"/>
    </cacheField>
    <cacheField name="First_Touch-1" numFmtId="0">
      <sharedItems count="17">
        <s v="Vijay Babu"/>
        <s v="Sandeep S"/>
        <s v="Usha M"/>
        <s v="Bihag Antani"/>
        <s v="Gopal Rajith"/>
        <s v="Sivasankari A"/>
        <s v="Pratheep Kumar"/>
        <s v="Devi Balu"/>
        <s v="Tejas Patel"/>
        <s v="Prasanth Sivan"/>
        <s v="Nitheesh C"/>
        <s v="Manoj Kumar"/>
        <s v="Chintul Sutaria"/>
        <s v="Shiny Iype"/>
        <s v="Parineeta Patel"/>
        <s v="Snehal patel"/>
        <s v="Nimesh Bhavsar"/>
      </sharedItems>
    </cacheField>
    <cacheField name="Responsible_User_Status" numFmtId="0">
      <sharedItems count="2">
        <s v="mt_new"/>
        <s v="qa_new"/>
      </sharedItems>
    </cacheField>
    <cacheField name="Sent Status Name" numFmtId="0">
      <sharedItems count="5">
        <s v="awaiting_upload"/>
        <s v="awaiting_bb"/>
        <s v="ready_for_review"/>
        <s v="awaiting_qa"/>
        <s v="decision_pending" u="1"/>
      </sharedItems>
    </cacheField>
    <cacheField name="Match" numFmtId="0">
      <sharedItems/>
    </cacheField>
    <cacheField name="Group" numFmtId="0">
      <sharedItems/>
    </cacheField>
    <cacheField name="Responsible_User_Designation" numFmtId="0">
      <sharedItems count="9">
        <s v="MTX - India"/>
        <s v="VR QA - India"/>
        <s v="MTx-India"/>
        <s v="QA - India"/>
        <s v="MT - India"/>
        <s v="QA"/>
        <s v="MTx" u="1"/>
        <s v="VR - MT" u="1"/>
        <s v="MT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51">
  <r>
    <d v="2026-03-03T09:00:48"/>
    <d v="2026-03-03T14:30:48"/>
    <d v="2026-03-10T05:00:16"/>
    <d v="2026-03-10T10:30:16"/>
    <d v="2026-03-05T15:06:23"/>
    <d v="2026-03-10T10:30:16"/>
    <x v="0"/>
    <n v="291"/>
    <n v="6923.8833000000004"/>
    <x v="0"/>
    <n v="12825718"/>
    <s v="Joseph Blaser, DO"/>
    <s v="Hillsboro Area Hospital"/>
    <s v="Clinic"/>
    <s v="veejay_b@yahoo.com"/>
    <x v="0"/>
    <s v="Trivandrum"/>
    <s v="Go"/>
    <n v="54.15"/>
    <n v="100"/>
    <x v="0"/>
    <n v="0"/>
    <m/>
    <x v="0"/>
    <m/>
    <m/>
    <n v="120"/>
    <s v="No"/>
    <n v="262"/>
    <s v="Normal"/>
    <s v="Achieved"/>
    <n v="0"/>
    <m/>
    <m/>
    <m/>
    <m/>
    <d v="2026-03-10T00:00:00"/>
    <s v="Week11"/>
    <x v="0"/>
    <s v="Go"/>
    <n v="100"/>
    <n v="0"/>
    <n v="0"/>
    <s v="Aneesh"/>
    <s v="Aneesh"/>
    <s v="Aneesh"/>
    <s v=""/>
    <s v="12825718Vijay Babu"/>
    <s v=""/>
    <s v=""/>
    <s v="Trivandrum"/>
    <x v="0"/>
    <s v=""/>
    <n v="0"/>
    <s v="Vijay Babu"/>
    <x v="0"/>
    <s v="awaiting_upload"/>
    <b v="0"/>
  </r>
  <r>
    <d v="2026-03-03T12:51:50"/>
    <d v="2026-03-03T18:21:50"/>
    <d v="2026-03-10T05:07:20"/>
    <d v="2026-03-10T10:37:20"/>
    <d v="2026-03-05T15:06:44"/>
    <d v="2026-03-10T10:37:20"/>
    <x v="0"/>
    <n v="891"/>
    <n v="6930.6"/>
    <x v="0"/>
    <n v="12825779"/>
    <s v="Joseph Blaser, DO"/>
    <s v="Hillsboro Area Hospital"/>
    <s v="Clinic"/>
    <s v="veejay_b@yahoo.com"/>
    <x v="0"/>
    <s v="Trivandrum"/>
    <s v="Go"/>
    <n v="67.12"/>
    <n v="100"/>
    <x v="1"/>
    <n v="2"/>
    <m/>
    <x v="0"/>
    <m/>
    <m/>
    <n v="120"/>
    <s v="No"/>
    <n v="297"/>
    <s v="Normal"/>
    <s v="Achieved"/>
    <n v="0"/>
    <m/>
    <m/>
    <m/>
    <m/>
    <d v="2026-03-10T00:00:00"/>
    <s v="Week11"/>
    <x v="0"/>
    <s v="Go"/>
    <n v="100"/>
    <n v="0"/>
    <n v="0"/>
    <s v="Aneesh"/>
    <s v="Aneesh"/>
    <s v="Aneesh"/>
    <s v="Minor"/>
    <s v="12825779Vijay Babu"/>
    <s v="Minor"/>
    <n v="0"/>
    <s v="Trivandrum"/>
    <x v="0"/>
    <n v="1"/>
    <n v="2"/>
    <s v="Vijay Babu"/>
    <x v="0"/>
    <s v="awaiting_upload"/>
    <b v="0"/>
  </r>
  <r>
    <d v="2026-03-03T11:23:24"/>
    <d v="2026-03-03T16:53:24"/>
    <d v="2026-03-10T05:33:47"/>
    <d v="2026-03-10T11:03:47"/>
    <d v="2026-03-05T15:06:50"/>
    <d v="2026-03-10T11:03:47"/>
    <x v="0"/>
    <n v="13269"/>
    <n v="6956.95"/>
    <x v="0"/>
    <n v="12825745"/>
    <s v="William Smith, MD"/>
    <s v="Adirondack Medical Center"/>
    <s v="Clinic"/>
    <s v="veejay_b@yahoo.com"/>
    <x v="0"/>
    <s v="Trivandrum"/>
    <s v="Go"/>
    <n v="105.75"/>
    <n v="100"/>
    <x v="0"/>
    <n v="0"/>
    <m/>
    <x v="1"/>
    <m/>
    <m/>
    <n v="360"/>
    <s v="No"/>
    <n v="486"/>
    <s v="Normal"/>
    <s v="Achieved"/>
    <n v="0"/>
    <m/>
    <m/>
    <m/>
    <m/>
    <d v="2026-03-10T00:00:00"/>
    <s v="Week11"/>
    <x v="1"/>
    <s v="Go"/>
    <n v="100"/>
    <n v="0"/>
    <n v="0"/>
    <s v="Aneesh"/>
    <s v="Aneesh"/>
    <s v="Aneesh"/>
    <s v=""/>
    <s v="12825745Vijay Babu"/>
    <s v=""/>
    <s v=""/>
    <s v="Trivandrum"/>
    <x v="0"/>
    <s v=""/>
    <n v="0"/>
    <s v="Vijay Babu"/>
    <x v="0"/>
    <s v="awaiting_upload"/>
    <b v="0"/>
  </r>
  <r>
    <d v="2026-03-03T11:33:35"/>
    <d v="2026-03-03T17:03:35"/>
    <d v="2026-03-10T05:53:44"/>
    <d v="2026-03-10T11:23:44"/>
    <d v="2026-03-05T15:06:57"/>
    <d v="2026-03-10T11:23:44"/>
    <x v="0"/>
    <n v="2972"/>
    <n v="6976.7833000000001"/>
    <x v="0"/>
    <n v="12825757"/>
    <s v="William Smith, MD"/>
    <s v="Adirondack Medical Center"/>
    <s v="Clinic"/>
    <s v="veejay_b@yahoo.com"/>
    <x v="0"/>
    <s v="Trivandrum"/>
    <s v="No Go"/>
    <n v="134.58000000000001"/>
    <n v="98"/>
    <x v="2"/>
    <n v="2"/>
    <m/>
    <x v="1"/>
    <m/>
    <m/>
    <n v="360"/>
    <s v="No"/>
    <n v="600"/>
    <s v="Normal"/>
    <s v="Achieved"/>
    <n v="2"/>
    <m/>
    <m/>
    <m/>
    <m/>
    <d v="2026-03-10T00:00:00"/>
    <s v="Week11"/>
    <x v="1"/>
    <s v="Go"/>
    <n v="98.513895080992725"/>
    <n v="2"/>
    <n v="2"/>
    <s v="Aneesh"/>
    <s v="Aneesh"/>
    <s v="Aneesh"/>
    <s v="Major"/>
    <s v="12825757Vijay Babu"/>
    <s v="Major"/>
    <n v="1"/>
    <s v="Trivandrum"/>
    <x v="1"/>
    <n v="1"/>
    <n v="2"/>
    <s v="Vijay Babu"/>
    <x v="0"/>
    <s v="awaiting_upload"/>
    <b v="1"/>
  </r>
  <r>
    <d v="2026-03-03T11:33:35"/>
    <d v="2026-03-03T17:03:35"/>
    <d v="2026-03-10T05:53:44"/>
    <d v="2026-03-10T11:23:44"/>
    <d v="2026-03-05T15:06:57"/>
    <d v="2026-03-10T11:23:44"/>
    <x v="0"/>
    <n v="2972"/>
    <n v="6976.7833000000001"/>
    <x v="0"/>
    <n v="12825757"/>
    <s v="William Smith, MD"/>
    <s v="Adirondack Medical Center"/>
    <s v="Clinic"/>
    <s v="veejay_b@yahoo.com"/>
    <x v="0"/>
    <s v="Trivandrum"/>
    <s v="No Go"/>
    <n v="134.58000000000001"/>
    <n v="98"/>
    <x v="1"/>
    <n v="2"/>
    <m/>
    <x v="1"/>
    <m/>
    <m/>
    <n v="360"/>
    <s v="No"/>
    <n v="600"/>
    <s v="Normal"/>
    <s v="Achieved"/>
    <n v="2"/>
    <m/>
    <m/>
    <m/>
    <m/>
    <d v="2026-03-10T00:00:00"/>
    <s v="Week11"/>
    <x v="1"/>
    <s v="Go"/>
    <n v="98.513895080992725"/>
    <n v="0"/>
    <n v="2"/>
    <s v="Aneesh"/>
    <s v="Aneesh"/>
    <s v="Aneesh"/>
    <s v="Minor"/>
    <s v="12825757Vijay Babu"/>
    <s v="Minor"/>
    <n v="0"/>
    <s v="Trivandrum"/>
    <x v="0"/>
    <n v="1"/>
    <n v="2"/>
    <s v="Vijay Babu"/>
    <x v="0"/>
    <s v="awaiting_upload"/>
    <b v="0"/>
  </r>
  <r>
    <d v="2026-03-08T10:07:07"/>
    <d v="2026-03-08T15:37:07"/>
    <d v="2026-03-10T13:55:10"/>
    <d v="2026-03-10T19:25:10"/>
    <d v="2026-03-10T19:17:27"/>
    <d v="2026-03-10T19:25:10"/>
    <x v="1"/>
    <n v="456"/>
    <n v="7.7167000000000003"/>
    <x v="0"/>
    <n v="12827216"/>
    <s v="Austin Christensen, MD"/>
    <s v="Harmon Medical And Rehabilitation Hospital"/>
    <s v="Clinic"/>
    <s v="sandeepskn88@gmail.com"/>
    <x v="1"/>
    <s v="Trivandrum"/>
    <s v="Go"/>
    <n v="75.849999999999994"/>
    <n v="100"/>
    <x v="0"/>
    <n v="0"/>
    <m/>
    <x v="2"/>
    <m/>
    <m/>
    <n v="1440"/>
    <s v="No"/>
    <n v="231"/>
    <s v="Normal"/>
    <s v="Missed"/>
    <n v="0"/>
    <m/>
    <m/>
    <m/>
    <m/>
    <d v="2026-03-10T00:00:00"/>
    <s v="Week11"/>
    <x v="2"/>
    <s v="Go"/>
    <n v="100"/>
    <n v="0"/>
    <n v="0"/>
    <s v="Aneesh"/>
    <s v="Aneesh"/>
    <s v="Aneesh"/>
    <s v=""/>
    <s v="12827216Sandeep S"/>
    <s v=""/>
    <s v=""/>
    <s v="Trivandrum"/>
    <x v="0"/>
    <s v=""/>
    <n v="0"/>
    <s v="Sandeep S"/>
    <x v="0"/>
    <s v="awaiting_upload"/>
    <b v="0"/>
  </r>
  <r>
    <d v="2026-03-04T12:55:42"/>
    <d v="2026-03-04T18:25:42"/>
    <d v="2026-03-10T18:14:35"/>
    <d v="2026-03-10T23:44:35"/>
    <d v="2026-03-10T19:42:03"/>
    <d v="2026-03-10T23:44:35"/>
    <x v="0"/>
    <n v="822"/>
    <n v="242.5333"/>
    <x v="0"/>
    <n v="12826205"/>
    <s v="John Decker, MD"/>
    <s v="Adirondack Medical Center"/>
    <s v="Clinic"/>
    <s v="ushaaaam40@gmail.com"/>
    <x v="2"/>
    <s v="Trivandrum"/>
    <s v="Go"/>
    <n v="24.6"/>
    <n v="100"/>
    <x v="1"/>
    <n v="1"/>
    <m/>
    <x v="3"/>
    <m/>
    <m/>
    <n v="1440"/>
    <s v="No"/>
    <n v="193"/>
    <s v="Normal"/>
    <s v="Achieved"/>
    <n v="0"/>
    <m/>
    <m/>
    <m/>
    <m/>
    <d v="2026-03-10T00:00:00"/>
    <s v="Week11"/>
    <x v="1"/>
    <s v="Go"/>
    <n v="100"/>
    <n v="0"/>
    <n v="0"/>
    <s v="Aneesh"/>
    <s v="Aneesh"/>
    <s v="Aneesh"/>
    <s v="Minor"/>
    <s v="12826205Usha M"/>
    <s v="Minor"/>
    <n v="0"/>
    <s v="Trivandrum"/>
    <x v="0"/>
    <n v="1"/>
    <n v="1"/>
    <s v="Usha M"/>
    <x v="0"/>
    <s v="awaiting_upload"/>
    <b v="0"/>
  </r>
  <r>
    <d v="2026-03-06T14:50:22"/>
    <d v="2026-03-06T20:20:22"/>
    <d v="2026-03-10T18:19:57"/>
    <d v="2026-03-10T23:49:57"/>
    <d v="2026-03-10T12:10:42"/>
    <d v="2026-03-10T23:49:57"/>
    <x v="0"/>
    <n v="308"/>
    <n v="699.25"/>
    <x v="0"/>
    <n v="12826941"/>
    <s v="John Decker, MD"/>
    <s v="Adirondack Medical Center"/>
    <s v="Clinic"/>
    <s v="veejay_b@yahoo.com"/>
    <x v="0"/>
    <s v="Trivandrum"/>
    <s v="Go"/>
    <n v="38.659999999999997"/>
    <n v="100"/>
    <x v="0"/>
    <n v="0"/>
    <m/>
    <x v="4"/>
    <m/>
    <m/>
    <n v="1440"/>
    <s v="No"/>
    <n v="367"/>
    <s v="Normal"/>
    <s v="Achieved"/>
    <n v="0"/>
    <m/>
    <m/>
    <m/>
    <m/>
    <d v="2026-03-10T00:00:00"/>
    <s v="Week11"/>
    <x v="1"/>
    <s v="Go"/>
    <n v="100"/>
    <n v="0"/>
    <n v="0"/>
    <s v="Aneesh"/>
    <s v="Aneesh"/>
    <s v="Aneesh"/>
    <s v=""/>
    <s v="12826941Vijay Babu"/>
    <s v=""/>
    <s v=""/>
    <s v="Trivandrum"/>
    <x v="0"/>
    <s v=""/>
    <n v="0"/>
    <s v="Vijay Babu"/>
    <x v="0"/>
    <s v="awaiting_upload"/>
    <b v="0"/>
  </r>
  <r>
    <d v="2026-03-06T14:56:18"/>
    <d v="2026-03-06T20:26:18"/>
    <d v="2026-03-10T18:24:05"/>
    <d v="2026-03-10T23:54:05"/>
    <d v="2026-03-10T12:10:51"/>
    <d v="2026-03-10T23:54:05"/>
    <x v="0"/>
    <n v="232"/>
    <n v="703.23329999999999"/>
    <x v="0"/>
    <n v="12826946"/>
    <s v="John Decker, MD"/>
    <s v="Adirondack Medical Center"/>
    <s v="Clinic"/>
    <s v="veejay_b@yahoo.com"/>
    <x v="0"/>
    <s v="Trivandrum"/>
    <s v="Go"/>
    <n v="29.15"/>
    <n v="100"/>
    <x v="1"/>
    <n v="2"/>
    <m/>
    <x v="4"/>
    <m/>
    <m/>
    <n v="1440"/>
    <s v="No"/>
    <n v="259"/>
    <s v="Normal"/>
    <s v="Achieved"/>
    <n v="0"/>
    <m/>
    <m/>
    <m/>
    <m/>
    <d v="2026-03-10T00:00:00"/>
    <s v="Week11"/>
    <x v="1"/>
    <s v="Go"/>
    <n v="100"/>
    <n v="0"/>
    <n v="0"/>
    <s v="Aneesh"/>
    <s v="Aneesh"/>
    <s v="Aneesh"/>
    <s v="Minor"/>
    <s v="12826946Vijay Babu"/>
    <s v="Minor"/>
    <n v="0"/>
    <s v="Trivandrum"/>
    <x v="0"/>
    <n v="1"/>
    <n v="2"/>
    <s v="Vijay Babu"/>
    <x v="0"/>
    <s v="awaiting_upload"/>
    <b v="0"/>
  </r>
  <r>
    <d v="2026-03-06T13:16:47"/>
    <d v="2026-03-06T18:46:47"/>
    <d v="2026-03-10T18:37:14"/>
    <d v="2026-03-11T00:07:14"/>
    <d v="2026-03-11T00:00:16"/>
    <d v="2026-03-11T00:07:14"/>
    <x v="0"/>
    <n v="413"/>
    <n v="6.9667000000000003"/>
    <x v="0"/>
    <n v="12826909"/>
    <s v="John Decker, MD"/>
    <s v="Adirondack Medical Center"/>
    <s v="Clinic"/>
    <s v="veejay_b@yahoo.com"/>
    <x v="0"/>
    <s v="Trivandrum"/>
    <s v="Go"/>
    <n v="3.51"/>
    <n v="100"/>
    <x v="0"/>
    <n v="0"/>
    <m/>
    <x v="4"/>
    <m/>
    <m/>
    <n v="1440"/>
    <s v="No"/>
    <n v="40"/>
    <s v="Normal"/>
    <s v="Achieved"/>
    <n v="0"/>
    <m/>
    <m/>
    <m/>
    <m/>
    <d v="2026-03-11T00:00:00"/>
    <s v="Week11"/>
    <x v="1"/>
    <s v="Go"/>
    <n v="100"/>
    <n v="0"/>
    <n v="0"/>
    <s v="Aneesh"/>
    <s v="Aneesh"/>
    <s v="Aneesh"/>
    <s v=""/>
    <s v="12826909Vijay Babu"/>
    <s v=""/>
    <s v=""/>
    <s v="Trivandrum"/>
    <x v="0"/>
    <s v=""/>
    <n v="0"/>
    <s v="Vijay Babu"/>
    <x v="0"/>
    <s v="awaiting_upload"/>
    <b v="0"/>
  </r>
  <r>
    <d v="2026-03-05T08:11:15"/>
    <d v="2026-03-05T13:41:15"/>
    <d v="2026-03-11T06:33:03"/>
    <d v="2026-03-11T12:03:03"/>
    <d v="2026-03-10T12:49:29"/>
    <d v="2026-03-11T12:03:03"/>
    <x v="0"/>
    <n v="121"/>
    <n v="1393.5667000000001"/>
    <x v="0"/>
    <n v="12826504"/>
    <s v="Brian Miller, MD"/>
    <s v="Hillsboro Area Hospital"/>
    <s v="Clinic"/>
    <s v="veejay_b@yahoo.com"/>
    <x v="0"/>
    <s v="Trivandrum"/>
    <s v="Go"/>
    <n v="11.66"/>
    <n v="100"/>
    <x v="0"/>
    <n v="0"/>
    <m/>
    <x v="5"/>
    <m/>
    <m/>
    <n v="1440"/>
    <s v="No"/>
    <n v="84"/>
    <s v="Normal"/>
    <s v="Achieved"/>
    <n v="0"/>
    <m/>
    <m/>
    <m/>
    <m/>
    <d v="2026-03-11T00:00:00"/>
    <s v="Week11"/>
    <x v="0"/>
    <s v="Go"/>
    <n v="100"/>
    <n v="0"/>
    <n v="0"/>
    <s v="Aneesh"/>
    <s v="Aneesh"/>
    <s v="Aneesh"/>
    <s v=""/>
    <s v="12826504Vijay Babu"/>
    <s v=""/>
    <s v=""/>
    <s v="Trivandrum"/>
    <x v="0"/>
    <s v=""/>
    <n v="0"/>
    <s v="Vijay Babu"/>
    <x v="0"/>
    <s v="awaiting_upload"/>
    <b v="0"/>
  </r>
  <r>
    <d v="2026-03-05T10:13:09"/>
    <d v="2026-03-05T15:43:09"/>
    <d v="2026-03-11T06:35:57"/>
    <d v="2026-03-11T12:05:57"/>
    <d v="2026-03-10T12:49:11"/>
    <d v="2026-03-11T12:05:57"/>
    <x v="0"/>
    <n v="164"/>
    <n v="1396.7666999999999"/>
    <x v="0"/>
    <n v="12826529"/>
    <s v="Eve Burns, MD"/>
    <s v="Adirondack Medical Center"/>
    <s v="Clinic"/>
    <s v="veejay_b@yahoo.com"/>
    <x v="0"/>
    <s v="Trivandrum"/>
    <s v="Go"/>
    <n v="24.29"/>
    <n v="100"/>
    <x v="1"/>
    <n v="1"/>
    <m/>
    <x v="1"/>
    <m/>
    <m/>
    <n v="360"/>
    <s v="No"/>
    <n v="95"/>
    <s v="Normal"/>
    <s v="Achieved"/>
    <n v="0"/>
    <m/>
    <m/>
    <m/>
    <m/>
    <d v="2026-03-11T00:00:00"/>
    <s v="Week11"/>
    <x v="1"/>
    <s v="Go"/>
    <n v="100"/>
    <n v="0"/>
    <n v="0"/>
    <s v="Aneesh"/>
    <s v="Aneesh"/>
    <s v="Aneesh"/>
    <s v="Minor"/>
    <s v="12826529Vijay Babu"/>
    <s v="Minor"/>
    <n v="0"/>
    <s v="Trivandrum"/>
    <x v="0"/>
    <n v="1"/>
    <n v="1"/>
    <s v="Vijay Babu"/>
    <x v="0"/>
    <s v="awaiting_upload"/>
    <b v="0"/>
  </r>
  <r>
    <d v="2026-03-05T13:53:59"/>
    <d v="2026-03-05T19:23:59"/>
    <d v="2026-03-11T07:18:21"/>
    <d v="2026-03-11T12:48:21"/>
    <d v="2026-03-10T12:10:32"/>
    <d v="2026-03-11T12:48:21"/>
    <x v="0"/>
    <n v="4933"/>
    <n v="1477.8167000000001"/>
    <x v="0"/>
    <n v="12826615"/>
    <s v="Mark Pushkash, Ph.D."/>
    <s v="Department Of Health Services - Wisconsin"/>
    <s v="Clinic"/>
    <s v="veejay_b@yahoo.com"/>
    <x v="0"/>
    <s v="Trivandrum"/>
    <s v="Go"/>
    <n v="147.6"/>
    <n v="99"/>
    <x v="3"/>
    <n v="1"/>
    <m/>
    <x v="6"/>
    <m/>
    <m/>
    <n v="1440"/>
    <s v="No"/>
    <n v="817"/>
    <s v="Normal"/>
    <s v="Achieved"/>
    <n v="1"/>
    <m/>
    <m/>
    <m/>
    <m/>
    <d v="2026-03-11T00:00:00"/>
    <s v="Week11"/>
    <x v="3"/>
    <s v="Go"/>
    <n v="99.322493224932245"/>
    <n v="1"/>
    <n v="1"/>
    <s v="Harsh"/>
    <s v="Aneesh"/>
    <s v="Ankit"/>
    <s v="Major"/>
    <s v="12826615Vijay Babu"/>
    <s v="Major"/>
    <n v="1"/>
    <s v="Trivandrum"/>
    <x v="1"/>
    <n v="1"/>
    <n v="1"/>
    <s v="Bihag Antani"/>
    <x v="1"/>
    <s v="awaiting_upload"/>
    <b v="1"/>
  </r>
  <r>
    <d v="2026-03-05T13:53:59"/>
    <d v="2026-03-05T19:23:59"/>
    <d v="2026-03-11T07:18:21"/>
    <d v="2026-03-11T12:48:21"/>
    <d v="2026-03-10T12:10:32"/>
    <d v="2026-03-11T12:48:21"/>
    <x v="0"/>
    <n v="4933"/>
    <n v="1477.8167000000001"/>
    <x v="0"/>
    <n v="12826615"/>
    <s v="Mark Pushkash, Ph.D."/>
    <s v="Department Of Health Services - Wisconsin"/>
    <s v="Clinic"/>
    <s v="veejay_b@yahoo.com"/>
    <x v="0"/>
    <s v="Trivandrum"/>
    <s v="Go"/>
    <n v="147.6"/>
    <n v="99"/>
    <x v="1"/>
    <n v="1"/>
    <m/>
    <x v="6"/>
    <m/>
    <m/>
    <n v="1440"/>
    <s v="No"/>
    <n v="817"/>
    <s v="Normal"/>
    <s v="Achieved"/>
    <n v="1"/>
    <m/>
    <m/>
    <m/>
    <m/>
    <d v="2026-03-11T00:00:00"/>
    <s v="Week11"/>
    <x v="3"/>
    <s v="Go"/>
    <n v="99.322493224932245"/>
    <n v="0"/>
    <n v="1"/>
    <s v="Harsh"/>
    <s v="Aneesh"/>
    <s v="Ankit"/>
    <s v="Minor"/>
    <s v="12826615Vijay Babu"/>
    <s v="Minor"/>
    <n v="0"/>
    <s v="Trivandrum"/>
    <x v="0"/>
    <n v="1"/>
    <n v="1"/>
    <s v="Bihag Antani"/>
    <x v="1"/>
    <s v="awaiting_upload"/>
    <b v="0"/>
  </r>
  <r>
    <d v="2026-03-08T13:05:25"/>
    <d v="2026-03-08T18:35:25"/>
    <d v="2026-03-11T07:32:26"/>
    <d v="2026-03-11T13:02:26"/>
    <d v="2026-03-11T00:07:46"/>
    <d v="2026-03-11T13:02:26"/>
    <x v="0"/>
    <n v="647"/>
    <n v="774.66669999999999"/>
    <x v="0"/>
    <n v="12827217"/>
    <s v="Adam Abodeely, MD"/>
    <s v="Adirondack Medical Center"/>
    <s v="Clinic"/>
    <s v="sandeepskn88@gmail.com"/>
    <x v="1"/>
    <s v="Trivandrum"/>
    <s v="Go"/>
    <n v="13.15"/>
    <n v="100"/>
    <x v="1"/>
    <n v="2"/>
    <m/>
    <x v="7"/>
    <m/>
    <m/>
    <n v="1440"/>
    <s v="No"/>
    <n v="1054"/>
    <s v="Normal"/>
    <s v="Achieved"/>
    <n v="0"/>
    <m/>
    <m/>
    <m/>
    <m/>
    <d v="2026-03-11T00:00:00"/>
    <s v="Week11"/>
    <x v="1"/>
    <s v="Go"/>
    <n v="100"/>
    <n v="0"/>
    <n v="0"/>
    <s v="Aneesh"/>
    <s v="Aneesh"/>
    <s v="Aneesh"/>
    <s v="Minor"/>
    <s v="12827217Sandeep S"/>
    <s v="Minor"/>
    <n v="0"/>
    <s v="Trivandrum"/>
    <x v="0"/>
    <n v="1"/>
    <n v="2"/>
    <s v="Sandeep S"/>
    <x v="0"/>
    <s v="awaiting_upload"/>
    <b v="0"/>
  </r>
  <r>
    <d v="2026-03-06T08:34:30"/>
    <d v="2026-03-06T14:04:30"/>
    <d v="2026-03-11T12:03:06"/>
    <d v="2026-03-11T17:33:06"/>
    <d v="2026-03-11T00:08:19"/>
    <d v="2026-03-11T17:33:06"/>
    <x v="0"/>
    <n v="331"/>
    <n v="1044.7833000000001"/>
    <x v="0"/>
    <n v="12826879"/>
    <s v="Jessica Moja, MD"/>
    <s v="Hillsboro Area Hospital"/>
    <s v="Clinic"/>
    <s v="veejay_b@yahoo.com"/>
    <x v="0"/>
    <s v="Trivandrum"/>
    <s v="Go"/>
    <n v="17.57"/>
    <n v="100"/>
    <x v="0"/>
    <n v="0"/>
    <m/>
    <x v="8"/>
    <m/>
    <m/>
    <n v="1440"/>
    <s v="No"/>
    <n v="132"/>
    <s v="Normal"/>
    <s v="Achieved"/>
    <n v="0"/>
    <m/>
    <m/>
    <m/>
    <m/>
    <d v="2026-03-11T00:00:00"/>
    <s v="Week11"/>
    <x v="0"/>
    <s v="Go"/>
    <n v="100"/>
    <n v="0"/>
    <n v="0"/>
    <s v="Aneesh"/>
    <s v="Aneesh"/>
    <s v="Aneesh"/>
    <s v=""/>
    <s v="12826879Vijay Babu"/>
    <s v=""/>
    <s v=""/>
    <s v="Trivandrum"/>
    <x v="0"/>
    <s v=""/>
    <n v="0"/>
    <s v="Vijay Babu"/>
    <x v="0"/>
    <s v="awaiting_upload"/>
    <b v="0"/>
  </r>
  <r>
    <d v="2026-03-09T12:06:56"/>
    <d v="2026-03-09T17:36:56"/>
    <d v="2026-03-11T12:14:37"/>
    <d v="2026-03-11T17:44:37"/>
    <d v="2026-03-11T00:08:50"/>
    <d v="2026-03-11T17:44:37"/>
    <x v="0"/>
    <n v="679"/>
    <n v="1055.7833000000001"/>
    <x v="0"/>
    <n v="12827341"/>
    <s v="Mark P Goldman, PhD"/>
    <s v="Peterson Regional Medical Center"/>
    <s v="Clinic"/>
    <s v="veejay_b@yahoo.com"/>
    <x v="0"/>
    <s v="Trivandrum"/>
    <s v="Go"/>
    <n v="81.08"/>
    <n v="99"/>
    <x v="4"/>
    <n v="1"/>
    <m/>
    <x v="9"/>
    <m/>
    <m/>
    <n v="720"/>
    <s v="No"/>
    <n v="480"/>
    <s v="Normal"/>
    <s v="Achieved"/>
    <n v="2"/>
    <m/>
    <m/>
    <m/>
    <m/>
    <d v="2026-03-11T00:00:00"/>
    <s v="Week11"/>
    <x v="4"/>
    <s v="Go"/>
    <n v="98.766650222002966"/>
    <n v="1"/>
    <n v="1"/>
    <s v="Aneesh"/>
    <s v="Aneesh"/>
    <s v="Aneesh"/>
    <s v="Major"/>
    <s v="12827341Vijay Babu"/>
    <s v="Major"/>
    <n v="1"/>
    <s v="Trivandrum"/>
    <x v="0"/>
    <n v="1"/>
    <n v="1"/>
    <s v="Vijay Babu"/>
    <x v="0"/>
    <s v="awaiting_upload"/>
    <b v="0"/>
  </r>
  <r>
    <d v="2026-03-07T12:18:34"/>
    <d v="2026-03-07T17:48:34"/>
    <d v="2026-03-11T12:26:28"/>
    <d v="2026-03-11T17:56:28"/>
    <d v="2026-03-11T00:08:31"/>
    <d v="2026-03-11T17:56:28"/>
    <x v="0"/>
    <n v="114"/>
    <n v="1067.95"/>
    <x v="0"/>
    <n v="12827152"/>
    <s v="Adam Abodeely, MD"/>
    <s v="Adirondack Medical Center"/>
    <s v="Clinic"/>
    <s v="veejay_b@yahoo.com"/>
    <x v="0"/>
    <s v="Trivandrum"/>
    <s v="Go"/>
    <n v="18.260000000000002"/>
    <n v="100"/>
    <x v="0"/>
    <n v="0"/>
    <m/>
    <x v="10"/>
    <m/>
    <m/>
    <n v="360"/>
    <s v="No"/>
    <n v="75"/>
    <s v="Normal"/>
    <s v="Achieved"/>
    <n v="0"/>
    <m/>
    <m/>
    <m/>
    <m/>
    <d v="2026-03-11T00:00:00"/>
    <s v="Week11"/>
    <x v="1"/>
    <s v="Go"/>
    <n v="100"/>
    <n v="0"/>
    <n v="0"/>
    <s v="Aneesh"/>
    <s v="Aneesh"/>
    <s v="Aneesh"/>
    <s v=""/>
    <s v="12827152Vijay Babu"/>
    <s v=""/>
    <s v=""/>
    <s v="Trivandrum"/>
    <x v="0"/>
    <s v=""/>
    <n v="0"/>
    <s v="Vijay Babu"/>
    <x v="0"/>
    <s v="awaiting_upload"/>
    <b v="0"/>
  </r>
  <r>
    <d v="2026-03-09T16:37:58"/>
    <d v="2026-03-09T22:07:58"/>
    <d v="2026-03-11T12:37:31"/>
    <d v="2026-03-11T18:07:31"/>
    <d v="2026-03-11T00:08:43"/>
    <d v="2026-03-11T18:07:31"/>
    <x v="0"/>
    <n v="947"/>
    <n v="1078.8"/>
    <x v="0"/>
    <n v="12827412"/>
    <s v="John Chip Davis, MD"/>
    <s v="Sterling Surgical Hospital"/>
    <s v="Clinic"/>
    <s v="ushaaaam40@gmail.com"/>
    <x v="2"/>
    <s v="Trivandrum"/>
    <s v="No Go"/>
    <n v="92.83"/>
    <n v="98"/>
    <x v="2"/>
    <n v="1"/>
    <m/>
    <x v="11"/>
    <m/>
    <m/>
    <n v="360"/>
    <s v="No"/>
    <n v="556"/>
    <s v="Normal"/>
    <s v="Achieved"/>
    <n v="0"/>
    <m/>
    <m/>
    <m/>
    <m/>
    <d v="2026-03-11T00:00:00"/>
    <s v="Week11"/>
    <x v="5"/>
    <s v="NoGo"/>
    <n v="97.845524076268447"/>
    <n v="1"/>
    <n v="2"/>
    <s v="Ankit"/>
    <s v="Aneesh"/>
    <s v="Aneesh"/>
    <s v="Major"/>
    <s v="12827412Usha M"/>
    <s v="Major"/>
    <n v="1"/>
    <s v="Trivandrum"/>
    <x v="1"/>
    <n v="1"/>
    <n v="1"/>
    <s v="Usha M"/>
    <x v="0"/>
    <s v="awaiting_upload"/>
    <b v="1"/>
  </r>
  <r>
    <d v="2026-03-09T16:37:58"/>
    <d v="2026-03-09T22:07:58"/>
    <d v="2026-03-11T12:37:31"/>
    <d v="2026-03-11T18:07:31"/>
    <d v="2026-03-11T00:08:43"/>
    <d v="2026-03-11T18:07:31"/>
    <x v="0"/>
    <n v="947"/>
    <n v="1078.8"/>
    <x v="0"/>
    <n v="12827412"/>
    <s v="John Chip Davis, MD"/>
    <s v="Sterling Surgical Hospital"/>
    <s v="Clinic"/>
    <s v="ushaaaam40@gmail.com"/>
    <x v="2"/>
    <s v="Trivandrum"/>
    <s v="No Go"/>
    <n v="92.83"/>
    <n v="98"/>
    <x v="5"/>
    <n v="1"/>
    <m/>
    <x v="11"/>
    <m/>
    <m/>
    <n v="360"/>
    <s v="No"/>
    <n v="556"/>
    <s v="Normal"/>
    <s v="Achieved"/>
    <n v="0"/>
    <m/>
    <m/>
    <m/>
    <m/>
    <d v="2026-03-11T00:00:00"/>
    <s v="Week11"/>
    <x v="5"/>
    <s v="NoGo"/>
    <n v="97.845524076268447"/>
    <n v="1"/>
    <n v="2"/>
    <s v="Ankit"/>
    <s v="Aneesh"/>
    <s v="Aneesh"/>
    <s v="Major"/>
    <s v="12827412Usha M"/>
    <s v="Major"/>
    <n v="1"/>
    <s v="Trivandrum"/>
    <x v="1"/>
    <n v="1"/>
    <n v="1"/>
    <s v="Usha M"/>
    <x v="0"/>
    <s v="awaiting_upload"/>
    <b v="1"/>
  </r>
  <r>
    <d v="2026-03-09T16:37:58"/>
    <d v="2026-03-09T22:07:58"/>
    <d v="2026-03-11T12:37:31"/>
    <d v="2026-03-11T18:07:31"/>
    <d v="2026-03-11T00:08:43"/>
    <d v="2026-03-11T18:07:31"/>
    <x v="0"/>
    <n v="947"/>
    <n v="1078.8"/>
    <x v="0"/>
    <n v="12827412"/>
    <s v="John Chip Davis, MD"/>
    <s v="Sterling Surgical Hospital"/>
    <s v="Clinic"/>
    <s v="ushaaaam40@gmail.com"/>
    <x v="2"/>
    <s v="Trivandrum"/>
    <s v="No Go"/>
    <n v="92.83"/>
    <n v="98"/>
    <x v="1"/>
    <n v="2"/>
    <m/>
    <x v="11"/>
    <m/>
    <m/>
    <n v="360"/>
    <s v="No"/>
    <n v="556"/>
    <s v="Normal"/>
    <s v="Achieved"/>
    <n v="0"/>
    <m/>
    <m/>
    <m/>
    <m/>
    <d v="2026-03-11T00:00:00"/>
    <s v="Week11"/>
    <x v="5"/>
    <s v="NoGo"/>
    <n v="97.845524076268447"/>
    <n v="0"/>
    <n v="2"/>
    <s v="Ankit"/>
    <s v="Aneesh"/>
    <s v="Aneesh"/>
    <s v="Minor"/>
    <s v="12827412Usha M"/>
    <s v="Minor"/>
    <n v="0"/>
    <s v="Trivandrum"/>
    <x v="0"/>
    <n v="1"/>
    <n v="2"/>
    <s v="Usha M"/>
    <x v="0"/>
    <s v="awaiting_upload"/>
    <b v="0"/>
  </r>
  <r>
    <d v="2026-03-03T06:42:51"/>
    <d v="2026-03-03T12:12:51"/>
    <d v="2026-03-11T12:49:47"/>
    <d v="2026-03-11T18:19:47"/>
    <d v="2026-03-11T00:08:01"/>
    <d v="2026-03-11T18:19:47"/>
    <x v="0"/>
    <n v="2949"/>
    <n v="1091.7666999999999"/>
    <x v="0"/>
    <n v="12825697"/>
    <s v="Ryan J Veurink, MD"/>
    <s v="Peterson Regional Medical Center"/>
    <s v="Clinic"/>
    <s v="ushaaaam40@gmail.com"/>
    <x v="2"/>
    <s v="Trivandrum"/>
    <s v="Go"/>
    <n v="71.63"/>
    <n v="100"/>
    <x v="1"/>
    <n v="3"/>
    <m/>
    <x v="11"/>
    <m/>
    <m/>
    <n v="120"/>
    <s v="No"/>
    <n v="417"/>
    <s v="SSTAT"/>
    <s v="Missed"/>
    <n v="0"/>
    <m/>
    <m/>
    <m/>
    <m/>
    <d v="2026-03-11T00:00:00"/>
    <s v="Week11"/>
    <x v="4"/>
    <s v="Go"/>
    <n v="100"/>
    <n v="0"/>
    <n v="0"/>
    <s v="Aneesh"/>
    <s v="Aneesh"/>
    <s v="Aneesh"/>
    <s v="Minor"/>
    <s v="12825697Usha M"/>
    <s v="Minor"/>
    <n v="0"/>
    <s v="Trivandrum"/>
    <x v="0"/>
    <n v="1"/>
    <n v="3"/>
    <s v="Usha M"/>
    <x v="0"/>
    <s v="awaiting_upload"/>
    <b v="0"/>
  </r>
  <r>
    <d v="2026-03-08T15:08:45"/>
    <d v="2026-03-08T20:38:45"/>
    <d v="2026-03-11T12:54:30"/>
    <d v="2026-03-11T18:24:30"/>
    <d v="2026-03-11T00:09:26"/>
    <d v="2026-03-11T18:24:30"/>
    <x v="0"/>
    <n v="261"/>
    <n v="1095.0667000000001"/>
    <x v="0"/>
    <n v="12827219"/>
    <s v="Emmett R Mackan, MD"/>
    <s v="Peterson Regional Medical Center"/>
    <s v="Clinic"/>
    <s v="ushaaaam40@gmail.com"/>
    <x v="2"/>
    <s v="Trivandrum"/>
    <s v="Go"/>
    <n v="17.57"/>
    <n v="100"/>
    <x v="0"/>
    <n v="0"/>
    <m/>
    <x v="9"/>
    <m/>
    <m/>
    <n v="120"/>
    <s v="No"/>
    <n v="388"/>
    <s v="SSTAT"/>
    <s v="Missed"/>
    <n v="0"/>
    <m/>
    <m/>
    <m/>
    <m/>
    <d v="2026-03-11T00:00:00"/>
    <s v="Week11"/>
    <x v="4"/>
    <s v="Go"/>
    <n v="100"/>
    <n v="0"/>
    <n v="0"/>
    <s v="Aneesh"/>
    <s v="Aneesh"/>
    <s v="Aneesh"/>
    <s v=""/>
    <s v="12827219Usha M"/>
    <s v=""/>
    <s v=""/>
    <s v="Trivandrum"/>
    <x v="0"/>
    <s v=""/>
    <n v="0"/>
    <s v="Usha M"/>
    <x v="0"/>
    <s v="awaiting_upload"/>
    <b v="0"/>
  </r>
  <r>
    <d v="2026-03-08T15:17:51"/>
    <d v="2026-03-08T20:47:51"/>
    <d v="2026-03-11T13:02:50"/>
    <d v="2026-03-11T18:32:50"/>
    <d v="2026-03-11T00:09:37"/>
    <d v="2026-03-11T18:32:50"/>
    <x v="0"/>
    <n v="472"/>
    <n v="1103.2166999999999"/>
    <x v="0"/>
    <n v="12827221"/>
    <s v="Emmett R Mackan, MD"/>
    <s v="Peterson Regional Medical Center"/>
    <s v="Clinic"/>
    <s v="ushaaaam40@gmail.com"/>
    <x v="2"/>
    <s v="Trivandrum"/>
    <s v="Go"/>
    <n v="11.94"/>
    <n v="100"/>
    <x v="0"/>
    <n v="0"/>
    <m/>
    <x v="12"/>
    <m/>
    <m/>
    <n v="120"/>
    <s v="No"/>
    <n v="323"/>
    <s v="SSTAT"/>
    <s v="Missed"/>
    <n v="0"/>
    <m/>
    <m/>
    <m/>
    <m/>
    <d v="2026-03-11T00:00:00"/>
    <s v="Week11"/>
    <x v="4"/>
    <s v="Go"/>
    <n v="100"/>
    <n v="0"/>
    <n v="0"/>
    <s v="Aneesh"/>
    <s v="Aneesh"/>
    <s v="Aneesh"/>
    <s v=""/>
    <s v="12827221Usha M"/>
    <s v=""/>
    <s v=""/>
    <s v="Trivandrum"/>
    <x v="0"/>
    <s v=""/>
    <n v="0"/>
    <s v="Usha M"/>
    <x v="0"/>
    <s v="awaiting_upload"/>
    <b v="0"/>
  </r>
  <r>
    <d v="2026-03-08T15:23:56"/>
    <d v="2026-03-08T20:53:56"/>
    <d v="2026-03-11T13:07:49"/>
    <d v="2026-03-11T18:37:49"/>
    <d v="2026-03-11T00:09:32"/>
    <d v="2026-03-11T18:37:49"/>
    <x v="0"/>
    <n v="271"/>
    <n v="1108.2833000000001"/>
    <x v="0"/>
    <n v="12827222"/>
    <s v="Emmett R Mackan, MD"/>
    <s v="Peterson Regional Medical Center"/>
    <s v="Clinic"/>
    <s v="sandeepskn88@gmail.com"/>
    <x v="1"/>
    <s v="Trivandrum"/>
    <s v="Go"/>
    <n v="10.94"/>
    <n v="100"/>
    <x v="0"/>
    <n v="0"/>
    <m/>
    <x v="12"/>
    <m/>
    <m/>
    <n v="120"/>
    <s v="No"/>
    <n v="262"/>
    <s v="SSTAT"/>
    <s v="Missed"/>
    <n v="0"/>
    <m/>
    <m/>
    <m/>
    <m/>
    <d v="2026-03-11T00:00:00"/>
    <s v="Week11"/>
    <x v="4"/>
    <s v="Go"/>
    <n v="100"/>
    <n v="0"/>
    <n v="0"/>
    <s v="Aneesh"/>
    <s v="Aneesh"/>
    <s v="Aneesh"/>
    <s v=""/>
    <s v="12827222Sandeep S"/>
    <s v=""/>
    <s v=""/>
    <s v="Trivandrum"/>
    <x v="0"/>
    <s v=""/>
    <n v="0"/>
    <s v="Sandeep S"/>
    <x v="0"/>
    <s v="awaiting_upload"/>
    <b v="0"/>
  </r>
  <r>
    <d v="2026-03-09T17:59:40"/>
    <d v="2026-03-09T23:29:40"/>
    <d v="2026-03-11T13:16:11"/>
    <d v="2026-03-11T18:46:11"/>
    <d v="2026-03-11T00:10:20"/>
    <d v="2026-03-11T18:46:11"/>
    <x v="0"/>
    <n v="461"/>
    <n v="1115.8499999999999"/>
    <x v="0"/>
    <n v="12827439"/>
    <s v="Blake Little, MD"/>
    <s v="Hillsboro Area Hospital"/>
    <s v="Clinic"/>
    <s v="sandeepskn88@gmail.com"/>
    <x v="1"/>
    <s v="Trivandrum"/>
    <s v="Go"/>
    <n v="19.170000000000002"/>
    <n v="100"/>
    <x v="0"/>
    <n v="0"/>
    <m/>
    <x v="13"/>
    <m/>
    <m/>
    <n v="1440"/>
    <s v="No"/>
    <n v="128"/>
    <s v="Normal"/>
    <s v="Achieved"/>
    <n v="0"/>
    <m/>
    <m/>
    <m/>
    <m/>
    <d v="2026-03-11T00:00:00"/>
    <s v="Week11"/>
    <x v="0"/>
    <s v="Go"/>
    <n v="100"/>
    <n v="0"/>
    <n v="0"/>
    <s v="Aneesh"/>
    <s v="Aneesh"/>
    <s v="Aneesh"/>
    <s v=""/>
    <s v="12827439Sandeep S"/>
    <s v=""/>
    <s v=""/>
    <s v="Trivandrum"/>
    <x v="0"/>
    <s v=""/>
    <n v="0"/>
    <s v="Sandeep S"/>
    <x v="0"/>
    <s v="awaiting_upload"/>
    <b v="0"/>
  </r>
  <r>
    <d v="2026-03-11T13:05:22"/>
    <d v="2026-03-11T18:35:22"/>
    <d v="2026-03-12T06:37:33"/>
    <d v="2026-03-12T12:07:33"/>
    <d v="2026-03-12T09:55:01"/>
    <d v="2026-03-12T12:07:33"/>
    <x v="0"/>
    <n v="632"/>
    <n v="132.5333"/>
    <x v="0"/>
    <n v="12828088"/>
    <s v="John Decker, MD"/>
    <s v="Adirondack Medical Center"/>
    <s v="Clinic"/>
    <s v="veejay_b@yahoo.com"/>
    <x v="0"/>
    <s v="Trivandrum"/>
    <s v="Go"/>
    <n v="42.2"/>
    <n v="99"/>
    <x v="3"/>
    <n v="1"/>
    <m/>
    <x v="4"/>
    <m/>
    <m/>
    <n v="1440"/>
    <s v="No"/>
    <n v="610"/>
    <s v="Normal"/>
    <s v="Achieved"/>
    <n v="0"/>
    <m/>
    <m/>
    <m/>
    <m/>
    <d v="2026-03-12T00:00:00"/>
    <s v="Week11"/>
    <x v="1"/>
    <s v="NoGo"/>
    <n v="97.630331753554501"/>
    <n v="1"/>
    <n v="1"/>
    <s v="Aneesh"/>
    <s v="Aneesh"/>
    <s v="Aneesh"/>
    <s v="Major"/>
    <s v="12828088Vijay Babu"/>
    <s v="Major"/>
    <n v="1"/>
    <s v="Trivandrum"/>
    <x v="0"/>
    <n v="1"/>
    <n v="1"/>
    <s v="Vijay Babu"/>
    <x v="0"/>
    <s v="awaiting_upload"/>
    <b v="0"/>
  </r>
  <r>
    <d v="2026-03-11T09:59:43"/>
    <d v="2026-03-11T15:29:43"/>
    <d v="2026-03-12T07:37:08"/>
    <d v="2026-03-12T13:07:08"/>
    <d v="2026-03-12T09:55:18"/>
    <d v="2026-03-12T13:07:08"/>
    <x v="0"/>
    <n v="1426"/>
    <n v="191.83330000000001"/>
    <x v="0"/>
    <n v="12828013"/>
    <s v="Jeffrey Dodge, DO"/>
    <s v="Adirondack Medical Center"/>
    <s v="Clinic"/>
    <s v="veejay_b@yahoo.com"/>
    <x v="0"/>
    <s v="Trivandrum"/>
    <s v="Go"/>
    <n v="87.82"/>
    <n v="99"/>
    <x v="2"/>
    <n v="1"/>
    <m/>
    <x v="1"/>
    <m/>
    <m/>
    <n v="360"/>
    <s v="No"/>
    <n v="432"/>
    <s v="Normal"/>
    <s v="Achieved"/>
    <n v="0"/>
    <m/>
    <m/>
    <m/>
    <m/>
    <d v="2026-03-12T00:00:00"/>
    <s v="Week11"/>
    <x v="1"/>
    <s v="Go"/>
    <n v="98.861307219312224"/>
    <n v="1"/>
    <n v="1"/>
    <s v="Aneesh"/>
    <s v="Aneesh"/>
    <s v="Aneesh"/>
    <s v="Major"/>
    <s v="12828013Vijay Babu"/>
    <s v="Major"/>
    <n v="1"/>
    <s v="Trivandrum"/>
    <x v="1"/>
    <n v="1"/>
    <n v="1"/>
    <s v="Vijay Babu"/>
    <x v="0"/>
    <s v="awaiting_upload"/>
    <b v="1"/>
  </r>
  <r>
    <d v="2026-03-11T09:59:43"/>
    <d v="2026-03-11T15:29:43"/>
    <d v="2026-03-12T07:37:08"/>
    <d v="2026-03-12T13:07:08"/>
    <d v="2026-03-12T09:55:18"/>
    <d v="2026-03-12T13:07:08"/>
    <x v="0"/>
    <n v="1426"/>
    <n v="191.83330000000001"/>
    <x v="0"/>
    <n v="12828013"/>
    <s v="Jeffrey Dodge, DO"/>
    <s v="Adirondack Medical Center"/>
    <s v="Clinic"/>
    <s v="veejay_b@yahoo.com"/>
    <x v="0"/>
    <s v="Trivandrum"/>
    <s v="Go"/>
    <n v="87.82"/>
    <n v="99"/>
    <x v="1"/>
    <n v="5"/>
    <m/>
    <x v="1"/>
    <m/>
    <m/>
    <n v="360"/>
    <s v="No"/>
    <n v="432"/>
    <s v="Normal"/>
    <s v="Achieved"/>
    <n v="0"/>
    <m/>
    <m/>
    <m/>
    <m/>
    <d v="2026-03-12T00:00:00"/>
    <s v="Week11"/>
    <x v="1"/>
    <s v="Go"/>
    <n v="98.861307219312224"/>
    <n v="0"/>
    <n v="1"/>
    <s v="Aneesh"/>
    <s v="Aneesh"/>
    <s v="Aneesh"/>
    <s v="Minor"/>
    <s v="12828013Vijay Babu"/>
    <s v="Minor"/>
    <n v="0"/>
    <s v="Trivandrum"/>
    <x v="0"/>
    <n v="1"/>
    <n v="5"/>
    <s v="Vijay Babu"/>
    <x v="0"/>
    <s v="awaiting_upload"/>
    <b v="0"/>
  </r>
  <r>
    <d v="2026-03-11T13:23:38"/>
    <d v="2026-03-11T18:53:38"/>
    <d v="2026-03-12T07:54:19"/>
    <d v="2026-03-12T13:24:19"/>
    <d v="2026-03-12T09:55:27"/>
    <d v="2026-03-12T13:24:19"/>
    <x v="0"/>
    <n v="705"/>
    <n v="208.86670000000001"/>
    <x v="0"/>
    <n v="12828093"/>
    <s v="Jeffrey Dodge, DO"/>
    <s v="Adirondack Medical Center"/>
    <s v="Clinic"/>
    <s v="veejay_b@yahoo.com"/>
    <x v="0"/>
    <s v="Trivandrum"/>
    <s v="Go"/>
    <n v="76.66"/>
    <n v="100"/>
    <x v="1"/>
    <n v="1"/>
    <m/>
    <x v="1"/>
    <m/>
    <m/>
    <n v="360"/>
    <s v="No"/>
    <n v="367"/>
    <s v="Normal"/>
    <s v="Achieved"/>
    <n v="0"/>
    <m/>
    <m/>
    <m/>
    <m/>
    <d v="2026-03-12T00:00:00"/>
    <s v="Week11"/>
    <x v="1"/>
    <s v="Go"/>
    <n v="100"/>
    <n v="0"/>
    <n v="0"/>
    <s v="Aneesh"/>
    <s v="Aneesh"/>
    <s v="Aneesh"/>
    <s v="Minor"/>
    <s v="12828093Vijay Babu"/>
    <s v="Minor"/>
    <n v="0"/>
    <s v="Trivandrum"/>
    <x v="0"/>
    <n v="1"/>
    <n v="1"/>
    <s v="Vijay Babu"/>
    <x v="0"/>
    <s v="awaiting_upload"/>
    <b v="0"/>
  </r>
  <r>
    <d v="2026-03-10T12:06:02"/>
    <d v="2026-03-10T17:36:02"/>
    <d v="2026-03-12T08:16:13"/>
    <d v="2026-03-12T13:46:13"/>
    <d v="2026-03-12T09:55:10"/>
    <d v="2026-03-12T13:46:13"/>
    <x v="0"/>
    <n v="1273"/>
    <n v="231.05"/>
    <x v="0"/>
    <n v="12827668"/>
    <s v="William Smith, MD"/>
    <s v="Adirondack Medical Center"/>
    <s v="Clinic"/>
    <s v="veejay_b@yahoo.com"/>
    <x v="0"/>
    <s v="Trivandrum"/>
    <s v="No Go"/>
    <n v="118.14"/>
    <n v="98"/>
    <x v="2"/>
    <n v="2"/>
    <m/>
    <x v="1"/>
    <m/>
    <m/>
    <n v="360"/>
    <s v="No"/>
    <n v="603"/>
    <s v="Normal"/>
    <s v="Achieved"/>
    <n v="0"/>
    <m/>
    <m/>
    <m/>
    <m/>
    <d v="2026-03-12T00:00:00"/>
    <s v="Week11"/>
    <x v="1"/>
    <s v="NoGo"/>
    <n v="98.307093279160313"/>
    <n v="2"/>
    <n v="2"/>
    <s v="Aneesh"/>
    <s v="Aneesh"/>
    <s v="Aneesh"/>
    <s v="Major"/>
    <s v="12827668Vijay Babu"/>
    <s v="Major"/>
    <n v="1"/>
    <s v="Trivandrum"/>
    <x v="1"/>
    <n v="1"/>
    <n v="2"/>
    <s v="Vijay Babu"/>
    <x v="0"/>
    <s v="awaiting_upload"/>
    <b v="1"/>
  </r>
  <r>
    <d v="2026-03-10T12:06:02"/>
    <d v="2026-03-10T17:36:02"/>
    <d v="2026-03-12T08:16:13"/>
    <d v="2026-03-12T13:46:13"/>
    <d v="2026-03-12T09:55:10"/>
    <d v="2026-03-12T13:46:13"/>
    <x v="0"/>
    <n v="1273"/>
    <n v="231.05"/>
    <x v="0"/>
    <n v="12827668"/>
    <s v="William Smith, MD"/>
    <s v="Adirondack Medical Center"/>
    <s v="Clinic"/>
    <s v="veejay_b@yahoo.com"/>
    <x v="0"/>
    <s v="Trivandrum"/>
    <s v="No Go"/>
    <n v="118.14"/>
    <n v="98"/>
    <x v="1"/>
    <n v="4"/>
    <m/>
    <x v="1"/>
    <m/>
    <m/>
    <n v="360"/>
    <s v="No"/>
    <n v="603"/>
    <s v="Normal"/>
    <s v="Achieved"/>
    <n v="0"/>
    <m/>
    <m/>
    <m/>
    <m/>
    <d v="2026-03-12T00:00:00"/>
    <s v="Week11"/>
    <x v="1"/>
    <s v="NoGo"/>
    <n v="98.307093279160313"/>
    <n v="0"/>
    <n v="2"/>
    <s v="Aneesh"/>
    <s v="Aneesh"/>
    <s v="Aneesh"/>
    <s v="Minor"/>
    <s v="12827668Vijay Babu"/>
    <s v="Minor"/>
    <n v="0"/>
    <s v="Trivandrum"/>
    <x v="0"/>
    <n v="1"/>
    <n v="4"/>
    <s v="Vijay Babu"/>
    <x v="0"/>
    <s v="awaiting_upload"/>
    <b v="0"/>
  </r>
  <r>
    <d v="2026-03-08T09:58:47"/>
    <d v="2026-03-08T15:28:47"/>
    <d v="2026-03-12T17:03:58"/>
    <d v="2026-03-12T22:33:58"/>
    <d v="2026-03-11T00:09:50"/>
    <d v="2026-03-12T22:33:58"/>
    <x v="0"/>
    <n v="4023"/>
    <n v="2784.1333"/>
    <x v="0"/>
    <n v="12827215"/>
    <s v="Austin Christensen, MD"/>
    <s v="Harmon Medical And Rehabilitation Hospital"/>
    <s v="Clinic"/>
    <s v="sandeepskn88@gmail.com"/>
    <x v="1"/>
    <s v="Trivandrum"/>
    <s v="Go"/>
    <n v="61.45"/>
    <n v="100"/>
    <x v="1"/>
    <n v="1"/>
    <m/>
    <x v="2"/>
    <m/>
    <m/>
    <n v="1440"/>
    <s v="No"/>
    <n v="192"/>
    <s v="Normal"/>
    <s v="Missed"/>
    <n v="0"/>
    <m/>
    <m/>
    <m/>
    <m/>
    <d v="2026-03-12T00:00:00"/>
    <s v="Week11"/>
    <x v="2"/>
    <s v="Go"/>
    <n v="100"/>
    <n v="0"/>
    <n v="0"/>
    <s v="Aneesh"/>
    <s v="Aneesh"/>
    <s v="Aneesh"/>
    <s v="Minor"/>
    <s v="12827215Sandeep S"/>
    <s v="Minor"/>
    <n v="0"/>
    <s v="Trivandrum"/>
    <x v="0"/>
    <n v="1"/>
    <n v="1"/>
    <s v="Sandeep S"/>
    <x v="0"/>
    <s v="awaiting_upload"/>
    <b v="0"/>
  </r>
  <r>
    <d v="2026-03-09T11:23:55"/>
    <d v="2026-03-09T16:53:55"/>
    <d v="2026-03-12T17:10:26"/>
    <d v="2026-03-12T22:40:26"/>
    <d v="2026-03-11T00:10:01"/>
    <d v="2026-03-12T22:40:26"/>
    <x v="0"/>
    <n v="346"/>
    <n v="2790.4167000000002"/>
    <x v="0"/>
    <n v="12827329"/>
    <s v="Joel Wietfeldt, MD"/>
    <s v="Hillsboro Area Hospital"/>
    <s v="Clinic"/>
    <s v="ushaaaam40@gmail.com"/>
    <x v="2"/>
    <s v="Trivandrum"/>
    <s v="No Go"/>
    <n v="43.49"/>
    <n v="98"/>
    <x v="2"/>
    <n v="2"/>
    <m/>
    <x v="0"/>
    <m/>
    <m/>
    <n v="120"/>
    <s v="No"/>
    <n v="218"/>
    <s v="Normal"/>
    <s v="Achieved"/>
    <n v="0"/>
    <m/>
    <m/>
    <m/>
    <m/>
    <d v="2026-03-12T00:00:00"/>
    <s v="Week11"/>
    <x v="0"/>
    <s v="NoGo"/>
    <n v="95.401241664750515"/>
    <n v="2"/>
    <n v="2"/>
    <s v="Aneesh"/>
    <s v="Aneesh"/>
    <s v="Aneesh"/>
    <s v="Major"/>
    <s v="12827329Usha M"/>
    <s v="Major"/>
    <n v="1"/>
    <s v="Trivandrum"/>
    <x v="0"/>
    <n v="1"/>
    <n v="2"/>
    <s v="Usha M"/>
    <x v="0"/>
    <s v="awaiting_upload"/>
    <b v="0"/>
  </r>
  <r>
    <d v="2026-03-09T13:35:58"/>
    <d v="2026-03-09T19:05:58"/>
    <d v="2026-03-12T17:13:18"/>
    <d v="2026-03-12T22:43:18"/>
    <d v="2026-03-11T00:10:09"/>
    <d v="2026-03-12T22:43:18"/>
    <x v="0"/>
    <n v="155"/>
    <n v="2793.15"/>
    <x v="0"/>
    <n v="12827359"/>
    <s v="Adam Abodeely, MD"/>
    <s v="Adirondack Medical Center"/>
    <s v="Clinic"/>
    <s v="veejay_b@yahoo.com"/>
    <x v="0"/>
    <s v="Trivandrum"/>
    <s v="Go"/>
    <n v="27.45"/>
    <n v="100"/>
    <x v="0"/>
    <n v="0"/>
    <m/>
    <x v="1"/>
    <m/>
    <m/>
    <n v="360"/>
    <s v="No"/>
    <n v="105"/>
    <s v="Normal"/>
    <s v="Achieved"/>
    <n v="0"/>
    <m/>
    <m/>
    <m/>
    <m/>
    <d v="2026-03-12T00:00:00"/>
    <s v="Week11"/>
    <x v="1"/>
    <s v="Go"/>
    <n v="100"/>
    <n v="0"/>
    <n v="0"/>
    <s v="Aneesh"/>
    <s v="Aneesh"/>
    <s v="Aneesh"/>
    <s v=""/>
    <s v="12827359Vijay Babu"/>
    <s v=""/>
    <s v=""/>
    <s v="Trivandrum"/>
    <x v="0"/>
    <s v=""/>
    <n v="0"/>
    <s v="Vijay Babu"/>
    <x v="0"/>
    <s v="awaiting_upload"/>
    <b v="0"/>
  </r>
  <r>
    <d v="2026-03-09T13:06:28"/>
    <d v="2026-03-09T18:36:28"/>
    <d v="2026-03-12T17:21:11"/>
    <d v="2026-03-12T22:51:11"/>
    <d v="2026-03-12T09:54:12"/>
    <d v="2026-03-12T22:51:11"/>
    <x v="0"/>
    <n v="190"/>
    <n v="776.98329999999999"/>
    <x v="0"/>
    <n v="12827338"/>
    <s v="Christopher Sanchez, MD"/>
    <s v="Sterling Surgical Hospital"/>
    <s v="Clinic"/>
    <s v="ushaaaam40@gmail.com"/>
    <x v="2"/>
    <s v="Trivandrum"/>
    <s v="Go"/>
    <n v="38.049999999999997"/>
    <n v="100"/>
    <x v="0"/>
    <n v="0"/>
    <m/>
    <x v="11"/>
    <m/>
    <m/>
    <n v="360"/>
    <s v="No"/>
    <n v="186"/>
    <s v="Normal"/>
    <s v="Achieved"/>
    <n v="0"/>
    <m/>
    <m/>
    <m/>
    <m/>
    <d v="2026-03-12T00:00:00"/>
    <s v="Week11"/>
    <x v="5"/>
    <s v="Go"/>
    <n v="100"/>
    <n v="0"/>
    <n v="0"/>
    <s v="Ankit"/>
    <s v="Aneesh"/>
    <s v="Aneesh"/>
    <s v=""/>
    <s v="12827338Usha M"/>
    <s v=""/>
    <s v=""/>
    <s v="Trivandrum"/>
    <x v="0"/>
    <s v=""/>
    <n v="0"/>
    <s v="Usha M"/>
    <x v="0"/>
    <s v="awaiting_upload"/>
    <b v="0"/>
  </r>
  <r>
    <d v="2026-03-10T09:20:44"/>
    <d v="2026-03-10T14:50:44"/>
    <d v="2026-03-12T18:15:33"/>
    <d v="2026-03-12T23:45:33"/>
    <d v="2026-03-12T09:55:44"/>
    <d v="2026-03-12T23:45:33"/>
    <x v="0"/>
    <n v="233"/>
    <n v="829.81669999999997"/>
    <x v="0"/>
    <n v="12827624"/>
    <s v="Daniel Alexander, MD"/>
    <s v="Auburn Community Hospital"/>
    <s v="Clinic"/>
    <s v="veejay_b@yahoo.com"/>
    <x v="0"/>
    <s v="Trivandrum"/>
    <s v="Go"/>
    <n v="51.65"/>
    <n v="100"/>
    <x v="0"/>
    <n v="0"/>
    <m/>
    <x v="11"/>
    <m/>
    <m/>
    <n v="720"/>
    <s v="No"/>
    <n v="200"/>
    <s v="Normal"/>
    <s v="Achieved"/>
    <n v="0"/>
    <m/>
    <m/>
    <m/>
    <m/>
    <d v="2026-03-12T00:00:00"/>
    <s v="Week11"/>
    <x v="6"/>
    <s v="Go"/>
    <n v="100"/>
    <n v="0"/>
    <n v="0"/>
    <s v="Ankit"/>
    <s v="Aneesh"/>
    <s v="Aneesh"/>
    <s v=""/>
    <s v="12827624Vijay Babu"/>
    <s v=""/>
    <s v=""/>
    <s v="Trivandrum"/>
    <x v="0"/>
    <s v=""/>
    <n v="0"/>
    <s v="Vijay Babu"/>
    <x v="0"/>
    <s v="awaiting_upload"/>
    <b v="0"/>
  </r>
  <r>
    <d v="2026-03-10T07:19:21"/>
    <d v="2026-03-10T12:49:21"/>
    <d v="2026-03-12T18:20:09"/>
    <d v="2026-03-12T23:50:09"/>
    <d v="2026-03-12T09:55:35"/>
    <d v="2026-03-12T23:50:09"/>
    <x v="0"/>
    <n v="265"/>
    <n v="834.56669999999997"/>
    <x v="0"/>
    <n v="12827641"/>
    <s v="Austin Christensen, MD"/>
    <s v="Harmon Medical And Rehabilitation Hospital"/>
    <s v="Clinic"/>
    <s v="veejay_b@yahoo.com"/>
    <x v="0"/>
    <s v="Trivandrum"/>
    <s v="Go"/>
    <n v="67.819999999999993"/>
    <n v="100"/>
    <x v="0"/>
    <n v="0"/>
    <m/>
    <x v="2"/>
    <m/>
    <m/>
    <n v="1440"/>
    <s v="No"/>
    <n v="202"/>
    <s v="Normal"/>
    <s v="Achieved"/>
    <n v="0"/>
    <m/>
    <m/>
    <m/>
    <m/>
    <d v="2026-03-12T00:00:00"/>
    <s v="Week11"/>
    <x v="2"/>
    <s v="Go"/>
    <n v="100"/>
    <n v="0"/>
    <n v="0"/>
    <s v="Aneesh"/>
    <s v="Aneesh"/>
    <s v="Aneesh"/>
    <s v=""/>
    <s v="12827641Vijay Babu"/>
    <s v=""/>
    <s v=""/>
    <s v="Trivandrum"/>
    <x v="0"/>
    <s v=""/>
    <n v="0"/>
    <s v="Vijay Babu"/>
    <x v="0"/>
    <s v="awaiting_upload"/>
    <b v="0"/>
  </r>
  <r>
    <d v="2026-03-10T07:56:10"/>
    <d v="2026-03-10T13:26:10"/>
    <d v="2026-03-12T18:24:27"/>
    <d v="2026-03-12T23:54:27"/>
    <d v="2026-03-12T09:55:53"/>
    <d v="2026-03-12T23:54:27"/>
    <x v="0"/>
    <n v="2299"/>
    <n v="838.56669999999997"/>
    <x v="0"/>
    <n v="12827613"/>
    <s v="Joseph Blaser, DO"/>
    <s v="Hillsboro Area Hospital"/>
    <s v="Clinic"/>
    <s v="veejay_b@yahoo.com"/>
    <x v="0"/>
    <s v="Trivandrum"/>
    <s v="Go"/>
    <n v="50.49"/>
    <n v="100"/>
    <x v="0"/>
    <n v="0"/>
    <m/>
    <x v="0"/>
    <m/>
    <m/>
    <n v="120"/>
    <s v="No"/>
    <n v="209"/>
    <s v="Normal"/>
    <s v="Achieved"/>
    <n v="0"/>
    <m/>
    <m/>
    <m/>
    <m/>
    <d v="2026-03-12T00:00:00"/>
    <s v="Week11"/>
    <x v="0"/>
    <s v="Go"/>
    <n v="100"/>
    <n v="0"/>
    <n v="0"/>
    <s v="Aneesh"/>
    <s v="Aneesh"/>
    <s v="Aneesh"/>
    <s v=""/>
    <s v="12827613Vijay Babu"/>
    <s v=""/>
    <s v=""/>
    <s v="Trivandrum"/>
    <x v="0"/>
    <s v=""/>
    <n v="0"/>
    <s v="Vijay Babu"/>
    <x v="0"/>
    <s v="awaiting_upload"/>
    <b v="0"/>
  </r>
  <r>
    <d v="2026-03-08T21:19:50"/>
    <d v="2026-03-09T02:49:50"/>
    <d v="2026-03-12T18:29:52"/>
    <d v="2026-03-12T23:59:52"/>
    <d v="2026-03-11T00:09:56"/>
    <d v="2026-03-12T23:59:52"/>
    <x v="0"/>
    <n v="303"/>
    <n v="2869.9333000000001"/>
    <x v="0"/>
    <n v="12827252"/>
    <s v="Kamran Khan, DO"/>
    <s v="Harmon Medical And Rehabilitation Hospital"/>
    <s v="Clinic"/>
    <s v="sandeepskn88@gmail.com"/>
    <x v="1"/>
    <s v="Trivandrum"/>
    <s v="Go"/>
    <n v="35.31"/>
    <n v="99"/>
    <x v="2"/>
    <n v="1"/>
    <m/>
    <x v="14"/>
    <m/>
    <m/>
    <n v="480"/>
    <s v="No"/>
    <n v="174"/>
    <s v="Normal"/>
    <s v="Achieved"/>
    <n v="0"/>
    <m/>
    <m/>
    <m/>
    <m/>
    <d v="2026-03-12T00:00:00"/>
    <s v="Week11"/>
    <x v="2"/>
    <s v="NoGo"/>
    <n v="97.167941093174733"/>
    <n v="1"/>
    <n v="1"/>
    <s v="Aneesh"/>
    <s v="Aneesh"/>
    <s v="Aneesh"/>
    <s v="Major"/>
    <s v="12827252Sandeep S"/>
    <s v="Major"/>
    <n v="1"/>
    <s v="Trivandrum"/>
    <x v="1"/>
    <n v="1"/>
    <n v="1"/>
    <s v="Sandeep S"/>
    <x v="0"/>
    <s v="awaiting_upload"/>
    <b v="1"/>
  </r>
  <r>
    <d v="2026-03-08T21:19:50"/>
    <d v="2026-03-09T02:49:50"/>
    <d v="2026-03-12T18:29:52"/>
    <d v="2026-03-12T23:59:52"/>
    <d v="2026-03-11T00:09:56"/>
    <d v="2026-03-12T23:59:52"/>
    <x v="0"/>
    <n v="303"/>
    <n v="2869.9333000000001"/>
    <x v="0"/>
    <n v="12827252"/>
    <s v="Kamran Khan, DO"/>
    <s v="Harmon Medical And Rehabilitation Hospital"/>
    <s v="Clinic"/>
    <s v="sandeepskn88@gmail.com"/>
    <x v="1"/>
    <s v="Trivandrum"/>
    <s v="Go"/>
    <n v="35.31"/>
    <n v="99"/>
    <x v="1"/>
    <n v="3"/>
    <m/>
    <x v="14"/>
    <m/>
    <m/>
    <n v="480"/>
    <s v="No"/>
    <n v="174"/>
    <s v="Normal"/>
    <s v="Achieved"/>
    <n v="0"/>
    <m/>
    <m/>
    <m/>
    <m/>
    <d v="2026-03-12T00:00:00"/>
    <s v="Week11"/>
    <x v="2"/>
    <s v="NoGo"/>
    <n v="97.167941093174733"/>
    <n v="0"/>
    <n v="1"/>
    <s v="Aneesh"/>
    <s v="Aneesh"/>
    <s v="Aneesh"/>
    <s v="Minor"/>
    <s v="12827252Sandeep S"/>
    <s v="Minor"/>
    <n v="0"/>
    <s v="Trivandrum"/>
    <x v="0"/>
    <n v="1"/>
    <n v="3"/>
    <s v="Sandeep S"/>
    <x v="0"/>
    <s v="awaiting_upload"/>
    <b v="0"/>
  </r>
  <r>
    <d v="2026-03-05T07:54:43"/>
    <d v="2026-03-05T13:24:43"/>
    <d v="2026-03-12T19:32:40"/>
    <d v="2026-03-13T01:02:40"/>
    <d v="2026-03-11T00:08:07"/>
    <d v="2026-03-13T01:02:40"/>
    <x v="0"/>
    <n v="250"/>
    <n v="2934.55"/>
    <x v="0"/>
    <n v="12826490"/>
    <s v="Eve Burns, MD"/>
    <s v="Adirondack Medical Center"/>
    <s v="Clinic"/>
    <s v="ushaaaam40@gmail.com"/>
    <x v="2"/>
    <s v="Trivandrum"/>
    <s v="No Go"/>
    <n v="24.2"/>
    <n v="98"/>
    <x v="2"/>
    <n v="2"/>
    <m/>
    <x v="7"/>
    <m/>
    <m/>
    <n v="1440"/>
    <s v="No"/>
    <n v="158"/>
    <s v="Normal"/>
    <s v="Achieved"/>
    <n v="0"/>
    <m/>
    <m/>
    <m/>
    <m/>
    <d v="2026-03-13T00:00:00"/>
    <s v="Week11"/>
    <x v="1"/>
    <s v="NoGo"/>
    <n v="91.735537190082638"/>
    <n v="2"/>
    <n v="2"/>
    <s v="Aneesh"/>
    <s v="Aneesh"/>
    <s v="Aneesh"/>
    <s v="Major"/>
    <s v="12826490Usha M"/>
    <s v="Major"/>
    <n v="1"/>
    <s v="Trivandrum"/>
    <x v="1"/>
    <n v="1"/>
    <n v="2"/>
    <s v="Usha M"/>
    <x v="0"/>
    <s v="awaiting_upload"/>
    <b v="1"/>
  </r>
  <r>
    <d v="2026-03-05T07:54:43"/>
    <d v="2026-03-05T13:24:43"/>
    <d v="2026-03-12T19:32:40"/>
    <d v="2026-03-13T01:02:40"/>
    <d v="2026-03-11T00:08:07"/>
    <d v="2026-03-13T01:02:40"/>
    <x v="0"/>
    <n v="250"/>
    <n v="2934.55"/>
    <x v="0"/>
    <n v="12826490"/>
    <s v="Eve Burns, MD"/>
    <s v="Adirondack Medical Center"/>
    <s v="Clinic"/>
    <s v="ushaaaam40@gmail.com"/>
    <x v="2"/>
    <s v="Trivandrum"/>
    <s v="No Go"/>
    <n v="24.2"/>
    <n v="98"/>
    <x v="1"/>
    <n v="2"/>
    <m/>
    <x v="7"/>
    <m/>
    <m/>
    <n v="1440"/>
    <s v="No"/>
    <n v="158"/>
    <s v="Normal"/>
    <s v="Achieved"/>
    <n v="0"/>
    <m/>
    <m/>
    <m/>
    <m/>
    <d v="2026-03-13T00:00:00"/>
    <s v="Week11"/>
    <x v="1"/>
    <s v="NoGo"/>
    <n v="91.735537190082638"/>
    <n v="0"/>
    <n v="2"/>
    <s v="Aneesh"/>
    <s v="Aneesh"/>
    <s v="Aneesh"/>
    <s v="Minor"/>
    <s v="12826490Usha M"/>
    <s v="Minor"/>
    <n v="0"/>
    <s v="Trivandrum"/>
    <x v="0"/>
    <n v="1"/>
    <n v="2"/>
    <s v="Usha M"/>
    <x v="0"/>
    <s v="awaiting_upload"/>
    <b v="0"/>
  </r>
  <r>
    <d v="2026-03-09T09:21:35"/>
    <d v="2026-03-09T14:51:35"/>
    <d v="2026-03-12T19:38:52"/>
    <d v="2026-03-13T01:08:52"/>
    <d v="2026-03-11T00:10:14"/>
    <d v="2026-03-13T01:08:52"/>
    <x v="0"/>
    <n v="358"/>
    <n v="2938.6333"/>
    <x v="0"/>
    <n v="12827283"/>
    <s v="Daniel Zakhary, MD"/>
    <s v="Adirondack Medical Center"/>
    <s v="Clinic"/>
    <s v="veejay_b@yahoo.com"/>
    <x v="0"/>
    <s v="Trivandrum"/>
    <s v="Go"/>
    <n v="17.920000000000002"/>
    <n v="100"/>
    <x v="1"/>
    <n v="2"/>
    <m/>
    <x v="15"/>
    <m/>
    <m/>
    <n v="1440"/>
    <s v="No"/>
    <n v="159"/>
    <s v="Normal"/>
    <s v="Achieved"/>
    <n v="1"/>
    <m/>
    <m/>
    <m/>
    <m/>
    <d v="2026-03-13T00:00:00"/>
    <s v="Week11"/>
    <x v="1"/>
    <s v="Go"/>
    <n v="100"/>
    <n v="0"/>
    <n v="0"/>
    <s v="Aneesh"/>
    <s v="Aneesh"/>
    <s v="Aneesh"/>
    <s v="Minor"/>
    <s v="12827283Vijay Babu"/>
    <s v="Minor"/>
    <n v="0"/>
    <s v="Trivandrum"/>
    <x v="0"/>
    <n v="1"/>
    <n v="2"/>
    <s v="Vijay Babu"/>
    <x v="0"/>
    <s v="awaiting_upload"/>
    <b v="0"/>
  </r>
  <r>
    <d v="2026-03-07T14:19:20"/>
    <d v="2026-03-07T19:49:20"/>
    <d v="2026-03-12T19:42:51"/>
    <d v="2026-03-13T01:12:51"/>
    <d v="2026-03-11T00:09:43"/>
    <d v="2026-03-13T01:12:51"/>
    <x v="0"/>
    <n v="227"/>
    <n v="2943.1333"/>
    <x v="0"/>
    <n v="12827157"/>
    <s v="Adam Abodeely, MD"/>
    <s v="Adirondack Medical Center"/>
    <s v="Clinic"/>
    <s v="veejay_b@yahoo.com"/>
    <x v="0"/>
    <s v="Trivandrum"/>
    <s v="Go"/>
    <n v="37.340000000000003"/>
    <n v="100"/>
    <x v="1"/>
    <n v="1"/>
    <m/>
    <x v="16"/>
    <m/>
    <m/>
    <n v="360"/>
    <s v="No"/>
    <n v="174"/>
    <s v="Normal"/>
    <s v="Achieved"/>
    <n v="0"/>
    <m/>
    <m/>
    <m/>
    <m/>
    <d v="2026-03-13T00:00:00"/>
    <s v="Week11"/>
    <x v="1"/>
    <s v="Go"/>
    <n v="100"/>
    <n v="0"/>
    <n v="0"/>
    <s v="Aneesh"/>
    <s v="Aneesh"/>
    <s v="Aneesh"/>
    <s v="Minor"/>
    <s v="12827157Vijay Babu"/>
    <s v="Minor"/>
    <n v="0"/>
    <s v="Trivandrum"/>
    <x v="0"/>
    <n v="1"/>
    <n v="1"/>
    <s v="Vijay Babu"/>
    <x v="0"/>
    <s v="awaiting_upload"/>
    <b v="0"/>
  </r>
  <r>
    <d v="2026-03-05T12:54:03"/>
    <d v="2026-03-05T18:24:03"/>
    <d v="2026-03-12T19:59:25"/>
    <d v="2026-03-13T01:29:25"/>
    <d v="2026-03-10T12:49:18"/>
    <d v="2026-03-13T01:29:25"/>
    <x v="0"/>
    <n v="178"/>
    <n v="3640.1167"/>
    <x v="0"/>
    <n v="12826577"/>
    <s v="Manuel Ojeda, MD"/>
    <s v="Miami Jewish Health Systems"/>
    <s v="NursingHome"/>
    <s v="veejay_b@yahoo.com"/>
    <x v="0"/>
    <s v="Trivandrum"/>
    <s v="Go"/>
    <n v="34.85"/>
    <n v="100"/>
    <x v="0"/>
    <n v="0"/>
    <m/>
    <x v="17"/>
    <m/>
    <m/>
    <n v="720"/>
    <s v="Yes"/>
    <n v="156"/>
    <s v="Normal"/>
    <s v="Achieved"/>
    <n v="0"/>
    <m/>
    <m/>
    <m/>
    <m/>
    <d v="2026-03-13T00:00:00"/>
    <s v="Week11"/>
    <x v="7"/>
    <s v="Go"/>
    <n v="100"/>
    <n v="0"/>
    <n v="0"/>
    <s v="Aneesh"/>
    <s v="Aneesh"/>
    <s v="Aneesh"/>
    <s v=""/>
    <s v="12826577Vijay Babu"/>
    <s v=""/>
    <s v=""/>
    <s v="Trivandrum"/>
    <x v="0"/>
    <s v=""/>
    <n v="0"/>
    <s v="Gopal Rajith"/>
    <x v="1"/>
    <s v="awaiting_upload"/>
    <b v="0"/>
  </r>
  <r>
    <d v="2026-03-03T21:38:50"/>
    <d v="2026-03-04T03:08:50"/>
    <d v="2026-03-12T20:03:14"/>
    <d v="2026-03-13T01:33:14"/>
    <d v="2026-03-10T19:42:11"/>
    <d v="2026-03-13T01:33:14"/>
    <x v="0"/>
    <n v="5502"/>
    <n v="3231.05"/>
    <x v="0"/>
    <n v="12826021"/>
    <s v="Sabieli Kabeli, MD"/>
    <s v="Adirondack Medical Center"/>
    <s v="Clinic"/>
    <s v="sandeepskn88@gmail.com"/>
    <x v="1"/>
    <s v="Trivandrum"/>
    <s v="Go"/>
    <n v="27.74"/>
    <n v="100"/>
    <x v="0"/>
    <n v="0"/>
    <m/>
    <x v="18"/>
    <m/>
    <m/>
    <n v="1440"/>
    <s v="No"/>
    <n v="191"/>
    <s v="Normal"/>
    <s v="Achieved"/>
    <n v="0"/>
    <m/>
    <m/>
    <m/>
    <m/>
    <d v="2026-03-13T00:00:00"/>
    <s v="Week11"/>
    <x v="1"/>
    <s v="Go"/>
    <n v="100"/>
    <n v="0"/>
    <n v="0"/>
    <s v="Aneesh"/>
    <s v="Aneesh"/>
    <s v="Aneesh"/>
    <s v=""/>
    <s v="12826021Sandeep S"/>
    <s v=""/>
    <s v=""/>
    <s v="Trivandrum"/>
    <x v="0"/>
    <s v=""/>
    <n v="0"/>
    <s v="Sandeep S"/>
    <x v="0"/>
    <s v="awaiting_upload"/>
    <b v="0"/>
  </r>
  <r>
    <d v="2026-03-04T14:49:06"/>
    <d v="2026-03-04T20:19:06"/>
    <d v="2026-03-12T20:08:23"/>
    <d v="2026-03-13T01:38:23"/>
    <d v="2026-03-10T19:42:21"/>
    <d v="2026-03-13T01:38:23"/>
    <x v="0"/>
    <n v="4731"/>
    <n v="3236.0333000000001"/>
    <x v="0"/>
    <n v="12826278"/>
    <s v="Sabieli Kabeli, MD"/>
    <s v="Adirondack Medical Center"/>
    <s v="Clinic"/>
    <s v="sandeepskn88@gmail.com"/>
    <x v="1"/>
    <s v="Trivandrum"/>
    <s v="Go"/>
    <n v="30.75"/>
    <n v="100"/>
    <x v="0"/>
    <n v="0"/>
    <m/>
    <x v="18"/>
    <m/>
    <m/>
    <n v="1440"/>
    <s v="No"/>
    <n v="190"/>
    <s v="Normal"/>
    <s v="Achieved"/>
    <n v="0"/>
    <m/>
    <m/>
    <m/>
    <m/>
    <d v="2026-03-13T00:00:00"/>
    <s v="Week11"/>
    <x v="1"/>
    <s v="Go"/>
    <n v="100"/>
    <n v="0"/>
    <n v="0"/>
    <s v="Aneesh"/>
    <s v="Aneesh"/>
    <s v="Aneesh"/>
    <s v=""/>
    <s v="12826278Sandeep S"/>
    <s v=""/>
    <s v=""/>
    <s v="Trivandrum"/>
    <x v="0"/>
    <s v=""/>
    <n v="0"/>
    <s v="Sandeep S"/>
    <x v="0"/>
    <s v="awaiting_upload"/>
    <b v="0"/>
  </r>
  <r>
    <d v="2026-03-06T13:25:26"/>
    <d v="2026-03-06T18:55:26"/>
    <d v="2026-03-12T20:11:08"/>
    <d v="2026-03-13T01:41:08"/>
    <d v="2026-03-11T00:08:25"/>
    <d v="2026-03-13T01:41:08"/>
    <x v="0"/>
    <n v="145"/>
    <n v="2972.7166999999999"/>
    <x v="0"/>
    <n v="12826910"/>
    <s v="Sabieli Kabeli, MD"/>
    <s v="Adirondack Medical Center"/>
    <s v="Clinic"/>
    <s v="veejay_b@yahoo.com"/>
    <x v="0"/>
    <s v="Trivandrum"/>
    <s v="Go"/>
    <n v="22.8"/>
    <n v="100"/>
    <x v="0"/>
    <n v="0"/>
    <m/>
    <x v="18"/>
    <m/>
    <m/>
    <n v="1440"/>
    <s v="No"/>
    <n v="115"/>
    <s v="Normal"/>
    <s v="Achieved"/>
    <n v="0"/>
    <m/>
    <m/>
    <m/>
    <m/>
    <d v="2026-03-13T00:00:00"/>
    <s v="Week11"/>
    <x v="1"/>
    <s v="Go"/>
    <n v="100"/>
    <n v="0"/>
    <n v="0"/>
    <s v="Aneesh"/>
    <s v="Aneesh"/>
    <s v="Aneesh"/>
    <s v=""/>
    <s v="12826910Vijay Babu"/>
    <s v=""/>
    <s v=""/>
    <s v="Trivandrum"/>
    <x v="0"/>
    <s v=""/>
    <n v="0"/>
    <s v="Vijay Babu"/>
    <x v="0"/>
    <s v="awaiting_upload"/>
    <b v="0"/>
  </r>
  <r>
    <d v="2026-03-11T10:53:55"/>
    <d v="2026-03-11T16:23:55"/>
    <d v="2026-03-13T02:39:05"/>
    <d v="2026-03-13T08:09:05"/>
    <d v="2026-03-13T01:41:46"/>
    <d v="2026-03-13T08:09:05"/>
    <x v="0"/>
    <n v="381"/>
    <n v="387.31670000000003"/>
    <x v="0"/>
    <n v="12828038"/>
    <s v="Jeffrey Dodge, DO"/>
    <s v="Adirondack Medical Center"/>
    <s v="Clinic"/>
    <s v="ushaaaam40@gmail.com"/>
    <x v="2"/>
    <s v="Trivandrum"/>
    <s v="Go"/>
    <n v="51.11"/>
    <n v="100"/>
    <x v="1"/>
    <n v="1"/>
    <m/>
    <x v="1"/>
    <m/>
    <m/>
    <n v="360"/>
    <s v="No"/>
    <n v="204"/>
    <s v="Normal"/>
    <s v="Achieved"/>
    <n v="0"/>
    <m/>
    <m/>
    <m/>
    <m/>
    <d v="2026-03-13T00:00:00"/>
    <s v="Week11"/>
    <x v="1"/>
    <s v="Go"/>
    <n v="100"/>
    <n v="0"/>
    <n v="0"/>
    <s v="Aneesh"/>
    <s v="Aneesh"/>
    <s v="Aneesh"/>
    <s v="Minor"/>
    <s v="12828038Usha M"/>
    <s v="Minor"/>
    <n v="0"/>
    <s v="Trivandrum"/>
    <x v="0"/>
    <n v="1"/>
    <n v="1"/>
    <s v="Usha M"/>
    <x v="0"/>
    <s v="awaiting_upload"/>
    <b v="0"/>
  </r>
  <r>
    <d v="2026-03-10T15:58:06"/>
    <d v="2026-03-10T21:28:06"/>
    <d v="2026-03-13T02:59:31"/>
    <d v="2026-03-13T08:29:31"/>
    <d v="2026-03-13T01:33:23"/>
    <d v="2026-03-13T08:29:31"/>
    <x v="0"/>
    <n v="1490"/>
    <n v="416.13330000000002"/>
    <x v="0"/>
    <n v="12827745"/>
    <s v="Joseph Schwartzer, MD"/>
    <s v="Norfolk Community Service Board"/>
    <s v="Clinic"/>
    <s v="sivasankari.a@cardioscribes.com"/>
    <x v="3"/>
    <s v="Chennai"/>
    <s v="Go"/>
    <n v="155.22999999999999"/>
    <n v="100"/>
    <x v="1"/>
    <n v="2"/>
    <m/>
    <x v="19"/>
    <m/>
    <m/>
    <n v="1440"/>
    <s v="No"/>
    <n v="1269"/>
    <s v="Normal"/>
    <s v="Achieved"/>
    <n v="0"/>
    <m/>
    <m/>
    <m/>
    <m/>
    <d v="2026-03-13T00:00:00"/>
    <s v="Week11"/>
    <x v="8"/>
    <s v="Go"/>
    <n v="100"/>
    <n v="0"/>
    <n v="0"/>
    <s v="Aneesh"/>
    <s v="Aneesh"/>
    <s v="Aneesh"/>
    <s v="Minor"/>
    <s v="12827745Sivasankari A"/>
    <s v="Minor"/>
    <n v="0"/>
    <s v="Trivandrum"/>
    <x v="0"/>
    <n v="1"/>
    <n v="2"/>
    <s v="Sivasankari A"/>
    <x v="0"/>
    <s v="awaiting_upload"/>
    <b v="0"/>
  </r>
  <r>
    <d v="2026-03-06T13:32:46"/>
    <d v="2026-03-06T19:02:46"/>
    <d v="2026-03-13T05:06:56"/>
    <d v="2026-03-13T10:36:56"/>
    <d v="2026-03-13T01:41:30"/>
    <d v="2026-03-13T10:36:56"/>
    <x v="0"/>
    <n v="303"/>
    <n v="535.43330000000003"/>
    <x v="0"/>
    <n v="12826912"/>
    <s v="Sabieli Kabeli, MD"/>
    <s v="Adirondack Medical Center"/>
    <s v="Clinic"/>
    <s v="sandeepskn88@gmail.com"/>
    <x v="1"/>
    <s v="Trivandrum"/>
    <s v="Go"/>
    <n v="34.31"/>
    <n v="100"/>
    <x v="1"/>
    <n v="1"/>
    <m/>
    <x v="18"/>
    <m/>
    <m/>
    <n v="1440"/>
    <s v="No"/>
    <n v="187"/>
    <s v="Normal"/>
    <s v="Achieved"/>
    <n v="0"/>
    <m/>
    <m/>
    <m/>
    <m/>
    <d v="2026-03-13T00:00:00"/>
    <s v="Week11"/>
    <x v="1"/>
    <s v="Go"/>
    <n v="100"/>
    <n v="0"/>
    <n v="0"/>
    <s v="Aneesh"/>
    <s v="Aneesh"/>
    <s v="Aneesh"/>
    <s v="Minor"/>
    <s v="12826912Sandeep S"/>
    <s v="Minor"/>
    <n v="0"/>
    <s v="Trivandrum"/>
    <x v="0"/>
    <n v="1"/>
    <n v="1"/>
    <s v="Sandeep S"/>
    <x v="0"/>
    <s v="awaiting_upload"/>
    <b v="0"/>
  </r>
  <r>
    <d v="2026-03-06T22:45:05"/>
    <d v="2026-03-07T04:15:05"/>
    <d v="2026-03-13T11:30:37"/>
    <d v="2026-03-13T17:00:37"/>
    <d v="2026-03-13T01:41:17"/>
    <d v="2026-03-13T17:00:37"/>
    <x v="0"/>
    <n v="292"/>
    <n v="919.33330000000001"/>
    <x v="0"/>
    <n v="12827117"/>
    <s v="Kamran Khan, DO"/>
    <s v="Harmon Medical And Rehabilitation Hospital"/>
    <s v="Clinic"/>
    <s v="sandeepskn88@gmail.com"/>
    <x v="1"/>
    <s v="Trivandrum"/>
    <s v="Go"/>
    <n v="36.25"/>
    <n v="100"/>
    <x v="0"/>
    <n v="0"/>
    <m/>
    <x v="14"/>
    <m/>
    <m/>
    <n v="480"/>
    <s v="No"/>
    <n v="196"/>
    <s v="Normal"/>
    <s v="Achieved"/>
    <n v="0"/>
    <m/>
    <m/>
    <m/>
    <m/>
    <d v="2026-03-13T00:00:00"/>
    <s v="Week11"/>
    <x v="2"/>
    <s v="Go"/>
    <n v="100"/>
    <n v="0"/>
    <n v="0"/>
    <s v="Aneesh"/>
    <s v="Aneesh"/>
    <s v="Aneesh"/>
    <s v=""/>
    <s v="12827117Sandeep S"/>
    <s v=""/>
    <s v=""/>
    <s v="Trivandrum"/>
    <x v="0"/>
    <s v=""/>
    <n v="0"/>
    <s v="Sandeep S"/>
    <x v="0"/>
    <s v="awaiting_upload"/>
    <b v="0"/>
  </r>
  <r>
    <d v="2026-03-10T17:30:23"/>
    <d v="2026-03-10T23:00:23"/>
    <d v="2026-03-13T11:48:35"/>
    <d v="2026-03-13T17:18:35"/>
    <d v="2026-03-13T01:33:39"/>
    <d v="2026-03-13T17:18:35"/>
    <x v="0"/>
    <n v="1184"/>
    <n v="944.93330000000003"/>
    <x v="0"/>
    <n v="12827766"/>
    <s v="Joseph Schwartzer, MD"/>
    <s v="Norfolk Community Service Board"/>
    <s v="Clinic"/>
    <s v="sivasankari.a@cardioscribes.com"/>
    <x v="3"/>
    <s v="Chennai"/>
    <s v="Go"/>
    <n v="99.77"/>
    <n v="99"/>
    <x v="6"/>
    <n v="1"/>
    <m/>
    <x v="19"/>
    <m/>
    <m/>
    <n v="1440"/>
    <s v="No"/>
    <n v="875"/>
    <s v="Normal"/>
    <s v="Achieved"/>
    <n v="0"/>
    <m/>
    <m/>
    <m/>
    <m/>
    <d v="2026-03-13T00:00:00"/>
    <s v="Week11"/>
    <x v="8"/>
    <s v="Go"/>
    <n v="98.997694697804945"/>
    <n v="1"/>
    <n v="1"/>
    <s v="Aneesh"/>
    <s v="Aneesh"/>
    <s v="Aneesh"/>
    <s v="Major"/>
    <s v="12827766Sivasankari A"/>
    <s v="Major"/>
    <n v="1"/>
    <s v="Trivandrum"/>
    <x v="0"/>
    <n v="1"/>
    <n v="1"/>
    <s v="Sivasankari A"/>
    <x v="0"/>
    <s v="awaiting_upload"/>
    <b v="0"/>
  </r>
  <r>
    <d v="2026-03-10T11:49:16"/>
    <d v="2026-03-10T17:19:16"/>
    <d v="2026-03-15T16:52:13"/>
    <d v="2026-03-15T22:22:13"/>
    <d v="2026-03-14T10:03:42"/>
    <d v="2026-03-15T22:22:13"/>
    <x v="0"/>
    <n v="221"/>
    <n v="2178.5167000000001"/>
    <x v="0"/>
    <n v="12827712"/>
    <s v="ROBERT KAY, MD  -  ORTHOPEDIST"/>
    <s v="LA County"/>
    <s v="PACIFICBLVD"/>
    <s v="sandeepskn88@gmail.com"/>
    <x v="1"/>
    <s v="Trivandrum"/>
    <s v="Go"/>
    <n v="22.37"/>
    <n v="100"/>
    <x v="0"/>
    <n v="0"/>
    <m/>
    <x v="20"/>
    <m/>
    <m/>
    <n v="1440"/>
    <s v="No"/>
    <n v="127"/>
    <s v="Normal"/>
    <s v="Achieved"/>
    <n v="0"/>
    <m/>
    <m/>
    <m/>
    <m/>
    <d v="2026-03-15T00:00:00"/>
    <s v="Week12"/>
    <x v="9"/>
    <s v="Go"/>
    <n v="100"/>
    <n v="0"/>
    <n v="0"/>
    <s v="Aneesh"/>
    <s v="Aneesh"/>
    <s v="Aneesh"/>
    <s v=""/>
    <s v="12827712Sandeep S"/>
    <s v=""/>
    <s v=""/>
    <s v="Trivandrum"/>
    <x v="0"/>
    <s v=""/>
    <n v="0"/>
    <s v="Sandeep S"/>
    <x v="0"/>
    <s v="awaiting_upload"/>
    <b v="0"/>
  </r>
  <r>
    <d v="2026-03-06T12:23:56"/>
    <d v="2026-03-06T17:53:56"/>
    <d v="2026-03-15T16:59:38"/>
    <d v="2026-03-15T22:29:38"/>
    <d v="2026-03-13T01:34:15"/>
    <d v="2026-03-15T22:29:38"/>
    <x v="0"/>
    <n v="8577"/>
    <n v="4135.3833000000004"/>
    <x v="0"/>
    <n v="12826908"/>
    <s v="Paul Valenza, DPM"/>
    <s v="Peterson Regional Medical Center"/>
    <s v="Clinic"/>
    <s v="sandeepskn88@gmail.com"/>
    <x v="1"/>
    <s v="Trivandrum"/>
    <s v="Go"/>
    <n v="55.86"/>
    <n v="100"/>
    <x v="1"/>
    <n v="3"/>
    <m/>
    <x v="11"/>
    <m/>
    <m/>
    <n v="1440"/>
    <s v="No"/>
    <n v="359"/>
    <s v="Normal"/>
    <s v="Achieved"/>
    <n v="0"/>
    <m/>
    <m/>
    <m/>
    <m/>
    <d v="2026-03-15T00:00:00"/>
    <s v="Week12"/>
    <x v="4"/>
    <s v="Go"/>
    <n v="100"/>
    <n v="0"/>
    <n v="0"/>
    <s v="Aneesh"/>
    <s v="Aneesh"/>
    <s v="Aneesh"/>
    <s v="Minor"/>
    <s v="12826908Sandeep S"/>
    <s v="Minor"/>
    <n v="0"/>
    <s v="Trivandrum"/>
    <x v="0"/>
    <n v="1"/>
    <n v="3"/>
    <s v="Sandeep S"/>
    <x v="0"/>
    <s v="awaiting_upload"/>
    <b v="0"/>
  </r>
  <r>
    <d v="2026-03-10T07:28:05"/>
    <d v="2026-03-10T12:58:05"/>
    <d v="2026-03-15T17:04:06"/>
    <d v="2026-03-15T22:34:06"/>
    <d v="2026-03-14T10:05:07"/>
    <d v="2026-03-15T22:34:06"/>
    <x v="0"/>
    <n v="257"/>
    <n v="2188.9832999999999"/>
    <x v="0"/>
    <n v="12827606"/>
    <s v="Joseph Blaser, DO"/>
    <s v="Hillsboro Area Hospital"/>
    <s v="Clinic"/>
    <s v="ushaaaam40@gmail.com"/>
    <x v="2"/>
    <s v="Trivandrum"/>
    <s v="Go"/>
    <n v="39.68"/>
    <n v="100"/>
    <x v="0"/>
    <n v="0"/>
    <m/>
    <x v="0"/>
    <m/>
    <m/>
    <n v="120"/>
    <s v="No"/>
    <n v="202"/>
    <s v="Normal"/>
    <s v="Achieved"/>
    <n v="0"/>
    <m/>
    <m/>
    <m/>
    <m/>
    <d v="2026-03-15T00:00:00"/>
    <s v="Week12"/>
    <x v="0"/>
    <s v="Go"/>
    <n v="100"/>
    <n v="0"/>
    <n v="0"/>
    <s v="Aneesh"/>
    <s v="Aneesh"/>
    <s v="Aneesh"/>
    <s v=""/>
    <s v="12827606Usha M"/>
    <s v=""/>
    <s v=""/>
    <s v="Trivandrum"/>
    <x v="0"/>
    <s v=""/>
    <n v="0"/>
    <s v="Usha M"/>
    <x v="0"/>
    <s v="awaiting_upload"/>
    <b v="0"/>
  </r>
  <r>
    <d v="2026-03-10T09:42:17"/>
    <d v="2026-03-10T15:12:17"/>
    <d v="2026-03-15T17:10:57"/>
    <d v="2026-03-15T22:40:57"/>
    <d v="2026-03-13T01:41:35"/>
    <d v="2026-03-15T22:40:57"/>
    <x v="0"/>
    <n v="391"/>
    <n v="4139.3666999999996"/>
    <x v="0"/>
    <n v="12827644"/>
    <s v="Joseph Blaser, DO"/>
    <s v="Hillsboro Area Hospital"/>
    <s v="Clinic"/>
    <s v="ushaaaam40@gmail.com"/>
    <x v="2"/>
    <s v="Trivandrum"/>
    <s v="Go"/>
    <n v="38.520000000000003"/>
    <n v="100"/>
    <x v="0"/>
    <n v="0"/>
    <m/>
    <x v="0"/>
    <m/>
    <m/>
    <n v="120"/>
    <s v="No"/>
    <n v="192"/>
    <s v="Normal"/>
    <s v="Achieved"/>
    <n v="0"/>
    <m/>
    <m/>
    <m/>
    <m/>
    <d v="2026-03-15T00:00:00"/>
    <s v="Week12"/>
    <x v="0"/>
    <s v="Go"/>
    <n v="100"/>
    <n v="0"/>
    <n v="0"/>
    <s v="Aneesh"/>
    <s v="Aneesh"/>
    <s v="Aneesh"/>
    <s v=""/>
    <s v="12827644Usha M"/>
    <s v=""/>
    <s v=""/>
    <s v="Trivandrum"/>
    <x v="0"/>
    <s v=""/>
    <n v="0"/>
    <s v="Usha M"/>
    <x v="0"/>
    <s v="awaiting_upload"/>
    <b v="0"/>
  </r>
  <r>
    <d v="2026-03-10T10:10:58"/>
    <d v="2026-03-10T15:40:58"/>
    <d v="2026-03-15T17:14:59"/>
    <d v="2026-03-15T22:44:59"/>
    <d v="2026-03-13T01:41:40"/>
    <d v="2026-03-15T22:44:59"/>
    <x v="0"/>
    <n v="232"/>
    <n v="4143.3167000000003"/>
    <x v="0"/>
    <n v="12827651"/>
    <s v="Joseph Blaser, DO"/>
    <s v="Hillsboro Area Hospital"/>
    <s v="Clinic"/>
    <s v="ushaaaam40@gmail.com"/>
    <x v="2"/>
    <s v="Trivandrum"/>
    <s v="Go"/>
    <n v="38.92"/>
    <n v="100"/>
    <x v="0"/>
    <n v="0"/>
    <m/>
    <x v="0"/>
    <m/>
    <m/>
    <n v="120"/>
    <s v="No"/>
    <n v="202"/>
    <s v="Normal"/>
    <s v="Achieved"/>
    <n v="0"/>
    <m/>
    <m/>
    <m/>
    <m/>
    <d v="2026-03-15T00:00:00"/>
    <s v="Week12"/>
    <x v="0"/>
    <s v="Go"/>
    <n v="100"/>
    <n v="0"/>
    <n v="0"/>
    <s v="Aneesh"/>
    <s v="Aneesh"/>
    <s v="Aneesh"/>
    <s v=""/>
    <s v="12827651Usha M"/>
    <s v=""/>
    <s v=""/>
    <s v="Trivandrum"/>
    <x v="0"/>
    <s v=""/>
    <n v="0"/>
    <s v="Usha M"/>
    <x v="0"/>
    <s v="awaiting_upload"/>
    <b v="0"/>
  </r>
  <r>
    <d v="2026-03-11T10:22:04"/>
    <d v="2026-03-11T15:52:04"/>
    <d v="2026-03-15T17:25:05"/>
    <d v="2026-03-15T22:55:05"/>
    <d v="2026-03-14T10:03:51"/>
    <d v="2026-03-15T22:55:05"/>
    <x v="0"/>
    <n v="593"/>
    <n v="2211.2332999999999"/>
    <x v="0"/>
    <n v="12828048"/>
    <s v="Mark P Goldman, PhD"/>
    <s v="Peterson Regional Medical Center"/>
    <s v="Clinic"/>
    <s v="ushaaaam40@gmail.com"/>
    <x v="2"/>
    <s v="Trivandrum"/>
    <s v="No Go"/>
    <n v="91.6"/>
    <n v="98"/>
    <x v="2"/>
    <n v="1"/>
    <m/>
    <x v="9"/>
    <m/>
    <m/>
    <n v="720"/>
    <s v="No"/>
    <n v="622"/>
    <s v="Normal"/>
    <s v="Achieved"/>
    <n v="1"/>
    <m/>
    <m/>
    <m/>
    <m/>
    <d v="2026-03-15T00:00:00"/>
    <s v="Week12"/>
    <x v="4"/>
    <s v="NoGo"/>
    <n v="97.816593886462883"/>
    <n v="1"/>
    <n v="2"/>
    <s v="Aneesh"/>
    <s v="Aneesh"/>
    <s v="Aneesh"/>
    <s v="Major"/>
    <s v="12828048Usha M"/>
    <s v="Major"/>
    <n v="1"/>
    <s v="Trivandrum"/>
    <x v="1"/>
    <n v="1"/>
    <n v="1"/>
    <s v="Usha M"/>
    <x v="0"/>
    <s v="awaiting_bb"/>
    <b v="1"/>
  </r>
  <r>
    <d v="2026-03-11T10:22:04"/>
    <d v="2026-03-11T15:52:04"/>
    <d v="2026-03-15T17:25:05"/>
    <d v="2026-03-15T22:55:05"/>
    <d v="2026-03-14T10:03:51"/>
    <d v="2026-03-15T22:55:05"/>
    <x v="0"/>
    <n v="593"/>
    <n v="2211.2332999999999"/>
    <x v="0"/>
    <n v="12828048"/>
    <s v="Mark P Goldman, PhD"/>
    <s v="Peterson Regional Medical Center"/>
    <s v="Clinic"/>
    <s v="ushaaaam40@gmail.com"/>
    <x v="2"/>
    <s v="Trivandrum"/>
    <s v="No Go"/>
    <n v="91.6"/>
    <n v="98"/>
    <x v="4"/>
    <n v="1"/>
    <m/>
    <x v="9"/>
    <m/>
    <m/>
    <n v="720"/>
    <s v="No"/>
    <n v="622"/>
    <s v="Normal"/>
    <s v="Achieved"/>
    <n v="1"/>
    <m/>
    <m/>
    <m/>
    <m/>
    <d v="2026-03-15T00:00:00"/>
    <s v="Week12"/>
    <x v="4"/>
    <s v="NoGo"/>
    <n v="97.816593886462883"/>
    <n v="1"/>
    <n v="2"/>
    <s v="Aneesh"/>
    <s v="Aneesh"/>
    <s v="Aneesh"/>
    <s v="Major"/>
    <s v="12828048Usha M"/>
    <s v="Major"/>
    <n v="1"/>
    <s v="Trivandrum"/>
    <x v="0"/>
    <n v="1"/>
    <n v="1"/>
    <s v="Usha M"/>
    <x v="0"/>
    <s v="awaiting_bb"/>
    <b v="0"/>
  </r>
  <r>
    <d v="2026-03-09T21:27:40"/>
    <d v="2026-03-10T02:57:40"/>
    <d v="2026-03-15T17:37:58"/>
    <d v="2026-03-15T23:07:58"/>
    <d v="2026-03-13T01:33:32"/>
    <d v="2026-03-15T23:07:58"/>
    <x v="0"/>
    <n v="2118"/>
    <n v="4174.4332999999997"/>
    <x v="0"/>
    <n v="12827551"/>
    <s v="Jill N Jones, NP"/>
    <s v="Norfolk Community Service Board"/>
    <s v="Clinic"/>
    <s v="sivasankari.a@cardioscribes.com"/>
    <x v="3"/>
    <s v="Chennai"/>
    <s v="Go"/>
    <n v="109.38"/>
    <n v="100"/>
    <x v="0"/>
    <n v="0"/>
    <m/>
    <x v="21"/>
    <m/>
    <m/>
    <n v="1440"/>
    <s v="No"/>
    <n v="597"/>
    <s v="Normal"/>
    <s v="Achieved"/>
    <n v="1"/>
    <m/>
    <m/>
    <m/>
    <m/>
    <d v="2026-03-15T00:00:00"/>
    <s v="Week12"/>
    <x v="8"/>
    <s v="Go"/>
    <n v="100"/>
    <n v="0"/>
    <n v="0"/>
    <s v="Aneesh"/>
    <s v="Aneesh"/>
    <s v="Aneesh"/>
    <s v=""/>
    <s v="12827551Sivasankari A"/>
    <s v=""/>
    <s v=""/>
    <s v="Trivandrum"/>
    <x v="0"/>
    <s v=""/>
    <n v="0"/>
    <s v="Sivasankari A"/>
    <x v="0"/>
    <s v="awaiting_upload"/>
    <b v="0"/>
  </r>
  <r>
    <d v="2026-03-11T15:11:34"/>
    <d v="2026-03-11T20:41:34"/>
    <d v="2026-03-15T18:07:53"/>
    <d v="2026-03-15T23:37:53"/>
    <d v="2026-03-13T01:34:08"/>
    <d v="2026-03-15T23:37:53"/>
    <x v="0"/>
    <n v="786"/>
    <n v="4203.75"/>
    <x v="0"/>
    <n v="12828145"/>
    <s v="William Smith, MD"/>
    <s v="Adirondack Medical Center"/>
    <s v="Clinic"/>
    <s v="ushaaaam40@gmail.com"/>
    <x v="2"/>
    <s v="Trivandrum"/>
    <s v="Go"/>
    <n v="97.72"/>
    <n v="99"/>
    <x v="2"/>
    <n v="1"/>
    <m/>
    <x v="1"/>
    <m/>
    <m/>
    <n v="360"/>
    <s v="No"/>
    <n v="388"/>
    <s v="Normal"/>
    <s v="Missed"/>
    <n v="0"/>
    <m/>
    <m/>
    <m/>
    <m/>
    <d v="2026-03-15T00:00:00"/>
    <s v="Week12"/>
    <x v="1"/>
    <s v="Go"/>
    <n v="98.976668031109298"/>
    <n v="1"/>
    <n v="1"/>
    <s v="Aneesh"/>
    <s v="Aneesh"/>
    <s v="Aneesh"/>
    <s v="Major"/>
    <s v="12828145Usha M"/>
    <s v="Major"/>
    <n v="1"/>
    <s v="Trivandrum"/>
    <x v="1"/>
    <n v="1"/>
    <n v="1"/>
    <s v="Usha M"/>
    <x v="0"/>
    <s v="awaiting_upload"/>
    <b v="1"/>
  </r>
  <r>
    <d v="2026-03-11T15:11:34"/>
    <d v="2026-03-11T20:41:34"/>
    <d v="2026-03-15T18:07:53"/>
    <d v="2026-03-15T23:37:53"/>
    <d v="2026-03-13T01:34:08"/>
    <d v="2026-03-15T23:37:53"/>
    <x v="0"/>
    <n v="786"/>
    <n v="4203.75"/>
    <x v="0"/>
    <n v="12828145"/>
    <s v="William Smith, MD"/>
    <s v="Adirondack Medical Center"/>
    <s v="Clinic"/>
    <s v="ushaaaam40@gmail.com"/>
    <x v="2"/>
    <s v="Trivandrum"/>
    <s v="Go"/>
    <n v="97.72"/>
    <n v="99"/>
    <x v="1"/>
    <n v="2"/>
    <m/>
    <x v="1"/>
    <m/>
    <m/>
    <n v="360"/>
    <s v="No"/>
    <n v="388"/>
    <s v="Normal"/>
    <s v="Missed"/>
    <n v="0"/>
    <m/>
    <m/>
    <m/>
    <m/>
    <d v="2026-03-15T00:00:00"/>
    <s v="Week12"/>
    <x v="1"/>
    <s v="Go"/>
    <n v="98.976668031109298"/>
    <n v="0"/>
    <n v="1"/>
    <s v="Aneesh"/>
    <s v="Aneesh"/>
    <s v="Aneesh"/>
    <s v="Minor"/>
    <s v="12828145Usha M"/>
    <s v="Minor"/>
    <n v="0"/>
    <s v="Trivandrum"/>
    <x v="0"/>
    <n v="1"/>
    <n v="2"/>
    <s v="Usha M"/>
    <x v="0"/>
    <s v="awaiting_upload"/>
    <b v="0"/>
  </r>
  <r>
    <d v="2026-03-10T15:14:50"/>
    <d v="2026-03-10T20:44:50"/>
    <d v="2026-03-15T18:18:17"/>
    <d v="2026-03-15T23:48:17"/>
    <d v="2026-03-13T01:33:46"/>
    <d v="2026-03-15T23:48:17"/>
    <x v="0"/>
    <n v="599"/>
    <n v="4214.5167000000001"/>
    <x v="0"/>
    <n v="12827794"/>
    <s v="IVET HARTONIAN, MD  -  PEDIATRICIAN"/>
    <s v="LA County"/>
    <s v="GLENDALE"/>
    <s v="sandeepskn88@gmail.com"/>
    <x v="1"/>
    <s v="Trivandrum"/>
    <s v="Go"/>
    <n v="94.2"/>
    <n v="100"/>
    <x v="1"/>
    <n v="1"/>
    <m/>
    <x v="22"/>
    <m/>
    <m/>
    <n v="1440"/>
    <s v="No"/>
    <n v="509"/>
    <s v="Normal"/>
    <s v="Achieved"/>
    <n v="0"/>
    <m/>
    <m/>
    <m/>
    <m/>
    <d v="2026-03-15T00:00:00"/>
    <s v="Week12"/>
    <x v="9"/>
    <s v="Go"/>
    <n v="100"/>
    <n v="0"/>
    <n v="0"/>
    <s v="Aneesh"/>
    <s v="Aneesh"/>
    <s v="Aneesh"/>
    <s v="Minor"/>
    <s v="12827794Sandeep S"/>
    <s v="Minor"/>
    <n v="0"/>
    <s v="Trivandrum"/>
    <x v="0"/>
    <n v="1"/>
    <n v="1"/>
    <s v="Sandeep S"/>
    <x v="0"/>
    <s v="awaiting_upload"/>
    <b v="0"/>
  </r>
  <r>
    <d v="2026-03-10T22:04:09"/>
    <d v="2026-03-11T03:34:09"/>
    <d v="2026-03-15T18:27:57"/>
    <d v="2026-03-15T23:57:57"/>
    <d v="2026-03-13T01:33:53"/>
    <d v="2026-03-15T23:57:57"/>
    <x v="0"/>
    <n v="564"/>
    <n v="4224.0667000000003"/>
    <x v="0"/>
    <n v="12827958"/>
    <s v="Jill N Jones, NP"/>
    <s v="Norfolk Community Service Board"/>
    <s v="Clinic"/>
    <s v="sivasankari.a@cardioscribes.com"/>
    <x v="3"/>
    <s v="Chennai"/>
    <s v="Go"/>
    <n v="104.74"/>
    <n v="100"/>
    <x v="0"/>
    <n v="0"/>
    <m/>
    <x v="21"/>
    <m/>
    <m/>
    <n v="1440"/>
    <s v="No"/>
    <n v="586"/>
    <s v="Normal"/>
    <s v="Achieved"/>
    <n v="0"/>
    <m/>
    <m/>
    <m/>
    <m/>
    <d v="2026-03-15T00:00:00"/>
    <s v="Week12"/>
    <x v="8"/>
    <s v="Go"/>
    <n v="100"/>
    <n v="0"/>
    <n v="0"/>
    <s v="Aneesh"/>
    <s v="Aneesh"/>
    <s v="Aneesh"/>
    <s v=""/>
    <s v="12827958Sivasankari A"/>
    <s v=""/>
    <s v=""/>
    <s v="Trivandrum"/>
    <x v="0"/>
    <s v=""/>
    <n v="0"/>
    <s v="Sivasankari A"/>
    <x v="0"/>
    <s v="awaiting_upload"/>
    <b v="0"/>
  </r>
  <r>
    <d v="2026-03-10T23:03:04"/>
    <d v="2026-03-11T04:33:04"/>
    <d v="2026-03-15T19:25:00"/>
    <d v="2026-03-16T00:55:00"/>
    <d v="2026-03-13T01:33:59"/>
    <d v="2026-03-16T00:55:00"/>
    <x v="0"/>
    <n v="3503"/>
    <n v="4281.0167000000001"/>
    <x v="0"/>
    <n v="12827962"/>
    <s v="Kelly Sullivan, DO"/>
    <s v="Norfolk Community Service Board"/>
    <s v="Clinic"/>
    <s v="sivasankari.a@cardioscribes.com"/>
    <x v="3"/>
    <s v="Chennai"/>
    <s v="No Go"/>
    <n v="131.77000000000001"/>
    <n v="97"/>
    <x v="3"/>
    <n v="1"/>
    <m/>
    <x v="23"/>
    <m/>
    <m/>
    <n v="1440"/>
    <s v="No"/>
    <n v="804"/>
    <s v="Normal"/>
    <s v="Achieved"/>
    <n v="0"/>
    <m/>
    <m/>
    <m/>
    <m/>
    <d v="2026-03-16T00:00:00"/>
    <s v="Week12"/>
    <x v="8"/>
    <s v="NoGo"/>
    <n v="97.723305760036425"/>
    <n v="1"/>
    <n v="3"/>
    <s v="Aneesh"/>
    <s v="Aneesh"/>
    <s v="Aneesh"/>
    <s v="Major"/>
    <s v="12827962Sivasankari A"/>
    <s v="Major"/>
    <n v="1"/>
    <s v="Trivandrum"/>
    <x v="1"/>
    <n v="1"/>
    <n v="1"/>
    <s v="Sivasankari A"/>
    <x v="0"/>
    <s v="awaiting_upload"/>
    <b v="1"/>
  </r>
  <r>
    <d v="2026-03-10T23:03:04"/>
    <d v="2026-03-11T04:33:04"/>
    <d v="2026-03-15T19:25:00"/>
    <d v="2026-03-16T00:55:00"/>
    <d v="2026-03-13T01:33:59"/>
    <d v="2026-03-16T00:55:00"/>
    <x v="0"/>
    <n v="3503"/>
    <n v="4281.0167000000001"/>
    <x v="0"/>
    <n v="12827962"/>
    <s v="Kelly Sullivan, DO"/>
    <s v="Norfolk Community Service Board"/>
    <s v="Clinic"/>
    <s v="sivasankari.a@cardioscribes.com"/>
    <x v="3"/>
    <s v="Chennai"/>
    <s v="No Go"/>
    <n v="131.77000000000001"/>
    <n v="97"/>
    <x v="2"/>
    <n v="2"/>
    <m/>
    <x v="23"/>
    <m/>
    <m/>
    <n v="1440"/>
    <s v="No"/>
    <n v="804"/>
    <s v="Normal"/>
    <s v="Achieved"/>
    <n v="0"/>
    <m/>
    <m/>
    <m/>
    <m/>
    <d v="2026-03-16T00:00:00"/>
    <s v="Week12"/>
    <x v="8"/>
    <s v="NoGo"/>
    <n v="97.723305760036425"/>
    <n v="2"/>
    <n v="3"/>
    <s v="Aneesh"/>
    <s v="Aneesh"/>
    <s v="Aneesh"/>
    <s v="Major"/>
    <s v="12827962Sivasankari A"/>
    <s v="Major"/>
    <n v="1"/>
    <s v="Trivandrum"/>
    <x v="1"/>
    <n v="1"/>
    <n v="2"/>
    <s v="Sivasankari A"/>
    <x v="0"/>
    <s v="awaiting_upload"/>
    <b v="1"/>
  </r>
  <r>
    <d v="2026-03-10T23:03:04"/>
    <d v="2026-03-11T04:33:04"/>
    <d v="2026-03-15T19:25:00"/>
    <d v="2026-03-16T00:55:00"/>
    <d v="2026-03-13T01:33:59"/>
    <d v="2026-03-16T00:55:00"/>
    <x v="0"/>
    <n v="3503"/>
    <n v="4281.0167000000001"/>
    <x v="0"/>
    <n v="12827962"/>
    <s v="Kelly Sullivan, DO"/>
    <s v="Norfolk Community Service Board"/>
    <s v="Clinic"/>
    <s v="sivasankari.a@cardioscribes.com"/>
    <x v="3"/>
    <s v="Chennai"/>
    <s v="No Go"/>
    <n v="131.77000000000001"/>
    <n v="97"/>
    <x v="1"/>
    <n v="1"/>
    <m/>
    <x v="23"/>
    <m/>
    <m/>
    <n v="1440"/>
    <s v="No"/>
    <n v="804"/>
    <s v="Normal"/>
    <s v="Achieved"/>
    <n v="0"/>
    <m/>
    <m/>
    <m/>
    <m/>
    <d v="2026-03-16T00:00:00"/>
    <s v="Week12"/>
    <x v="8"/>
    <s v="NoGo"/>
    <n v="97.723305760036425"/>
    <n v="0"/>
    <n v="3"/>
    <s v="Aneesh"/>
    <s v="Aneesh"/>
    <s v="Aneesh"/>
    <s v="Minor"/>
    <s v="12827962Sivasankari A"/>
    <s v="Minor"/>
    <n v="0"/>
    <s v="Trivandrum"/>
    <x v="0"/>
    <n v="1"/>
    <n v="1"/>
    <s v="Sivasankari A"/>
    <x v="0"/>
    <s v="awaiting_upload"/>
    <b v="0"/>
  </r>
  <r>
    <d v="2026-03-10T16:14:06"/>
    <d v="2026-03-10T21:44:06"/>
    <d v="2026-03-16T04:25:39"/>
    <d v="2026-03-16T09:55:39"/>
    <d v="2026-03-14T10:03:18"/>
    <d v="2026-03-16T09:55:39"/>
    <x v="0"/>
    <n v="229"/>
    <n v="2872.35"/>
    <x v="0"/>
    <n v="12827825"/>
    <s v="Lisa Cao, MD - Orthopedist"/>
    <s v="LA County"/>
    <s v="SANPEDRO"/>
    <s v="sandeepskn88@gmail.com"/>
    <x v="1"/>
    <s v="Trivandrum"/>
    <s v="Go"/>
    <n v="27.66"/>
    <n v="100"/>
    <x v="1"/>
    <n v="1"/>
    <m/>
    <x v="24"/>
    <m/>
    <m/>
    <n v="1440"/>
    <s v="No"/>
    <n v="134"/>
    <s v="Normal"/>
    <s v="Achieved"/>
    <n v="0"/>
    <m/>
    <m/>
    <m/>
    <m/>
    <d v="2026-03-16T00:00:00"/>
    <s v="Week12"/>
    <x v="9"/>
    <s v="Go"/>
    <n v="100"/>
    <n v="0"/>
    <n v="0"/>
    <s v="Aneesh"/>
    <s v="Aneesh"/>
    <s v="Aneesh"/>
    <s v="Minor"/>
    <s v="12827825Sandeep S"/>
    <s v="Minor"/>
    <n v="0"/>
    <s v="Trivandrum"/>
    <x v="0"/>
    <n v="1"/>
    <n v="1"/>
    <s v="Sandeep S"/>
    <x v="0"/>
    <s v="awaiting_upload"/>
    <b v="0"/>
  </r>
  <r>
    <d v="2026-03-11T12:17:02"/>
    <d v="2026-03-11T17:47:02"/>
    <d v="2026-03-16T04:29:26"/>
    <d v="2026-03-16T09:59:26"/>
    <d v="2026-03-14T10:03:29"/>
    <d v="2026-03-16T09:59:26"/>
    <x v="0"/>
    <n v="216"/>
    <n v="2875.95"/>
    <x v="0"/>
    <n v="12828138"/>
    <s v="Lisa Cao, MD - Orthopedist"/>
    <s v="LA County"/>
    <s v="MIDCITIES"/>
    <s v="sandeepskn88@gmail.com"/>
    <x v="1"/>
    <s v="Trivandrum"/>
    <s v="Go"/>
    <n v="34.340000000000003"/>
    <n v="100"/>
    <x v="0"/>
    <n v="0"/>
    <m/>
    <x v="25"/>
    <m/>
    <m/>
    <n v="1440"/>
    <s v="No"/>
    <n v="156"/>
    <s v="Normal"/>
    <s v="Achieved"/>
    <n v="0"/>
    <m/>
    <m/>
    <m/>
    <m/>
    <d v="2026-03-16T00:00:00"/>
    <s v="Week12"/>
    <x v="9"/>
    <s v="Go"/>
    <n v="100"/>
    <n v="0"/>
    <n v="0"/>
    <s v="Aneesh"/>
    <s v="Aneesh"/>
    <s v="Aneesh"/>
    <s v=""/>
    <s v="12828138Sandeep S"/>
    <s v=""/>
    <s v=""/>
    <s v="Trivandrum"/>
    <x v="0"/>
    <s v=""/>
    <n v="0"/>
    <s v="Sandeep S"/>
    <x v="0"/>
    <s v="awaiting_upload"/>
    <b v="0"/>
  </r>
  <r>
    <d v="2026-03-11T13:43:52"/>
    <d v="2026-03-11T19:13:52"/>
    <d v="2026-03-16T04:36:01"/>
    <d v="2026-03-16T10:06:01"/>
    <d v="2026-03-14T10:03:06"/>
    <d v="2026-03-16T10:06:01"/>
    <x v="0"/>
    <n v="383"/>
    <n v="2882.9167000000002"/>
    <x v="0"/>
    <n v="12828184"/>
    <s v="Lisa Cao, MD - Orthopedist"/>
    <s v="LA County"/>
    <s v="LONGBEACH"/>
    <s v="sandeepskn88@gmail.com"/>
    <x v="1"/>
    <s v="Trivandrum"/>
    <s v="No Go"/>
    <n v="38.26"/>
    <n v="98"/>
    <x v="2"/>
    <n v="2"/>
    <m/>
    <x v="26"/>
    <m/>
    <m/>
    <n v="1440"/>
    <s v="No"/>
    <n v="198"/>
    <s v="Normal"/>
    <s v="Achieved"/>
    <n v="0"/>
    <m/>
    <m/>
    <m/>
    <m/>
    <d v="2026-03-16T00:00:00"/>
    <s v="Week12"/>
    <x v="9"/>
    <s v="NoGo"/>
    <n v="94.772608468374287"/>
    <n v="2"/>
    <n v="2"/>
    <s v="Aneesh"/>
    <s v="Aneesh"/>
    <s v="Aneesh"/>
    <s v="Major"/>
    <s v="12828184Sandeep S"/>
    <s v="Major"/>
    <n v="1"/>
    <s v="Trivandrum"/>
    <x v="1"/>
    <n v="1"/>
    <n v="2"/>
    <s v="Sandeep S"/>
    <x v="0"/>
    <s v="awaiting_upload"/>
    <b v="1"/>
  </r>
  <r>
    <d v="2026-03-11T13:43:52"/>
    <d v="2026-03-11T19:13:52"/>
    <d v="2026-03-16T04:36:01"/>
    <d v="2026-03-16T10:06:01"/>
    <d v="2026-03-14T10:03:06"/>
    <d v="2026-03-16T10:06:01"/>
    <x v="0"/>
    <n v="383"/>
    <n v="2882.9167000000002"/>
    <x v="0"/>
    <n v="12828184"/>
    <s v="Lisa Cao, MD - Orthopedist"/>
    <s v="LA County"/>
    <s v="LONGBEACH"/>
    <s v="sandeepskn88@gmail.com"/>
    <x v="1"/>
    <s v="Trivandrum"/>
    <s v="No Go"/>
    <n v="38.26"/>
    <n v="98"/>
    <x v="1"/>
    <n v="1"/>
    <m/>
    <x v="26"/>
    <m/>
    <m/>
    <n v="1440"/>
    <s v="No"/>
    <n v="198"/>
    <s v="Normal"/>
    <s v="Achieved"/>
    <n v="0"/>
    <m/>
    <m/>
    <m/>
    <m/>
    <d v="2026-03-16T00:00:00"/>
    <s v="Week12"/>
    <x v="9"/>
    <s v="NoGo"/>
    <n v="94.772608468374287"/>
    <n v="0"/>
    <n v="2"/>
    <s v="Aneesh"/>
    <s v="Aneesh"/>
    <s v="Aneesh"/>
    <s v="Minor"/>
    <s v="12828184Sandeep S"/>
    <s v="Minor"/>
    <n v="0"/>
    <s v="Trivandrum"/>
    <x v="0"/>
    <n v="1"/>
    <n v="1"/>
    <s v="Sandeep S"/>
    <x v="0"/>
    <s v="awaiting_upload"/>
    <b v="0"/>
  </r>
  <r>
    <d v="2026-03-10T17:24:59"/>
    <d v="2026-03-10T22:54:59"/>
    <d v="2026-03-16T04:43:37"/>
    <d v="2026-03-16T10:13:37"/>
    <d v="2026-03-14T10:02:47"/>
    <d v="2026-03-16T10:13:37"/>
    <x v="0"/>
    <n v="540"/>
    <n v="2890.8332999999998"/>
    <x v="0"/>
    <n v="12827798"/>
    <s v="Ralph J Fritzsch, MD"/>
    <s v="Peterson Regional Medical Center"/>
    <s v="Clinic"/>
    <s v="sandeepskn88@gmail.com"/>
    <x v="1"/>
    <s v="Trivandrum"/>
    <s v="Go"/>
    <n v="38.35"/>
    <n v="100"/>
    <x v="1"/>
    <n v="1"/>
    <m/>
    <x v="9"/>
    <m/>
    <m/>
    <n v="720"/>
    <s v="No"/>
    <n v="350"/>
    <s v="Normal"/>
    <s v="Achieved"/>
    <n v="0"/>
    <m/>
    <m/>
    <m/>
    <m/>
    <d v="2026-03-16T00:00:00"/>
    <s v="Week12"/>
    <x v="4"/>
    <s v="Go"/>
    <n v="100"/>
    <n v="0"/>
    <n v="0"/>
    <s v="Aneesh"/>
    <s v="Aneesh"/>
    <s v="Aneesh"/>
    <s v="Minor"/>
    <s v="12827798Sandeep S"/>
    <s v="Minor"/>
    <n v="0"/>
    <s v="Trivandrum"/>
    <x v="0"/>
    <n v="1"/>
    <n v="1"/>
    <s v="Sandeep S"/>
    <x v="0"/>
    <s v="awaiting_upload"/>
    <b v="0"/>
  </r>
  <r>
    <d v="2026-03-12T05:10:40"/>
    <d v="2026-03-12T10:40:40"/>
    <d v="2026-03-16T04:54:05"/>
    <d v="2026-03-16T10:24:05"/>
    <d v="2026-03-14T10:04:40"/>
    <d v="2026-03-16T10:24:05"/>
    <x v="0"/>
    <n v="322"/>
    <n v="2899.4167000000002"/>
    <x v="0"/>
    <n v="12828416"/>
    <s v="Gnaneswer Billakanti, MD"/>
    <s v="Harmon Medical And Rehabilitation Hospital"/>
    <s v="Clinic"/>
    <s v="ushaaaam40@gmail.com"/>
    <x v="2"/>
    <s v="Trivandrum"/>
    <s v="Go"/>
    <n v="31.92"/>
    <n v="100"/>
    <x v="1"/>
    <n v="1"/>
    <m/>
    <x v="14"/>
    <m/>
    <m/>
    <n v="480"/>
    <s v="No"/>
    <n v="278"/>
    <s v="Normal"/>
    <s v="Achieved"/>
    <n v="0"/>
    <m/>
    <m/>
    <m/>
    <m/>
    <d v="2026-03-16T00:00:00"/>
    <s v="Week12"/>
    <x v="2"/>
    <s v="Go"/>
    <n v="100"/>
    <n v="0"/>
    <n v="0"/>
    <s v="Aneesh"/>
    <s v="Aneesh"/>
    <s v="Aneesh"/>
    <s v="Minor"/>
    <s v="12828416Usha M"/>
    <s v="Minor"/>
    <n v="0"/>
    <s v="Trivandrum"/>
    <x v="0"/>
    <n v="1"/>
    <n v="1"/>
    <s v="Usha M"/>
    <x v="0"/>
    <s v="awaiting_upload"/>
    <b v="0"/>
  </r>
  <r>
    <d v="2026-03-10T16:31:24"/>
    <d v="2026-03-10T22:01:24"/>
    <d v="2026-03-16T05:10:03"/>
    <d v="2026-03-16T10:40:03"/>
    <d v="2026-03-14T10:04:02"/>
    <d v="2026-03-16T10:40:03"/>
    <x v="0"/>
    <n v="1551"/>
    <n v="2916.0167000000001"/>
    <x v="0"/>
    <n v="12827750"/>
    <s v="William Smith, MD"/>
    <s v="Adirondack Medical Center"/>
    <s v="Clinic"/>
    <s v="ushaaaam40@gmail.com"/>
    <x v="2"/>
    <s v="Trivandrum"/>
    <s v="No Go"/>
    <n v="100.75"/>
    <n v="97"/>
    <x v="2"/>
    <n v="3"/>
    <m/>
    <x v="1"/>
    <m/>
    <m/>
    <n v="360"/>
    <s v="No"/>
    <n v="365"/>
    <s v="Normal"/>
    <s v="Achieved"/>
    <n v="0"/>
    <m/>
    <m/>
    <m/>
    <m/>
    <d v="2026-03-16T00:00:00"/>
    <s v="Week12"/>
    <x v="1"/>
    <s v="NoGo"/>
    <n v="97.022332506203469"/>
    <n v="3"/>
    <n v="3"/>
    <s v="Aneesh"/>
    <s v="Aneesh"/>
    <s v="Aneesh"/>
    <s v="Major"/>
    <s v="12827750Usha M"/>
    <s v="Major"/>
    <n v="1"/>
    <s v="Trivandrum"/>
    <x v="1"/>
    <n v="1"/>
    <n v="3"/>
    <s v="Usha M"/>
    <x v="0"/>
    <s v="awaiting_bb"/>
    <b v="1"/>
  </r>
  <r>
    <d v="2026-03-10T16:31:24"/>
    <d v="2026-03-10T22:01:24"/>
    <d v="2026-03-16T05:10:03"/>
    <d v="2026-03-16T10:40:03"/>
    <d v="2026-03-14T10:04:02"/>
    <d v="2026-03-16T10:40:03"/>
    <x v="0"/>
    <n v="1551"/>
    <n v="2916.0167000000001"/>
    <x v="0"/>
    <n v="12827750"/>
    <s v="William Smith, MD"/>
    <s v="Adirondack Medical Center"/>
    <s v="Clinic"/>
    <s v="ushaaaam40@gmail.com"/>
    <x v="2"/>
    <s v="Trivandrum"/>
    <s v="No Go"/>
    <n v="100.75"/>
    <n v="97"/>
    <x v="1"/>
    <n v="3"/>
    <m/>
    <x v="1"/>
    <m/>
    <m/>
    <n v="360"/>
    <s v="No"/>
    <n v="365"/>
    <s v="Normal"/>
    <s v="Achieved"/>
    <n v="0"/>
    <m/>
    <m/>
    <m/>
    <m/>
    <d v="2026-03-16T00:00:00"/>
    <s v="Week12"/>
    <x v="1"/>
    <s v="NoGo"/>
    <n v="97.022332506203469"/>
    <n v="0"/>
    <n v="3"/>
    <s v="Aneesh"/>
    <s v="Aneesh"/>
    <s v="Aneesh"/>
    <s v="Minor"/>
    <s v="12827750Usha M"/>
    <s v="Minor"/>
    <n v="0"/>
    <s v="Trivandrum"/>
    <x v="0"/>
    <n v="1"/>
    <n v="3"/>
    <s v="Usha M"/>
    <x v="0"/>
    <s v="awaiting_bb"/>
    <b v="0"/>
  </r>
  <r>
    <d v="2026-03-12T13:03:03"/>
    <d v="2026-03-12T18:33:03"/>
    <d v="2026-03-16T05:26:35"/>
    <d v="2026-03-16T10:56:35"/>
    <d v="2026-03-14T10:04:56"/>
    <d v="2026-03-16T10:56:35"/>
    <x v="0"/>
    <n v="925"/>
    <n v="2931.65"/>
    <x v="0"/>
    <n v="12828538"/>
    <s v="Melissa G Wampler, MD"/>
    <s v="Peterson Regional Medical Center"/>
    <s v="Clinic"/>
    <s v="ushaaaam40@gmail.com"/>
    <x v="2"/>
    <s v="Trivandrum"/>
    <s v="No Go"/>
    <n v="63.72"/>
    <n v="95"/>
    <x v="2"/>
    <n v="4"/>
    <m/>
    <x v="11"/>
    <m/>
    <m/>
    <n v="1440"/>
    <s v="No"/>
    <n v="297"/>
    <s v="Normal"/>
    <s v="Achieved"/>
    <n v="0"/>
    <m/>
    <m/>
    <m/>
    <m/>
    <d v="2026-03-16T00:00:00"/>
    <s v="Week12"/>
    <x v="4"/>
    <s v="NoGo"/>
    <n v="92.15317011927182"/>
    <n v="4"/>
    <n v="5"/>
    <s v="Aneesh"/>
    <s v="Aneesh"/>
    <s v="Aneesh"/>
    <s v="Major"/>
    <s v="12828538Usha M"/>
    <s v="Major"/>
    <n v="1"/>
    <s v="Trivandrum"/>
    <x v="1"/>
    <n v="1"/>
    <n v="4"/>
    <s v="Usha M"/>
    <x v="0"/>
    <s v="awaiting_upload"/>
    <b v="1"/>
  </r>
  <r>
    <d v="2026-03-12T13:03:03"/>
    <d v="2026-03-12T18:33:03"/>
    <d v="2026-03-16T05:26:35"/>
    <d v="2026-03-16T10:56:35"/>
    <d v="2026-03-14T10:04:56"/>
    <d v="2026-03-16T10:56:35"/>
    <x v="0"/>
    <n v="925"/>
    <n v="2931.65"/>
    <x v="0"/>
    <n v="12828538"/>
    <s v="Melissa G Wampler, MD"/>
    <s v="Peterson Regional Medical Center"/>
    <s v="Clinic"/>
    <s v="ushaaaam40@gmail.com"/>
    <x v="2"/>
    <s v="Trivandrum"/>
    <s v="No Go"/>
    <n v="63.72"/>
    <n v="95"/>
    <x v="6"/>
    <n v="1"/>
    <m/>
    <x v="11"/>
    <m/>
    <m/>
    <n v="1440"/>
    <s v="No"/>
    <n v="297"/>
    <s v="Normal"/>
    <s v="Achieved"/>
    <n v="0"/>
    <m/>
    <m/>
    <m/>
    <m/>
    <d v="2026-03-16T00:00:00"/>
    <s v="Week12"/>
    <x v="4"/>
    <s v="NoGo"/>
    <n v="92.15317011927182"/>
    <n v="1"/>
    <n v="5"/>
    <s v="Aneesh"/>
    <s v="Aneesh"/>
    <s v="Aneesh"/>
    <s v="Major"/>
    <s v="12828538Usha M"/>
    <s v="Major"/>
    <n v="1"/>
    <s v="Trivandrum"/>
    <x v="1"/>
    <n v="1"/>
    <n v="1"/>
    <s v="Usha M"/>
    <x v="0"/>
    <s v="awaiting_upload"/>
    <b v="1"/>
  </r>
  <r>
    <d v="2026-03-12T13:03:03"/>
    <d v="2026-03-12T18:33:03"/>
    <d v="2026-03-16T05:26:35"/>
    <d v="2026-03-16T10:56:35"/>
    <d v="2026-03-14T10:04:56"/>
    <d v="2026-03-16T10:56:35"/>
    <x v="0"/>
    <n v="925"/>
    <n v="2931.65"/>
    <x v="0"/>
    <n v="12828538"/>
    <s v="Melissa G Wampler, MD"/>
    <s v="Peterson Regional Medical Center"/>
    <s v="Clinic"/>
    <s v="ushaaaam40@gmail.com"/>
    <x v="2"/>
    <s v="Trivandrum"/>
    <s v="No Go"/>
    <n v="63.72"/>
    <n v="95"/>
    <x v="1"/>
    <n v="2"/>
    <m/>
    <x v="11"/>
    <m/>
    <m/>
    <n v="1440"/>
    <s v="No"/>
    <n v="297"/>
    <s v="Normal"/>
    <s v="Achieved"/>
    <n v="0"/>
    <m/>
    <m/>
    <m/>
    <m/>
    <d v="2026-03-16T00:00:00"/>
    <s v="Week12"/>
    <x v="4"/>
    <s v="NoGo"/>
    <n v="92.15317011927182"/>
    <n v="0"/>
    <n v="5"/>
    <s v="Aneesh"/>
    <s v="Aneesh"/>
    <s v="Aneesh"/>
    <s v="Minor"/>
    <s v="12828538Usha M"/>
    <s v="Minor"/>
    <n v="0"/>
    <s v="Trivandrum"/>
    <x v="0"/>
    <n v="1"/>
    <n v="2"/>
    <s v="Usha M"/>
    <x v="0"/>
    <s v="awaiting_upload"/>
    <b v="0"/>
  </r>
  <r>
    <d v="2026-03-12T10:39:51"/>
    <d v="2026-03-12T16:09:51"/>
    <d v="2026-03-16T05:34:58"/>
    <d v="2026-03-16T11:04:58"/>
    <d v="2026-03-16T10:58:10"/>
    <d v="2026-03-16T11:04:58"/>
    <x v="0"/>
    <n v="77"/>
    <n v="6.8"/>
    <x v="0"/>
    <n v="12828485"/>
    <s v="GIZELLE STEVENS, MD"/>
    <s v="Regional Medical Center Anniston"/>
    <s v="Clinic"/>
    <s v="gopalrajith@gmail.com"/>
    <x v="4"/>
    <s v="Trivandrum"/>
    <s v="Go"/>
    <n v="8.18"/>
    <n v="100"/>
    <x v="0"/>
    <n v="0"/>
    <m/>
    <x v="27"/>
    <m/>
    <m/>
    <n v="360"/>
    <s v="No"/>
    <n v="39"/>
    <s v="Normal"/>
    <s v="Achieved"/>
    <n v="0"/>
    <m/>
    <m/>
    <m/>
    <m/>
    <d v="2026-03-16T00:00:00"/>
    <s v="Week12"/>
    <x v="10"/>
    <s v="Go"/>
    <n v="100"/>
    <n v="0"/>
    <n v="0"/>
    <s v="Ankit"/>
    <s v="Aneesh"/>
    <s v="Aneesh"/>
    <s v=""/>
    <s v="12828485Gopal Rajith"/>
    <s v=""/>
    <s v=""/>
    <s v="Trivandrum"/>
    <x v="0"/>
    <s v=""/>
    <n v="0"/>
    <s v="Gopal Rajith"/>
    <x v="0"/>
    <s v="awaiting_upload"/>
    <b v="0"/>
  </r>
  <r>
    <d v="2026-03-06T13:46:06"/>
    <d v="2026-03-06T19:16:06"/>
    <d v="2026-03-16T06:32:07"/>
    <d v="2026-03-16T12:02:07"/>
    <d v="2026-03-16T10:57:27"/>
    <d v="2026-03-16T12:02:07"/>
    <x v="0"/>
    <n v="225"/>
    <n v="64.666700000000006"/>
    <x v="0"/>
    <n v="12826924"/>
    <s v="DONALD T NORBY, DMD"/>
    <s v="Regional Medical Center Anniston"/>
    <s v="Clinic"/>
    <s v="gopalrajith@gmail.com"/>
    <x v="4"/>
    <s v="Trivandrum"/>
    <s v="Go"/>
    <n v="31.06"/>
    <n v="100"/>
    <x v="1"/>
    <n v="3"/>
    <m/>
    <x v="28"/>
    <m/>
    <m/>
    <n v="720"/>
    <s v="No"/>
    <n v="145"/>
    <s v="Normal"/>
    <s v="Achieved"/>
    <n v="0"/>
    <m/>
    <m/>
    <m/>
    <m/>
    <d v="2026-03-16T00:00:00"/>
    <s v="Week12"/>
    <x v="10"/>
    <s v="Go"/>
    <n v="100"/>
    <n v="0"/>
    <n v="0"/>
    <s v="Ankit"/>
    <s v="Aneesh"/>
    <s v="Aneesh"/>
    <s v="Minor"/>
    <s v="12826924Gopal Rajith"/>
    <s v="Minor"/>
    <n v="0"/>
    <s v="Trivandrum"/>
    <x v="0"/>
    <n v="1"/>
    <n v="3"/>
    <s v="Gopal Rajith"/>
    <x v="0"/>
    <s v="awaiting_upload"/>
    <b v="0"/>
  </r>
  <r>
    <d v="2026-03-06T13:03:35"/>
    <d v="2026-03-06T18:33:35"/>
    <d v="2026-03-16T06:43:05"/>
    <d v="2026-03-16T12:13:05"/>
    <d v="2026-03-16T10:56:52"/>
    <d v="2026-03-16T12:13:05"/>
    <x v="0"/>
    <n v="1415"/>
    <n v="76.216700000000003"/>
    <x v="0"/>
    <n v="12826952"/>
    <s v="Kamran Khan, DO"/>
    <s v="Horizon Health And Rehabilitation Center"/>
    <s v="Clinic"/>
    <s v="gopalrajith@gmail.com"/>
    <x v="4"/>
    <s v="Trivandrum"/>
    <s v="Go"/>
    <n v="42.4"/>
    <n v="100"/>
    <x v="1"/>
    <n v="4"/>
    <m/>
    <x v="14"/>
    <m/>
    <m/>
    <n v="480"/>
    <s v="No"/>
    <n v="246"/>
    <s v="Normal"/>
    <s v="Achieved"/>
    <n v="0"/>
    <m/>
    <m/>
    <m/>
    <m/>
    <d v="2026-03-16T00:00:00"/>
    <s v="Week12"/>
    <x v="11"/>
    <s v="Go"/>
    <n v="100"/>
    <n v="0"/>
    <n v="0"/>
    <s v="Aneesh"/>
    <s v="Aneesh"/>
    <s v="Aneesh"/>
    <s v="Minor"/>
    <s v="12826952Gopal Rajith"/>
    <s v="Minor"/>
    <n v="0"/>
    <s v="Trivandrum"/>
    <x v="0"/>
    <n v="1"/>
    <n v="4"/>
    <s v="Gopal Rajith"/>
    <x v="0"/>
    <s v="awaiting_upload"/>
    <b v="0"/>
  </r>
  <r>
    <d v="2026-03-10T15:22:11"/>
    <d v="2026-03-10T20:52:11"/>
    <d v="2026-03-16T07:03:43"/>
    <d v="2026-03-16T12:33:43"/>
    <d v="2026-03-16T10:57:03"/>
    <d v="2026-03-16T12:33:43"/>
    <x v="0"/>
    <n v="1093"/>
    <n v="96.666700000000006"/>
    <x v="0"/>
    <n v="12827738"/>
    <s v="John Decker, MD"/>
    <s v="Adirondack Medical Center"/>
    <s v="Clinic"/>
    <s v="jobs4savitha@gmail.com"/>
    <x v="5"/>
    <s v="Trivandrum"/>
    <s v="No Go"/>
    <n v="24.77"/>
    <n v="98"/>
    <x v="2"/>
    <n v="2"/>
    <m/>
    <x v="1"/>
    <m/>
    <m/>
    <n v="360"/>
    <s v="No"/>
    <n v="206"/>
    <s v="Normal"/>
    <s v="Achieved"/>
    <n v="0"/>
    <m/>
    <m/>
    <m/>
    <m/>
    <d v="2026-03-16T00:00:00"/>
    <s v="Week12"/>
    <x v="1"/>
    <s v="NoGo"/>
    <n v="91.925716592652407"/>
    <n v="2"/>
    <n v="2"/>
    <s v="Aneesh"/>
    <s v="Aneesh"/>
    <s v="Aneesh"/>
    <s v="Major"/>
    <s v="12827738Savitha Arun"/>
    <s v="Major"/>
    <n v="1"/>
    <s v="Trivandrum"/>
    <x v="1"/>
    <n v="1"/>
    <n v="2"/>
    <s v="Usha M"/>
    <x v="1"/>
    <s v="awaiting_upload"/>
    <b v="1"/>
  </r>
  <r>
    <d v="2026-03-10T15:22:11"/>
    <d v="2026-03-10T20:52:11"/>
    <d v="2026-03-16T07:03:43"/>
    <d v="2026-03-16T12:33:43"/>
    <d v="2026-03-16T10:57:03"/>
    <d v="2026-03-16T12:33:43"/>
    <x v="0"/>
    <n v="1093"/>
    <n v="96.666700000000006"/>
    <x v="0"/>
    <n v="12827738"/>
    <s v="John Decker, MD"/>
    <s v="Adirondack Medical Center"/>
    <s v="Clinic"/>
    <s v="jobs4savitha@gmail.com"/>
    <x v="5"/>
    <s v="Trivandrum"/>
    <s v="No Go"/>
    <n v="24.77"/>
    <n v="98"/>
    <x v="1"/>
    <n v="4"/>
    <m/>
    <x v="1"/>
    <m/>
    <m/>
    <n v="360"/>
    <s v="No"/>
    <n v="206"/>
    <s v="Normal"/>
    <s v="Achieved"/>
    <n v="0"/>
    <m/>
    <m/>
    <m/>
    <m/>
    <d v="2026-03-16T00:00:00"/>
    <s v="Week12"/>
    <x v="1"/>
    <s v="NoGo"/>
    <n v="91.925716592652407"/>
    <n v="0"/>
    <n v="2"/>
    <s v="Aneesh"/>
    <s v="Aneesh"/>
    <s v="Aneesh"/>
    <s v="Minor"/>
    <s v="12827738Savitha Arun"/>
    <s v="Minor"/>
    <n v="0"/>
    <s v="Trivandrum"/>
    <x v="0"/>
    <n v="1"/>
    <n v="4"/>
    <s v="Usha M"/>
    <x v="1"/>
    <s v="awaiting_upload"/>
    <b v="0"/>
  </r>
  <r>
    <d v="2026-03-10T11:31:33"/>
    <d v="2026-03-10T17:01:33"/>
    <d v="2026-03-16T07:06:12"/>
    <d v="2026-03-16T12:36:12"/>
    <d v="2026-03-16T10:57:50"/>
    <d v="2026-03-16T12:36:12"/>
    <x v="0"/>
    <n v="113"/>
    <n v="98.366699999999994"/>
    <x v="0"/>
    <n v="12827705"/>
    <s v="Brian Martinez, PAC"/>
    <s v="Cardiology Associates Medical Group"/>
    <s v="Clinic"/>
    <s v="PratheepKumar.a@cardioscribes.com"/>
    <x v="6"/>
    <s v="Chennai"/>
    <s v="Go"/>
    <n v="20.71"/>
    <n v="100"/>
    <x v="1"/>
    <n v="1"/>
    <m/>
    <x v="29"/>
    <m/>
    <m/>
    <n v="1440"/>
    <s v="No"/>
    <n v="74"/>
    <s v="Normal"/>
    <s v="Achieved"/>
    <n v="0"/>
    <m/>
    <m/>
    <m/>
    <m/>
    <d v="2026-03-16T00:00:00"/>
    <s v="Week12"/>
    <x v="12"/>
    <s v="Go"/>
    <n v="100"/>
    <n v="0"/>
    <n v="0"/>
    <s v="Harsh"/>
    <s v="Aneesh"/>
    <s v="Aneesh"/>
    <s v="Minor"/>
    <s v="12827705Pratheep Kumar"/>
    <s v="Minor"/>
    <n v="0"/>
    <s v="Trivandrum"/>
    <x v="0"/>
    <n v="1"/>
    <n v="1"/>
    <s v="Pratheep Kumar"/>
    <x v="0"/>
    <s v="awaiting_upload"/>
    <b v="0"/>
  </r>
  <r>
    <d v="2026-03-12T19:06:41"/>
    <d v="2026-03-13T00:36:41"/>
    <d v="2026-03-16T07:24:15"/>
    <d v="2026-03-16T12:54:15"/>
    <d v="2026-03-16T09:45:30"/>
    <d v="2026-03-16T12:54:15"/>
    <x v="0"/>
    <n v="1045"/>
    <n v="188.75"/>
    <x v="0"/>
    <n v="12828770"/>
    <s v="Reydel B Alvarez, NP-C"/>
    <s v="Coronado Ridge Nursing and Rehab Center"/>
    <s v="Clinic"/>
    <s v="jobs4savitha@gmail.com"/>
    <x v="5"/>
    <s v="Trivandrum"/>
    <s v="Go"/>
    <n v="95.94"/>
    <n v="100"/>
    <x v="1"/>
    <n v="9"/>
    <m/>
    <x v="7"/>
    <m/>
    <m/>
    <n v="1440"/>
    <s v="No"/>
    <n v="595"/>
    <s v="Normal"/>
    <s v="Achieved"/>
    <n v="0"/>
    <m/>
    <m/>
    <m/>
    <m/>
    <d v="2026-03-16T00:00:00"/>
    <s v="Week12"/>
    <x v="13"/>
    <s v="Go"/>
    <n v="100"/>
    <n v="0"/>
    <n v="0"/>
    <s v="Aneesh"/>
    <s v="Aneesh"/>
    <s v="Aneesh"/>
    <s v="Minor"/>
    <s v="12828770Savitha Arun"/>
    <s v="Minor"/>
    <n v="0"/>
    <s v="Trivandrum"/>
    <x v="0"/>
    <n v="1"/>
    <n v="9"/>
    <s v="Devi Balu"/>
    <x v="1"/>
    <s v="awaiting_upload"/>
    <b v="0"/>
  </r>
  <r>
    <d v="2026-03-12T12:30:12"/>
    <d v="2026-03-12T18:00:12"/>
    <d v="2026-03-16T07:56:05"/>
    <d v="2026-03-16T13:26:05"/>
    <d v="2026-03-16T09:45:49"/>
    <d v="2026-03-16T13:26:05"/>
    <x v="0"/>
    <n v="1582"/>
    <n v="220.26669999999999"/>
    <x v="0"/>
    <n v="12828532"/>
    <s v="Mark Pushkash, Ph.D."/>
    <s v="Department Of Health Services - Wisconsin"/>
    <s v="Clinic"/>
    <s v="Tejasahm@gmail.com"/>
    <x v="7"/>
    <s v="Ahmedabad"/>
    <s v="No Go"/>
    <n v="144.94999999999999"/>
    <n v="97"/>
    <x v="2"/>
    <n v="3"/>
    <m/>
    <x v="6"/>
    <m/>
    <m/>
    <n v="1440"/>
    <s v="No"/>
    <n v="857"/>
    <s v="Normal"/>
    <s v="Achieved"/>
    <n v="0"/>
    <m/>
    <m/>
    <m/>
    <m/>
    <d v="2026-03-16T00:00:00"/>
    <s v="Week12"/>
    <x v="3"/>
    <s v="NoGo"/>
    <n v="97.93032080027595"/>
    <n v="3"/>
    <n v="3"/>
    <s v="Harsh"/>
    <s v="Ankit"/>
    <s v="Ankit"/>
    <s v="Major"/>
    <s v="12828532Tejas Patel"/>
    <s v="Major"/>
    <n v="1"/>
    <s v="Ahmedabad"/>
    <x v="1"/>
    <n v="1"/>
    <n v="3"/>
    <s v="Tejas Patel"/>
    <x v="0"/>
    <s v="awaiting_upload"/>
    <b v="1"/>
  </r>
  <r>
    <d v="2026-03-12T12:30:12"/>
    <d v="2026-03-12T18:00:12"/>
    <d v="2026-03-16T07:56:05"/>
    <d v="2026-03-16T13:26:05"/>
    <d v="2026-03-16T09:45:49"/>
    <d v="2026-03-16T13:26:05"/>
    <x v="0"/>
    <n v="1582"/>
    <n v="220.26669999999999"/>
    <x v="0"/>
    <n v="12828532"/>
    <s v="Mark Pushkash, Ph.D."/>
    <s v="Department Of Health Services - Wisconsin"/>
    <s v="Clinic"/>
    <s v="Tejasahm@gmail.com"/>
    <x v="7"/>
    <s v="Ahmedabad"/>
    <s v="No Go"/>
    <n v="144.94999999999999"/>
    <n v="97"/>
    <x v="1"/>
    <n v="2"/>
    <m/>
    <x v="6"/>
    <m/>
    <m/>
    <n v="1440"/>
    <s v="No"/>
    <n v="857"/>
    <s v="Normal"/>
    <s v="Achieved"/>
    <n v="0"/>
    <m/>
    <m/>
    <m/>
    <m/>
    <d v="2026-03-16T00:00:00"/>
    <s v="Week12"/>
    <x v="3"/>
    <s v="NoGo"/>
    <n v="97.93032080027595"/>
    <n v="0"/>
    <n v="3"/>
    <s v="Harsh"/>
    <s v="Ankit"/>
    <s v="Ankit"/>
    <s v="Minor"/>
    <s v="12828532Tejas Patel"/>
    <s v="Minor"/>
    <n v="0"/>
    <s v="Ahmedabad"/>
    <x v="0"/>
    <n v="1"/>
    <n v="2"/>
    <s v="Tejas Patel"/>
    <x v="0"/>
    <s v="awaiting_upload"/>
    <b v="0"/>
  </r>
  <r>
    <d v="2026-03-10T16:46:46"/>
    <d v="2026-03-10T22:16:46"/>
    <d v="2026-03-16T17:58:33"/>
    <d v="2026-03-16T23:28:33"/>
    <d v="2026-03-16T10:58:02"/>
    <d v="2026-03-16T23:28:33"/>
    <x v="0"/>
    <n v="454"/>
    <n v="750.51670000000001"/>
    <x v="0"/>
    <n v="12827876"/>
    <s v="Jeffrey C Brackett, MD, FACC"/>
    <s v="Cardiology Associates Medical Group"/>
    <s v="Clinic"/>
    <s v="PratheepKumar.a@cardioscribes.com"/>
    <x v="6"/>
    <s v="Chennai"/>
    <s v="Go"/>
    <n v="38.200000000000003"/>
    <n v="100"/>
    <x v="1"/>
    <n v="1"/>
    <m/>
    <x v="29"/>
    <m/>
    <m/>
    <n v="1440"/>
    <s v="No"/>
    <n v="142"/>
    <s v="Normal"/>
    <s v="Achieved"/>
    <n v="0"/>
    <m/>
    <m/>
    <m/>
    <m/>
    <d v="2026-03-16T00:00:00"/>
    <s v="Week12"/>
    <x v="12"/>
    <s v="Go"/>
    <n v="100"/>
    <n v="0"/>
    <n v="0"/>
    <s v="Harsh"/>
    <s v="Aneesh"/>
    <s v="Aneesh"/>
    <s v="Minor"/>
    <s v="12827876Pratheep Kumar"/>
    <s v="Minor"/>
    <n v="0"/>
    <s v="Trivandrum"/>
    <x v="0"/>
    <n v="1"/>
    <n v="1"/>
    <s v="Pratheep Kumar"/>
    <x v="0"/>
    <s v="awaiting_upload"/>
    <b v="0"/>
  </r>
  <r>
    <d v="2026-03-10T10:21:50"/>
    <d v="2026-03-10T15:51:50"/>
    <d v="2026-03-16T18:07:33"/>
    <d v="2026-03-16T23:37:33"/>
    <d v="2026-03-16T09:44:50"/>
    <d v="2026-03-16T23:37:33"/>
    <x v="0"/>
    <n v="531"/>
    <n v="832.71669999999995"/>
    <x v="0"/>
    <n v="12827655"/>
    <s v="David Radovich, Psy.D"/>
    <s v="Department Of Health Services - Wisconsin"/>
    <s v="Clinic"/>
    <s v="Tejasahm@gmail.com"/>
    <x v="7"/>
    <s v="Ahmedabad"/>
    <s v="Go"/>
    <n v="77.8"/>
    <n v="99"/>
    <x v="2"/>
    <n v="1"/>
    <m/>
    <x v="6"/>
    <m/>
    <m/>
    <n v="1440"/>
    <s v="No"/>
    <n v="399"/>
    <s v="Normal"/>
    <s v="Achieved"/>
    <n v="0"/>
    <m/>
    <m/>
    <m/>
    <m/>
    <d v="2026-03-16T00:00:00"/>
    <s v="Week12"/>
    <x v="3"/>
    <s v="Go"/>
    <n v="98.714652956298195"/>
    <n v="1"/>
    <n v="1"/>
    <s v="Harsh"/>
    <s v="Ankit"/>
    <s v="Ankit"/>
    <s v="Major"/>
    <s v="12827655Tejas Patel"/>
    <s v="Major"/>
    <n v="1"/>
    <s v="Ahmedabad"/>
    <x v="0"/>
    <n v="1"/>
    <n v="1"/>
    <s v="Tejas Patel"/>
    <x v="0"/>
    <s v="awaiting_upload"/>
    <b v="0"/>
  </r>
  <r>
    <d v="2026-03-09T19:24:10"/>
    <d v="2026-03-10T00:54:10"/>
    <d v="2026-03-16T18:13:09"/>
    <d v="2026-03-16T23:43:09"/>
    <d v="2026-03-16T10:57:32"/>
    <d v="2026-03-16T23:43:09"/>
    <x v="0"/>
    <n v="329"/>
    <n v="765.61670000000004"/>
    <x v="0"/>
    <n v="12827454"/>
    <s v="Adel M Sidky, MD FACC"/>
    <s v="Adel M Sidky, MD FACC"/>
    <s v="Clinic"/>
    <s v="jobs4savitha@gmail.com"/>
    <x v="5"/>
    <s v="Trivandrum"/>
    <s v="Go"/>
    <n v="55.94"/>
    <n v="99"/>
    <x v="3"/>
    <n v="1"/>
    <m/>
    <x v="30"/>
    <m/>
    <m/>
    <n v="1440"/>
    <s v="No"/>
    <n v="126"/>
    <s v="Normal"/>
    <s v="Achieved"/>
    <n v="0"/>
    <m/>
    <m/>
    <m/>
    <m/>
    <d v="2026-03-16T00:00:00"/>
    <s v="Week12"/>
    <x v="14"/>
    <s v="NoGo"/>
    <n v="98.212370396853771"/>
    <n v="1"/>
    <n v="1"/>
    <s v="Aneesh"/>
    <s v="Aneesh"/>
    <s v="Aneesh"/>
    <s v="Major"/>
    <s v="12827454Savitha Arun"/>
    <s v="Major"/>
    <n v="1"/>
    <s v="Trivandrum"/>
    <x v="1"/>
    <n v="1"/>
    <n v="1"/>
    <s v="Sandeep S"/>
    <x v="1"/>
    <s v="awaiting_upload"/>
    <b v="1"/>
  </r>
  <r>
    <d v="2026-03-09T19:24:10"/>
    <d v="2026-03-10T00:54:10"/>
    <d v="2026-03-16T18:13:09"/>
    <d v="2026-03-16T23:43:09"/>
    <d v="2026-03-16T10:57:32"/>
    <d v="2026-03-16T23:43:09"/>
    <x v="0"/>
    <n v="329"/>
    <n v="765.61670000000004"/>
    <x v="0"/>
    <n v="12827454"/>
    <s v="Adel M Sidky, MD FACC"/>
    <s v="Adel M Sidky, MD FACC"/>
    <s v="Clinic"/>
    <s v="jobs4savitha@gmail.com"/>
    <x v="5"/>
    <s v="Trivandrum"/>
    <s v="Go"/>
    <n v="55.94"/>
    <n v="99"/>
    <x v="1"/>
    <n v="1"/>
    <m/>
    <x v="30"/>
    <m/>
    <m/>
    <n v="1440"/>
    <s v="No"/>
    <n v="126"/>
    <s v="Normal"/>
    <s v="Achieved"/>
    <n v="0"/>
    <m/>
    <m/>
    <m/>
    <m/>
    <d v="2026-03-16T00:00:00"/>
    <s v="Week12"/>
    <x v="14"/>
    <s v="NoGo"/>
    <n v="98.212370396853771"/>
    <n v="0"/>
    <n v="1"/>
    <s v="Aneesh"/>
    <s v="Aneesh"/>
    <s v="Aneesh"/>
    <s v="Minor"/>
    <s v="12827454Savitha Arun"/>
    <s v="Minor"/>
    <n v="0"/>
    <s v="Trivandrum"/>
    <x v="0"/>
    <n v="1"/>
    <n v="1"/>
    <s v="Sandeep S"/>
    <x v="1"/>
    <s v="awaiting_upload"/>
    <b v="0"/>
  </r>
  <r>
    <d v="2026-03-10T16:10:20"/>
    <d v="2026-03-10T21:40:20"/>
    <d v="2026-03-16T18:23:13"/>
    <d v="2026-03-16T23:53:13"/>
    <d v="2026-03-16T09:45:13"/>
    <d v="2026-03-16T23:53:13"/>
    <x v="0"/>
    <n v="627"/>
    <n v="848"/>
    <x v="0"/>
    <n v="12827753"/>
    <s v="David Radovich, Psy.D"/>
    <s v="Department Of Health Services - Wisconsin"/>
    <s v="Clinic"/>
    <s v="Tejasahm@gmail.com"/>
    <x v="7"/>
    <s v="Ahmedabad"/>
    <s v="Go"/>
    <n v="76.45"/>
    <n v="99"/>
    <x v="2"/>
    <n v="1"/>
    <m/>
    <x v="6"/>
    <m/>
    <m/>
    <n v="1440"/>
    <s v="No"/>
    <n v="416"/>
    <s v="Normal"/>
    <s v="Achieved"/>
    <n v="0"/>
    <m/>
    <m/>
    <m/>
    <m/>
    <d v="2026-03-16T00:00:00"/>
    <s v="Week12"/>
    <x v="3"/>
    <s v="Go"/>
    <n v="98.691955526487902"/>
    <n v="1"/>
    <n v="1"/>
    <s v="Harsh"/>
    <s v="Ankit"/>
    <s v="Ankit"/>
    <s v="Major"/>
    <s v="12827753Tejas Patel"/>
    <s v="Major"/>
    <n v="1"/>
    <s v="Ahmedabad"/>
    <x v="1"/>
    <n v="1"/>
    <n v="1"/>
    <s v="Tejas Patel"/>
    <x v="0"/>
    <s v="awaiting_upload"/>
    <b v="1"/>
  </r>
  <r>
    <d v="2026-03-10T16:10:20"/>
    <d v="2026-03-10T21:40:20"/>
    <d v="2026-03-16T18:23:13"/>
    <d v="2026-03-16T23:53:13"/>
    <d v="2026-03-16T09:45:13"/>
    <d v="2026-03-16T23:53:13"/>
    <x v="0"/>
    <n v="627"/>
    <n v="848"/>
    <x v="0"/>
    <n v="12827753"/>
    <s v="David Radovich, Psy.D"/>
    <s v="Department Of Health Services - Wisconsin"/>
    <s v="Clinic"/>
    <s v="Tejasahm@gmail.com"/>
    <x v="7"/>
    <s v="Ahmedabad"/>
    <s v="Go"/>
    <n v="76.45"/>
    <n v="99"/>
    <x v="1"/>
    <n v="2"/>
    <m/>
    <x v="6"/>
    <m/>
    <m/>
    <n v="1440"/>
    <s v="No"/>
    <n v="416"/>
    <s v="Normal"/>
    <s v="Achieved"/>
    <n v="0"/>
    <m/>
    <m/>
    <m/>
    <m/>
    <d v="2026-03-16T00:00:00"/>
    <s v="Week12"/>
    <x v="3"/>
    <s v="Go"/>
    <n v="98.691955526487902"/>
    <n v="0"/>
    <n v="1"/>
    <s v="Harsh"/>
    <s v="Ankit"/>
    <s v="Ankit"/>
    <s v="Minor"/>
    <s v="12827753Tejas Patel"/>
    <s v="Minor"/>
    <n v="0"/>
    <s v="Ahmedabad"/>
    <x v="0"/>
    <n v="1"/>
    <n v="2"/>
    <s v="Tejas Patel"/>
    <x v="0"/>
    <s v="awaiting_upload"/>
    <b v="0"/>
  </r>
  <r>
    <d v="2026-03-10T12:51:36"/>
    <d v="2026-03-10T18:21:36"/>
    <d v="2026-03-16T18:30:14"/>
    <d v="2026-03-17T00:00:14"/>
    <d v="2026-03-16T09:46:30"/>
    <d v="2026-03-17T00:00:14"/>
    <x v="0"/>
    <n v="405"/>
    <n v="853.73329999999999"/>
    <x v="0"/>
    <n v="12827742"/>
    <s v="Jonathan Still, MD"/>
    <s v="Harmon Medical And Rehabilitation Hospital"/>
    <s v="Clinic"/>
    <s v="gopalrajith@gmail.com"/>
    <x v="4"/>
    <s v="Trivandrum"/>
    <s v="Go"/>
    <n v="77.17"/>
    <n v="100"/>
    <x v="1"/>
    <n v="4"/>
    <m/>
    <x v="2"/>
    <m/>
    <m/>
    <n v="1440"/>
    <s v="No"/>
    <n v="278"/>
    <s v="Normal"/>
    <s v="Achieved"/>
    <n v="0"/>
    <m/>
    <m/>
    <m/>
    <m/>
    <d v="2026-03-17T00:00:00"/>
    <s v="Week12"/>
    <x v="2"/>
    <s v="Go"/>
    <n v="100"/>
    <n v="0"/>
    <n v="0"/>
    <s v="Aneesh"/>
    <s v="Aneesh"/>
    <s v="Aneesh"/>
    <s v="Minor"/>
    <s v="12827742Gopal Rajith"/>
    <s v="Minor"/>
    <n v="0"/>
    <s v="Trivandrum"/>
    <x v="0"/>
    <n v="1"/>
    <n v="4"/>
    <s v="Gopal Rajith"/>
    <x v="0"/>
    <s v="awaiting_bb"/>
    <b v="0"/>
  </r>
  <r>
    <d v="2026-03-11T08:31:12"/>
    <d v="2026-03-11T14:01:12"/>
    <d v="2026-03-17T06:05:53"/>
    <d v="2026-03-17T11:35:53"/>
    <d v="2026-03-16T10:57:20"/>
    <d v="2026-03-17T11:35:53"/>
    <x v="0"/>
    <n v="732"/>
    <n v="1478.55"/>
    <x v="0"/>
    <n v="12828056"/>
    <s v="Austin Christensen, MD"/>
    <s v="Harmon Medical And Rehabilitation Hospital"/>
    <s v="Clinic"/>
    <s v="gopalrajith@gmail.com"/>
    <x v="4"/>
    <s v="Trivandrum"/>
    <s v="Go"/>
    <n v="70.180000000000007"/>
    <n v="100"/>
    <x v="0"/>
    <n v="0"/>
    <m/>
    <x v="2"/>
    <m/>
    <m/>
    <n v="1440"/>
    <s v="No"/>
    <n v="203"/>
    <s v="Normal"/>
    <s v="Achieved"/>
    <n v="0"/>
    <m/>
    <m/>
    <m/>
    <m/>
    <d v="2026-03-17T00:00:00"/>
    <s v="Week12"/>
    <x v="2"/>
    <s v="Go"/>
    <n v="100"/>
    <n v="0"/>
    <n v="0"/>
    <s v="Aneesh"/>
    <s v="Aneesh"/>
    <s v="Aneesh"/>
    <s v=""/>
    <s v="12828056Gopal Rajith"/>
    <s v=""/>
    <s v=""/>
    <s v="Trivandrum"/>
    <x v="0"/>
    <s v=""/>
    <n v="0"/>
    <s v="Gopal Rajith"/>
    <x v="0"/>
    <s v="awaiting_upload"/>
    <b v="0"/>
  </r>
  <r>
    <d v="2026-03-10T14:01:02"/>
    <d v="2026-03-10T19:31:02"/>
    <d v="2026-03-17T06:27:51"/>
    <d v="2026-03-17T11:57:51"/>
    <d v="2026-03-16T09:45:03"/>
    <d v="2026-03-17T11:57:51"/>
    <x v="0"/>
    <n v="1014"/>
    <n v="1572.8"/>
    <x v="0"/>
    <n v="12827728"/>
    <s v="Kurt L Reintjes, MD"/>
    <s v="Department Of Health Services - Wisconsin"/>
    <s v="Clinic"/>
    <s v="PratheepKumar.a@cardioscribes.com"/>
    <x v="6"/>
    <s v="Chennai"/>
    <s v="Go"/>
    <n v="83.65"/>
    <n v="99"/>
    <x v="6"/>
    <n v="1"/>
    <m/>
    <x v="31"/>
    <m/>
    <m/>
    <n v="1440"/>
    <s v="No"/>
    <n v="399"/>
    <s v="Normal"/>
    <s v="Achieved"/>
    <n v="0"/>
    <m/>
    <m/>
    <m/>
    <m/>
    <d v="2026-03-17T00:00:00"/>
    <s v="Week12"/>
    <x v="3"/>
    <s v="Go"/>
    <n v="98.804542737597131"/>
    <n v="1"/>
    <n v="1"/>
    <s v="Harsh"/>
    <s v="Aneesh"/>
    <s v="Aneesh"/>
    <s v="Major"/>
    <s v="12827728Pratheep Kumar"/>
    <s v="Major"/>
    <n v="1"/>
    <s v="Trivandrum"/>
    <x v="1"/>
    <n v="1"/>
    <n v="1"/>
    <s v="Pratheep Kumar"/>
    <x v="0"/>
    <s v="awaiting_upload"/>
    <b v="1"/>
  </r>
  <r>
    <d v="2026-03-10T14:01:02"/>
    <d v="2026-03-10T19:31:02"/>
    <d v="2026-03-17T06:27:51"/>
    <d v="2026-03-17T11:57:51"/>
    <d v="2026-03-16T09:45:03"/>
    <d v="2026-03-17T11:57:51"/>
    <x v="0"/>
    <n v="1014"/>
    <n v="1572.8"/>
    <x v="0"/>
    <n v="12827728"/>
    <s v="Kurt L Reintjes, MD"/>
    <s v="Department Of Health Services - Wisconsin"/>
    <s v="Clinic"/>
    <s v="PratheepKumar.a@cardioscribes.com"/>
    <x v="6"/>
    <s v="Chennai"/>
    <s v="Go"/>
    <n v="83.65"/>
    <n v="99"/>
    <x v="1"/>
    <n v="4"/>
    <m/>
    <x v="31"/>
    <m/>
    <m/>
    <n v="1440"/>
    <s v="No"/>
    <n v="399"/>
    <s v="Normal"/>
    <s v="Achieved"/>
    <n v="0"/>
    <m/>
    <m/>
    <m/>
    <m/>
    <d v="2026-03-17T00:00:00"/>
    <s v="Week12"/>
    <x v="3"/>
    <s v="Go"/>
    <n v="98.804542737597131"/>
    <n v="0"/>
    <n v="1"/>
    <s v="Harsh"/>
    <s v="Aneesh"/>
    <s v="Aneesh"/>
    <s v="Minor"/>
    <s v="12827728Pratheep Kumar"/>
    <s v="Minor"/>
    <n v="0"/>
    <s v="Trivandrum"/>
    <x v="0"/>
    <n v="1"/>
    <n v="4"/>
    <s v="Pratheep Kumar"/>
    <x v="0"/>
    <s v="awaiting_upload"/>
    <b v="0"/>
  </r>
  <r>
    <d v="2026-03-12T12:27:38"/>
    <d v="2026-03-12T17:57:38"/>
    <d v="2026-03-17T06:48:45"/>
    <d v="2026-03-17T12:18:45"/>
    <d v="2026-03-16T09:45:40"/>
    <d v="2026-03-17T12:18:45"/>
    <x v="0"/>
    <n v="2015"/>
    <n v="1593.0833"/>
    <x v="0"/>
    <n v="12828531"/>
    <s v="Rebecca Flegner, PsyD"/>
    <s v="Department Of Health Services - Wisconsin"/>
    <s v="Clinic"/>
    <s v="PratheepKumar.a@cardioscribes.com"/>
    <x v="6"/>
    <s v="Chennai"/>
    <s v="No Go"/>
    <n v="124.25"/>
    <n v="95"/>
    <x v="2"/>
    <n v="5"/>
    <m/>
    <x v="6"/>
    <m/>
    <m/>
    <n v="1440"/>
    <s v="No"/>
    <n v="620"/>
    <s v="Normal"/>
    <s v="Achieved"/>
    <n v="1"/>
    <m/>
    <m/>
    <m/>
    <m/>
    <d v="2026-03-17T00:00:00"/>
    <s v="Week12"/>
    <x v="3"/>
    <s v="NoGo"/>
    <n v="95.975855130784709"/>
    <n v="5"/>
    <n v="5"/>
    <s v="Harsh"/>
    <s v="Aneesh"/>
    <s v="Aneesh"/>
    <s v="Major"/>
    <s v="12828531Pratheep Kumar"/>
    <s v="Major"/>
    <n v="1"/>
    <s v="Trivandrum"/>
    <x v="1"/>
    <n v="1"/>
    <n v="5"/>
    <s v="Pratheep Kumar"/>
    <x v="0"/>
    <s v="awaiting_upload"/>
    <b v="1"/>
  </r>
  <r>
    <d v="2026-03-12T12:27:38"/>
    <d v="2026-03-12T17:57:38"/>
    <d v="2026-03-17T06:48:45"/>
    <d v="2026-03-17T12:18:45"/>
    <d v="2026-03-16T09:45:40"/>
    <d v="2026-03-17T12:18:45"/>
    <x v="0"/>
    <n v="2015"/>
    <n v="1593.0833"/>
    <x v="0"/>
    <n v="12828531"/>
    <s v="Rebecca Flegner, PsyD"/>
    <s v="Department Of Health Services - Wisconsin"/>
    <s v="Clinic"/>
    <s v="PratheepKumar.a@cardioscribes.com"/>
    <x v="6"/>
    <s v="Chennai"/>
    <s v="No Go"/>
    <n v="124.25"/>
    <n v="95"/>
    <x v="1"/>
    <n v="3"/>
    <m/>
    <x v="6"/>
    <m/>
    <m/>
    <n v="1440"/>
    <s v="No"/>
    <n v="620"/>
    <s v="Normal"/>
    <s v="Achieved"/>
    <n v="1"/>
    <m/>
    <m/>
    <m/>
    <m/>
    <d v="2026-03-17T00:00:00"/>
    <s v="Week12"/>
    <x v="3"/>
    <s v="NoGo"/>
    <n v="95.975855130784709"/>
    <n v="0"/>
    <n v="5"/>
    <s v="Harsh"/>
    <s v="Aneesh"/>
    <s v="Aneesh"/>
    <s v="Minor"/>
    <s v="12828531Pratheep Kumar"/>
    <s v="Minor"/>
    <n v="0"/>
    <s v="Trivandrum"/>
    <x v="0"/>
    <n v="1"/>
    <n v="3"/>
    <s v="Pratheep Kumar"/>
    <x v="0"/>
    <s v="awaiting_upload"/>
    <b v="0"/>
  </r>
  <r>
    <d v="2026-03-12T11:38:13"/>
    <d v="2026-03-12T17:08:13"/>
    <d v="2026-03-17T07:03:15"/>
    <d v="2026-03-17T12:33:15"/>
    <d v="2026-03-16T09:46:21"/>
    <d v="2026-03-17T12:33:15"/>
    <x v="0"/>
    <n v="798"/>
    <n v="1606.9"/>
    <x v="0"/>
    <n v="12828503"/>
    <s v="Kurt L Reintjes, MD"/>
    <s v="Department Of Health Services - Wisconsin"/>
    <s v="Clinic"/>
    <s v="PratheepKumar.a@cardioscribes.com"/>
    <x v="6"/>
    <s v="Chennai"/>
    <s v="Go"/>
    <n v="53.08"/>
    <n v="100"/>
    <x v="0"/>
    <n v="0"/>
    <m/>
    <x v="32"/>
    <m/>
    <m/>
    <n v="1440"/>
    <s v="No"/>
    <n v="327"/>
    <s v="Normal"/>
    <s v="Achieved"/>
    <n v="0"/>
    <m/>
    <m/>
    <m/>
    <m/>
    <d v="2026-03-17T00:00:00"/>
    <s v="Week12"/>
    <x v="3"/>
    <s v="Go"/>
    <n v="100"/>
    <n v="0"/>
    <n v="0"/>
    <s v="Harsh"/>
    <s v="Aneesh"/>
    <s v="Aneesh"/>
    <s v=""/>
    <s v="12828503Pratheep Kumar"/>
    <s v=""/>
    <s v=""/>
    <s v="Trivandrum"/>
    <x v="0"/>
    <s v=""/>
    <n v="0"/>
    <s v="Pratheep Kumar"/>
    <x v="0"/>
    <s v="awaiting_upload"/>
    <b v="0"/>
  </r>
  <r>
    <d v="2026-03-11T17:44:17"/>
    <d v="2026-03-11T23:14:17"/>
    <d v="2026-03-17T07:14:42"/>
    <d v="2026-03-17T12:44:42"/>
    <d v="2026-03-17T09:41:37"/>
    <d v="2026-03-17T12:44:42"/>
    <x v="0"/>
    <n v="554"/>
    <n v="183.08330000000001"/>
    <x v="0"/>
    <n v="12828364"/>
    <s v="Melissa Murillo, PA"/>
    <s v="Cardiology Associates Medical Group"/>
    <s v="Clinic"/>
    <s v="Tejasahm@gmail.com"/>
    <x v="7"/>
    <s v="Ahmedabad"/>
    <s v="Go"/>
    <n v="59.46"/>
    <n v="99"/>
    <x v="6"/>
    <n v="1"/>
    <m/>
    <x v="29"/>
    <m/>
    <m/>
    <n v="1440"/>
    <s v="No"/>
    <n v="291"/>
    <s v="Normal"/>
    <s v="Achieved"/>
    <n v="0"/>
    <m/>
    <m/>
    <m/>
    <m/>
    <d v="2026-03-17T00:00:00"/>
    <s v="Week12"/>
    <x v="12"/>
    <s v="NoGo"/>
    <n v="98.318197107299028"/>
    <n v="1"/>
    <n v="1"/>
    <s v="Harsh"/>
    <s v="Ankit"/>
    <s v="Ankit"/>
    <s v="Major"/>
    <s v="12828364Tejas Patel"/>
    <s v="Major"/>
    <n v="1"/>
    <s v="Ahmedabad"/>
    <x v="1"/>
    <n v="1"/>
    <n v="1"/>
    <s v="Tejas Patel"/>
    <x v="0"/>
    <s v="awaiting_upload"/>
    <b v="1"/>
  </r>
  <r>
    <d v="2026-03-11T17:44:17"/>
    <d v="2026-03-11T23:14:17"/>
    <d v="2026-03-17T07:14:42"/>
    <d v="2026-03-17T12:44:42"/>
    <d v="2026-03-17T09:41:37"/>
    <d v="2026-03-17T12:44:42"/>
    <x v="0"/>
    <n v="554"/>
    <n v="183.08330000000001"/>
    <x v="0"/>
    <n v="12828364"/>
    <s v="Melissa Murillo, PA"/>
    <s v="Cardiology Associates Medical Group"/>
    <s v="Clinic"/>
    <s v="Tejasahm@gmail.com"/>
    <x v="7"/>
    <s v="Ahmedabad"/>
    <s v="Go"/>
    <n v="59.46"/>
    <n v="99"/>
    <x v="1"/>
    <n v="1"/>
    <m/>
    <x v="29"/>
    <m/>
    <m/>
    <n v="1440"/>
    <s v="No"/>
    <n v="291"/>
    <s v="Normal"/>
    <s v="Achieved"/>
    <n v="0"/>
    <m/>
    <m/>
    <m/>
    <m/>
    <d v="2026-03-17T00:00:00"/>
    <s v="Week12"/>
    <x v="12"/>
    <s v="NoGo"/>
    <n v="98.318197107299028"/>
    <n v="0"/>
    <n v="1"/>
    <s v="Harsh"/>
    <s v="Ankit"/>
    <s v="Ankit"/>
    <s v="Minor"/>
    <s v="12828364Tejas Patel"/>
    <s v="Minor"/>
    <n v="0"/>
    <s v="Ahmedabad"/>
    <x v="0"/>
    <n v="1"/>
    <n v="1"/>
    <s v="Tejas Patel"/>
    <x v="0"/>
    <s v="awaiting_upload"/>
    <b v="0"/>
  </r>
  <r>
    <d v="2026-03-12T11:25:39"/>
    <d v="2026-03-12T16:55:39"/>
    <d v="2026-03-17T07:32:06"/>
    <d v="2026-03-17T13:02:06"/>
    <d v="2026-03-16T09:46:08"/>
    <d v="2026-03-17T13:02:06"/>
    <x v="0"/>
    <n v="939"/>
    <n v="1635.9666999999999"/>
    <x v="0"/>
    <n v="12828541"/>
    <s v="Jonathan Still, MD"/>
    <s v="Harmon Medical And Rehabilitation Hospital"/>
    <s v="Clinic"/>
    <s v="jobs4savitha@gmail.com"/>
    <x v="5"/>
    <s v="Trivandrum"/>
    <s v="Go"/>
    <n v="74.02"/>
    <n v="100"/>
    <x v="1"/>
    <n v="2"/>
    <m/>
    <x v="2"/>
    <m/>
    <m/>
    <n v="1440"/>
    <s v="No"/>
    <n v="340"/>
    <s v="Normal"/>
    <s v="Achieved"/>
    <n v="1"/>
    <m/>
    <m/>
    <m/>
    <m/>
    <d v="2026-03-17T00:00:00"/>
    <s v="Week12"/>
    <x v="2"/>
    <s v="Go"/>
    <n v="100"/>
    <n v="0"/>
    <n v="0"/>
    <s v="Aneesh"/>
    <s v="Aneesh"/>
    <s v="Aneesh"/>
    <s v="Minor"/>
    <s v="12828541Savitha Arun"/>
    <s v="Minor"/>
    <n v="0"/>
    <s v="Trivandrum"/>
    <x v="0"/>
    <n v="1"/>
    <n v="2"/>
    <s v="Prasanth Sivan"/>
    <x v="1"/>
    <s v="awaiting_upload"/>
    <b v="0"/>
  </r>
  <r>
    <d v="2026-03-16T21:48:15"/>
    <d v="2026-03-17T03:18:15"/>
    <d v="2026-03-17T17:29:09"/>
    <d v="2026-03-17T22:59:09"/>
    <d v="2026-03-17T19:30:04"/>
    <d v="2026-03-17T22:59:09"/>
    <x v="0"/>
    <n v="435"/>
    <n v="209.08330000000001"/>
    <x v="0"/>
    <n v="12829564"/>
    <s v="Blake Little, MD"/>
    <s v="Hillsboro Area Hospital"/>
    <s v="Clinic"/>
    <s v="sandeepskn88@gmail.com"/>
    <x v="1"/>
    <s v="Trivandrum"/>
    <s v="Go"/>
    <n v="32.68"/>
    <n v="99"/>
    <x v="4"/>
    <n v="1"/>
    <m/>
    <x v="13"/>
    <m/>
    <m/>
    <n v="1440"/>
    <s v="No"/>
    <n v="241"/>
    <s v="Normal"/>
    <s v="Null"/>
    <n v="0"/>
    <m/>
    <m/>
    <m/>
    <m/>
    <d v="2026-03-17T00:00:00"/>
    <s v="Week12"/>
    <x v="0"/>
    <s v="NoGo"/>
    <n v="96.940024479804165"/>
    <n v="1"/>
    <n v="1"/>
    <s v="Aneesh"/>
    <s v="Aneesh"/>
    <s v="Aneesh"/>
    <s v="Major"/>
    <s v="12829564Sandeep S"/>
    <s v="Major"/>
    <n v="1"/>
    <s v="Trivandrum"/>
    <x v="0"/>
    <n v="1"/>
    <n v="1"/>
    <s v="Sandeep S"/>
    <x v="0"/>
    <s v="awaiting_upload"/>
    <b v="0"/>
  </r>
  <r>
    <d v="2026-03-13T14:40:13"/>
    <d v="2026-03-13T20:10:13"/>
    <d v="2026-03-17T17:35:40"/>
    <d v="2026-03-17T23:05:40"/>
    <d v="2026-03-17T14:49:06"/>
    <d v="2026-03-17T23:05:40"/>
    <x v="0"/>
    <n v="370"/>
    <n v="496.56670000000003"/>
    <x v="0"/>
    <n v="12828958"/>
    <s v="James A Young, MD"/>
    <s v="Peterson Regional Medical Center"/>
    <s v="Clinic"/>
    <s v="sandeepskn88@gmail.com"/>
    <x v="1"/>
    <s v="Trivandrum"/>
    <s v="Go"/>
    <n v="42.35"/>
    <n v="100"/>
    <x v="0"/>
    <n v="0"/>
    <m/>
    <x v="33"/>
    <m/>
    <m/>
    <n v="1440"/>
    <s v="No"/>
    <n v="297"/>
    <s v="Normal"/>
    <s v="Achieved"/>
    <n v="0"/>
    <m/>
    <m/>
    <m/>
    <m/>
    <d v="2026-03-17T00:00:00"/>
    <s v="Week12"/>
    <x v="4"/>
    <s v="Go"/>
    <n v="100"/>
    <n v="0"/>
    <n v="0"/>
    <s v="Aneesh"/>
    <s v="Aneesh"/>
    <s v="Aneesh"/>
    <s v=""/>
    <s v="12828958Sandeep S"/>
    <s v=""/>
    <s v=""/>
    <s v="Trivandrum"/>
    <x v="0"/>
    <s v=""/>
    <n v="0"/>
    <s v="Sandeep S"/>
    <x v="0"/>
    <s v="awaiting_upload"/>
    <b v="0"/>
  </r>
  <r>
    <d v="2026-03-15T16:32:16"/>
    <d v="2026-03-15T22:02:16"/>
    <d v="2026-03-17T18:00:06"/>
    <d v="2026-03-17T23:30:06"/>
    <d v="2026-03-17T19:30:39"/>
    <d v="2026-03-17T23:30:06"/>
    <x v="0"/>
    <n v="178"/>
    <n v="239.45"/>
    <x v="0"/>
    <n v="12829210"/>
    <s v="Blake Little, MD"/>
    <s v="Hillsboro Area Hospital"/>
    <s v="Clinic"/>
    <s v="sandeepskn88@gmail.com"/>
    <x v="1"/>
    <s v="Trivandrum"/>
    <s v="Go"/>
    <n v="22.09"/>
    <n v="100"/>
    <x v="1"/>
    <n v="1"/>
    <m/>
    <x v="13"/>
    <m/>
    <m/>
    <n v="1440"/>
    <s v="No"/>
    <n v="142"/>
    <s v="Normal"/>
    <s v="Achieved"/>
    <n v="0"/>
    <m/>
    <m/>
    <m/>
    <m/>
    <d v="2026-03-17T00:00:00"/>
    <s v="Week12"/>
    <x v="0"/>
    <s v="Go"/>
    <n v="100"/>
    <n v="0"/>
    <n v="0"/>
    <s v="Aneesh"/>
    <s v="Aneesh"/>
    <s v="Aneesh"/>
    <s v="Minor"/>
    <s v="12829210Sandeep S"/>
    <s v="Minor"/>
    <n v="0"/>
    <s v="Trivandrum"/>
    <x v="0"/>
    <n v="1"/>
    <n v="1"/>
    <s v="Sandeep S"/>
    <x v="0"/>
    <s v="awaiting_upload"/>
    <b v="0"/>
  </r>
  <r>
    <d v="2026-03-13T09:17:14"/>
    <d v="2026-03-13T14:47:14"/>
    <d v="2026-03-17T18:09:45"/>
    <d v="2026-03-17T23:39:45"/>
    <d v="2026-03-17T14:50:21"/>
    <d v="2026-03-17T23:39:45"/>
    <x v="0"/>
    <n v="533"/>
    <n v="529.4"/>
    <x v="0"/>
    <n v="12828836"/>
    <s v="Paul Valenza, DPM"/>
    <s v="Peterson Regional Medical Center"/>
    <s v="Clinic"/>
    <s v="ushaaaam40@gmail.com"/>
    <x v="2"/>
    <s v="Trivandrum"/>
    <s v="Go"/>
    <n v="65.319999999999993"/>
    <n v="99"/>
    <x v="2"/>
    <n v="1"/>
    <m/>
    <x v="11"/>
    <m/>
    <m/>
    <n v="1440"/>
    <s v="No"/>
    <n v="405"/>
    <s v="Normal"/>
    <s v="Achieved"/>
    <n v="2"/>
    <m/>
    <m/>
    <m/>
    <m/>
    <d v="2026-03-17T00:00:00"/>
    <s v="Week12"/>
    <x v="4"/>
    <s v="NoGo"/>
    <n v="98.469075321494188"/>
    <n v="1"/>
    <n v="1"/>
    <s v="Aneesh"/>
    <s v="Aneesh"/>
    <s v="Aneesh"/>
    <s v="Major"/>
    <s v="12828836Usha M"/>
    <s v="Major"/>
    <n v="1"/>
    <s v="Trivandrum"/>
    <x v="1"/>
    <n v="1"/>
    <n v="1"/>
    <s v="Usha M"/>
    <x v="0"/>
    <s v="awaiting_bb"/>
    <b v="1"/>
  </r>
  <r>
    <d v="2026-03-13T09:17:14"/>
    <d v="2026-03-13T14:47:14"/>
    <d v="2026-03-17T18:09:45"/>
    <d v="2026-03-17T23:39:45"/>
    <d v="2026-03-17T14:50:21"/>
    <d v="2026-03-17T23:39:45"/>
    <x v="0"/>
    <n v="533"/>
    <n v="529.4"/>
    <x v="0"/>
    <n v="12828836"/>
    <s v="Paul Valenza, DPM"/>
    <s v="Peterson Regional Medical Center"/>
    <s v="Clinic"/>
    <s v="ushaaaam40@gmail.com"/>
    <x v="2"/>
    <s v="Trivandrum"/>
    <s v="Go"/>
    <n v="65.319999999999993"/>
    <n v="99"/>
    <x v="1"/>
    <n v="1"/>
    <m/>
    <x v="11"/>
    <m/>
    <m/>
    <n v="1440"/>
    <s v="No"/>
    <n v="405"/>
    <s v="Normal"/>
    <s v="Achieved"/>
    <n v="2"/>
    <m/>
    <m/>
    <m/>
    <m/>
    <d v="2026-03-17T00:00:00"/>
    <s v="Week12"/>
    <x v="4"/>
    <s v="NoGo"/>
    <n v="98.469075321494188"/>
    <n v="0"/>
    <n v="1"/>
    <s v="Aneesh"/>
    <s v="Aneesh"/>
    <s v="Aneesh"/>
    <s v="Minor"/>
    <s v="12828836Usha M"/>
    <s v="Minor"/>
    <n v="0"/>
    <s v="Trivandrum"/>
    <x v="0"/>
    <n v="1"/>
    <n v="1"/>
    <s v="Usha M"/>
    <x v="0"/>
    <s v="awaiting_bb"/>
    <b v="0"/>
  </r>
  <r>
    <d v="2026-03-10T13:11:02"/>
    <d v="2026-03-10T18:41:02"/>
    <d v="2026-03-17T18:16:49"/>
    <d v="2026-03-17T23:46:49"/>
    <d v="2026-03-17T14:50:49"/>
    <d v="2026-03-17T23:46:49"/>
    <x v="0"/>
    <n v="413"/>
    <n v="536"/>
    <x v="0"/>
    <n v="12827698"/>
    <s v="Ralph J Fritzsch, MD"/>
    <s v="Peterson Regional Medical Center"/>
    <s v="Clinic"/>
    <s v="ushaaaam40@gmail.com"/>
    <x v="2"/>
    <s v="Trivandrum"/>
    <s v="Go"/>
    <n v="53.66"/>
    <n v="100"/>
    <x v="1"/>
    <n v="1"/>
    <m/>
    <x v="9"/>
    <m/>
    <m/>
    <n v="720"/>
    <s v="No"/>
    <n v="412"/>
    <s v="Normal"/>
    <s v="Achieved"/>
    <n v="0"/>
    <m/>
    <m/>
    <m/>
    <m/>
    <d v="2026-03-17T00:00:00"/>
    <s v="Week12"/>
    <x v="4"/>
    <s v="Go"/>
    <n v="100"/>
    <n v="0"/>
    <n v="0"/>
    <s v="Aneesh"/>
    <s v="Aneesh"/>
    <s v="Aneesh"/>
    <s v="Minor"/>
    <s v="12827698Usha M"/>
    <s v="Minor"/>
    <n v="0"/>
    <s v="Trivandrum"/>
    <x v="0"/>
    <n v="1"/>
    <n v="1"/>
    <s v="Usha M"/>
    <x v="0"/>
    <s v="awaiting_upload"/>
    <b v="0"/>
  </r>
  <r>
    <d v="2026-03-10T08:31:52"/>
    <d v="2026-03-10T14:01:52"/>
    <d v="2026-03-17T18:20:20"/>
    <d v="2026-03-17T23:50:20"/>
    <d v="2026-03-17T14:51:35"/>
    <d v="2026-03-17T23:50:20"/>
    <x v="0"/>
    <n v="231"/>
    <n v="538.75"/>
    <x v="0"/>
    <n v="12827628"/>
    <s v="Joseph Blaser, DO"/>
    <s v="Hillsboro Area Hospital"/>
    <s v="Clinic"/>
    <s v="ushaaaam40@gmail.com"/>
    <x v="2"/>
    <s v="Trivandrum"/>
    <s v="Go"/>
    <n v="35.32"/>
    <n v="100"/>
    <x v="0"/>
    <n v="0"/>
    <m/>
    <x v="0"/>
    <m/>
    <m/>
    <n v="120"/>
    <s v="No"/>
    <n v="152"/>
    <s v="Normal"/>
    <s v="Achieved"/>
    <n v="0"/>
    <m/>
    <m/>
    <m/>
    <m/>
    <d v="2026-03-17T00:00:00"/>
    <s v="Week12"/>
    <x v="0"/>
    <s v="Go"/>
    <n v="100"/>
    <n v="0"/>
    <n v="0"/>
    <s v="Aneesh"/>
    <s v="Aneesh"/>
    <s v="Aneesh"/>
    <s v=""/>
    <s v="12827628Usha M"/>
    <s v=""/>
    <s v=""/>
    <s v="Trivandrum"/>
    <x v="0"/>
    <s v=""/>
    <n v="0"/>
    <s v="Usha M"/>
    <x v="0"/>
    <s v="awaiting_upload"/>
    <b v="0"/>
  </r>
  <r>
    <d v="2026-03-14T10:40:23"/>
    <d v="2026-03-14T16:10:23"/>
    <d v="2026-03-17T18:25:08"/>
    <d v="2026-03-17T23:55:08"/>
    <d v="2026-03-17T19:31:05"/>
    <d v="2026-03-17T23:55:08"/>
    <x v="0"/>
    <n v="269"/>
    <n v="264.05"/>
    <x v="0"/>
    <n v="12829125"/>
    <s v="Blake Little, MD"/>
    <s v="Hillsboro Area Hospital"/>
    <s v="Clinic"/>
    <s v="ushaaaam40@gmail.com"/>
    <x v="2"/>
    <s v="Trivandrum"/>
    <s v="Go"/>
    <n v="32.35"/>
    <n v="99"/>
    <x v="7"/>
    <n v="1"/>
    <m/>
    <x v="13"/>
    <m/>
    <m/>
    <n v="1440"/>
    <s v="No"/>
    <n v="180"/>
    <s v="Normal"/>
    <s v="Achieved"/>
    <n v="0"/>
    <m/>
    <m/>
    <m/>
    <m/>
    <d v="2026-03-17T00:00:00"/>
    <s v="Week12"/>
    <x v="0"/>
    <s v="NoGo"/>
    <n v="96.908809891808346"/>
    <n v="1"/>
    <n v="1"/>
    <s v="Aneesh"/>
    <s v="Aneesh"/>
    <s v="Aneesh"/>
    <s v="Major"/>
    <s v="12829125Usha M"/>
    <s v="Major"/>
    <n v="1"/>
    <s v="Trivandrum"/>
    <x v="0"/>
    <n v="1"/>
    <n v="1"/>
    <s v="Usha M"/>
    <x v="0"/>
    <s v="awaiting_upload"/>
    <b v="0"/>
  </r>
  <r>
    <d v="2026-03-13T09:21:31"/>
    <d v="2026-03-13T14:51:31"/>
    <d v="2026-03-17T18:28:56"/>
    <d v="2026-03-17T23:58:56"/>
    <d v="2026-03-17T14:51:45"/>
    <d v="2026-03-17T23:58:56"/>
    <x v="0"/>
    <n v="215"/>
    <n v="547.18330000000003"/>
    <x v="0"/>
    <n v="12828838"/>
    <s v="Michael E Guerra, MD"/>
    <s v="Peterson Regional Medical Center"/>
    <s v="Clinic"/>
    <s v="ushaaaam40@gmail.com"/>
    <x v="2"/>
    <s v="Trivandrum"/>
    <s v="Go"/>
    <n v="26.83"/>
    <n v="100"/>
    <x v="1"/>
    <n v="1"/>
    <m/>
    <x v="11"/>
    <m/>
    <m/>
    <n v="1440"/>
    <s v="No"/>
    <n v="158"/>
    <s v="Normal"/>
    <s v="Achieved"/>
    <n v="0"/>
    <m/>
    <m/>
    <m/>
    <m/>
    <d v="2026-03-17T00:00:00"/>
    <s v="Week12"/>
    <x v="4"/>
    <s v="Go"/>
    <n v="100"/>
    <n v="0"/>
    <n v="0"/>
    <s v="Aneesh"/>
    <s v="Aneesh"/>
    <s v="Aneesh"/>
    <s v="Minor"/>
    <s v="12828838Usha M"/>
    <s v="Minor"/>
    <n v="0"/>
    <s v="Trivandrum"/>
    <x v="0"/>
    <n v="1"/>
    <n v="1"/>
    <s v="Usha M"/>
    <x v="0"/>
    <s v="awaiting_upload"/>
    <b v="0"/>
  </r>
  <r>
    <d v="2026-03-10T11:49:01"/>
    <d v="2026-03-10T17:19:01"/>
    <d v="2026-03-17T18:33:18"/>
    <d v="2026-03-18T00:03:18"/>
    <d v="2026-03-17T14:50:07"/>
    <d v="2026-03-18T00:03:18"/>
    <x v="0"/>
    <n v="214"/>
    <n v="553.18330000000003"/>
    <x v="0"/>
    <n v="12827711"/>
    <s v="ROBERT KAY, MD  -  ORTHOPEDIST"/>
    <s v="LA County"/>
    <s v="PACIFICBLVD"/>
    <s v="sandeepskn88@gmail.com"/>
    <x v="1"/>
    <s v="Trivandrum"/>
    <s v="Go"/>
    <n v="23.66"/>
    <n v="100"/>
    <x v="0"/>
    <n v="0"/>
    <m/>
    <x v="20"/>
    <m/>
    <m/>
    <n v="1440"/>
    <s v="No"/>
    <n v="124"/>
    <s v="Normal"/>
    <s v="Achieved"/>
    <n v="0"/>
    <m/>
    <m/>
    <m/>
    <m/>
    <d v="2026-03-18T00:00:00"/>
    <s v="Week12"/>
    <x v="9"/>
    <s v="Go"/>
    <n v="100"/>
    <n v="0"/>
    <n v="0"/>
    <s v="Aneesh"/>
    <s v="Aneesh"/>
    <s v="Aneesh"/>
    <s v=""/>
    <s v="12827711Sandeep S"/>
    <s v=""/>
    <s v=""/>
    <s v="Trivandrum"/>
    <x v="0"/>
    <s v=""/>
    <n v="0"/>
    <s v="Sandeep S"/>
    <x v="0"/>
    <s v="awaiting_upload"/>
    <b v="0"/>
  </r>
  <r>
    <d v="2026-03-13T07:08:16"/>
    <d v="2026-03-13T12:38:16"/>
    <d v="2026-03-17T18:47:12"/>
    <d v="2026-03-18T00:17:12"/>
    <d v="2026-03-17T14:51:20"/>
    <d v="2026-03-18T00:17:12"/>
    <x v="0"/>
    <n v="603"/>
    <n v="565.86670000000004"/>
    <x v="0"/>
    <n v="12828799"/>
    <s v="JEFFREY LAWLER, MD"/>
    <s v="Stringfellow Memorial Hospital"/>
    <s v="Clinic"/>
    <s v="ushaaaam40@gmail.com"/>
    <x v="2"/>
    <s v="Trivandrum"/>
    <s v="Go"/>
    <n v="46.88"/>
    <n v="99"/>
    <x v="2"/>
    <n v="1"/>
    <m/>
    <x v="11"/>
    <m/>
    <m/>
    <n v="720"/>
    <s v="No"/>
    <n v="122"/>
    <s v="Normal"/>
    <s v="Achieved"/>
    <n v="0"/>
    <m/>
    <m/>
    <m/>
    <m/>
    <d v="2026-03-18T00:00:00"/>
    <s v="Week12"/>
    <x v="15"/>
    <s v="NoGo"/>
    <n v="97.86689419795222"/>
    <n v="1"/>
    <n v="1"/>
    <s v="Ankit"/>
    <s v="Aneesh"/>
    <s v="Aneesh"/>
    <s v="Major"/>
    <s v="12828799Usha M"/>
    <s v="Major"/>
    <n v="1"/>
    <s v="Trivandrum"/>
    <x v="1"/>
    <n v="1"/>
    <n v="1"/>
    <s v="Usha M"/>
    <x v="0"/>
    <s v="awaiting_upload"/>
    <b v="1"/>
  </r>
  <r>
    <d v="2026-03-13T07:08:16"/>
    <d v="2026-03-13T12:38:16"/>
    <d v="2026-03-17T18:47:12"/>
    <d v="2026-03-18T00:17:12"/>
    <d v="2026-03-17T14:51:20"/>
    <d v="2026-03-18T00:17:12"/>
    <x v="0"/>
    <n v="603"/>
    <n v="565.86670000000004"/>
    <x v="0"/>
    <n v="12828799"/>
    <s v="JEFFREY LAWLER, MD"/>
    <s v="Stringfellow Memorial Hospital"/>
    <s v="Clinic"/>
    <s v="ushaaaam40@gmail.com"/>
    <x v="2"/>
    <s v="Trivandrum"/>
    <s v="Go"/>
    <n v="46.88"/>
    <n v="99"/>
    <x v="1"/>
    <n v="1"/>
    <m/>
    <x v="11"/>
    <m/>
    <m/>
    <n v="720"/>
    <s v="No"/>
    <n v="122"/>
    <s v="Normal"/>
    <s v="Achieved"/>
    <n v="0"/>
    <m/>
    <m/>
    <m/>
    <m/>
    <d v="2026-03-18T00:00:00"/>
    <s v="Week12"/>
    <x v="15"/>
    <s v="NoGo"/>
    <n v="97.86689419795222"/>
    <n v="0"/>
    <n v="1"/>
    <s v="Ankit"/>
    <s v="Aneesh"/>
    <s v="Aneesh"/>
    <s v="Minor"/>
    <s v="12828799Usha M"/>
    <s v="Minor"/>
    <n v="0"/>
    <s v="Trivandrum"/>
    <x v="0"/>
    <n v="1"/>
    <n v="1"/>
    <s v="Usha M"/>
    <x v="0"/>
    <s v="awaiting_upload"/>
    <b v="0"/>
  </r>
  <r>
    <d v="2026-03-11T16:17:00"/>
    <d v="2026-03-11T21:47:00"/>
    <d v="2026-03-17T18:53:28"/>
    <d v="2026-03-18T00:23:28"/>
    <d v="2026-03-17T14:49:19"/>
    <d v="2026-03-18T00:23:28"/>
    <x v="0"/>
    <n v="1606"/>
    <n v="574.15"/>
    <x v="0"/>
    <n v="12828256"/>
    <s v="ROBERT KAY, MD  -  ORTHOPEDIST"/>
    <s v="LA County"/>
    <s v="GARDENA"/>
    <s v="sandeepskn88@gmail.com"/>
    <x v="1"/>
    <s v="Trivandrum"/>
    <s v="Go"/>
    <n v="30.15"/>
    <n v="100"/>
    <x v="1"/>
    <n v="2"/>
    <m/>
    <x v="34"/>
    <m/>
    <m/>
    <n v="1440"/>
    <s v="No"/>
    <n v="195"/>
    <s v="Normal"/>
    <s v="Achieved"/>
    <n v="0"/>
    <m/>
    <m/>
    <m/>
    <m/>
    <d v="2026-03-18T00:00:00"/>
    <s v="Week12"/>
    <x v="9"/>
    <s v="Go"/>
    <n v="100"/>
    <n v="0"/>
    <n v="0"/>
    <s v="Aneesh"/>
    <s v="Aneesh"/>
    <s v="Aneesh"/>
    <s v="Minor"/>
    <s v="12828256Sandeep S"/>
    <s v="Minor"/>
    <n v="0"/>
    <s v="Trivandrum"/>
    <x v="0"/>
    <n v="1"/>
    <n v="2"/>
    <s v="Sandeep S"/>
    <x v="0"/>
    <s v="awaiting_upload"/>
    <b v="0"/>
  </r>
  <r>
    <d v="2026-03-11T13:42:31"/>
    <d v="2026-03-11T19:12:31"/>
    <d v="2026-03-17T18:58:33"/>
    <d v="2026-03-18T00:28:33"/>
    <d v="2026-03-17T14:49:49"/>
    <d v="2026-03-18T00:28:33"/>
    <x v="0"/>
    <n v="701"/>
    <n v="578.73329999999999"/>
    <x v="0"/>
    <n v="12828179"/>
    <s v="Lisa Cao, MD - Orthopedist"/>
    <s v="LA County"/>
    <s v="LONGBEACH"/>
    <s v="sandeepskn88@gmail.com"/>
    <x v="1"/>
    <s v="Trivandrum"/>
    <s v="Go"/>
    <n v="37.54"/>
    <n v="99"/>
    <x v="2"/>
    <n v="1"/>
    <m/>
    <x v="26"/>
    <m/>
    <m/>
    <n v="1440"/>
    <s v="No"/>
    <n v="168"/>
    <s v="Normal"/>
    <s v="Achieved"/>
    <n v="0"/>
    <m/>
    <m/>
    <m/>
    <m/>
    <d v="2026-03-18T00:00:00"/>
    <s v="Week12"/>
    <x v="9"/>
    <s v="NoGo"/>
    <n v="97.336174746936607"/>
    <n v="1"/>
    <n v="1"/>
    <s v="Aneesh"/>
    <s v="Aneesh"/>
    <s v="Aneesh"/>
    <s v="Major"/>
    <s v="12828179Sandeep S"/>
    <s v="Major"/>
    <n v="1"/>
    <s v="Trivandrum"/>
    <x v="1"/>
    <n v="1"/>
    <n v="1"/>
    <s v="Sandeep S"/>
    <x v="0"/>
    <s v="awaiting_upload"/>
    <b v="1"/>
  </r>
  <r>
    <d v="2026-03-11T13:42:31"/>
    <d v="2026-03-11T19:12:31"/>
    <d v="2026-03-17T18:58:33"/>
    <d v="2026-03-18T00:28:33"/>
    <d v="2026-03-17T14:49:49"/>
    <d v="2026-03-18T00:28:33"/>
    <x v="0"/>
    <n v="701"/>
    <n v="578.73329999999999"/>
    <x v="0"/>
    <n v="12828179"/>
    <s v="Lisa Cao, MD - Orthopedist"/>
    <s v="LA County"/>
    <s v="LONGBEACH"/>
    <s v="sandeepskn88@gmail.com"/>
    <x v="1"/>
    <s v="Trivandrum"/>
    <s v="Go"/>
    <n v="37.54"/>
    <n v="99"/>
    <x v="1"/>
    <n v="2"/>
    <m/>
    <x v="26"/>
    <m/>
    <m/>
    <n v="1440"/>
    <s v="No"/>
    <n v="168"/>
    <s v="Normal"/>
    <s v="Achieved"/>
    <n v="0"/>
    <m/>
    <m/>
    <m/>
    <m/>
    <d v="2026-03-18T00:00:00"/>
    <s v="Week12"/>
    <x v="9"/>
    <s v="NoGo"/>
    <n v="97.336174746936607"/>
    <n v="0"/>
    <n v="1"/>
    <s v="Aneesh"/>
    <s v="Aneesh"/>
    <s v="Aneesh"/>
    <s v="Minor"/>
    <s v="12828179Sandeep S"/>
    <s v="Minor"/>
    <n v="0"/>
    <s v="Trivandrum"/>
    <x v="0"/>
    <n v="1"/>
    <n v="2"/>
    <s v="Sandeep S"/>
    <x v="0"/>
    <s v="awaiting_upload"/>
    <b v="0"/>
  </r>
  <r>
    <d v="2026-03-13T10:07:57"/>
    <d v="2026-03-13T15:37:57"/>
    <d v="2026-03-18T05:36:05"/>
    <d v="2026-03-18T11:06:05"/>
    <d v="2026-03-18T00:33:44"/>
    <d v="2026-03-18T11:06:05"/>
    <x v="0"/>
    <n v="500"/>
    <n v="632.35"/>
    <x v="0"/>
    <n v="12828837"/>
    <s v="Manuel Ojeda, MD"/>
    <s v="Miami Jewish Health Systems"/>
    <s v="NursingHome"/>
    <s v="jobs4savitha@gmail.com"/>
    <x v="5"/>
    <s v="Trivandrum"/>
    <s v="Go"/>
    <n v="39.35"/>
    <n v="99"/>
    <x v="2"/>
    <n v="1"/>
    <m/>
    <x v="17"/>
    <m/>
    <m/>
    <n v="720"/>
    <s v="Yes"/>
    <n v="142"/>
    <s v="Normal"/>
    <s v="Achieved"/>
    <n v="1"/>
    <m/>
    <m/>
    <m/>
    <m/>
    <d v="2026-03-18T00:00:00"/>
    <s v="Week12"/>
    <x v="7"/>
    <s v="NoGo"/>
    <n v="97.458703939008899"/>
    <n v="1"/>
    <n v="1"/>
    <s v="Aneesh"/>
    <s v="Aneesh"/>
    <s v="Aneesh"/>
    <s v="Major"/>
    <s v="12828837Savitha Arun"/>
    <s v="Major"/>
    <n v="1"/>
    <s v="Trivandrum"/>
    <x v="0"/>
    <n v="1"/>
    <n v="1"/>
    <s v="Gopal Rajith"/>
    <x v="1"/>
    <s v="awaiting_upload"/>
    <b v="0"/>
  </r>
  <r>
    <d v="2026-03-12T10:41:10"/>
    <d v="2026-03-12T16:11:10"/>
    <d v="2026-03-18T05:37:20"/>
    <d v="2026-03-18T11:07:20"/>
    <d v="2026-03-18T00:33:20"/>
    <d v="2026-03-18T11:07:20"/>
    <x v="0"/>
    <n v="37"/>
    <n v="634"/>
    <x v="0"/>
    <n v="12828486"/>
    <s v="GIZELLE STEVENS, MD"/>
    <s v="Regional Medical Center Anniston"/>
    <s v="Clinic"/>
    <s v="gopalrajith@gmail.com"/>
    <x v="4"/>
    <s v="Trivandrum"/>
    <s v="Go"/>
    <n v="7.55"/>
    <n v="100"/>
    <x v="0"/>
    <n v="0"/>
    <m/>
    <x v="27"/>
    <m/>
    <m/>
    <n v="360"/>
    <s v="No"/>
    <n v="31"/>
    <s v="Normal"/>
    <s v="Achieved"/>
    <n v="0"/>
    <m/>
    <m/>
    <m/>
    <m/>
    <d v="2026-03-18T00:00:00"/>
    <s v="Week12"/>
    <x v="10"/>
    <s v="Go"/>
    <n v="100"/>
    <n v="0"/>
    <n v="0"/>
    <s v="Ankit"/>
    <s v="Aneesh"/>
    <s v="Aneesh"/>
    <s v=""/>
    <s v="12828486Gopal Rajith"/>
    <s v=""/>
    <s v=""/>
    <s v="Trivandrum"/>
    <x v="0"/>
    <s v=""/>
    <n v="0"/>
    <s v="Gopal Rajith"/>
    <x v="0"/>
    <s v="awaiting_upload"/>
    <b v="0"/>
  </r>
  <r>
    <d v="2026-03-10T10:10:52"/>
    <d v="2026-03-10T15:40:52"/>
    <d v="2026-03-18T05:43:05"/>
    <d v="2026-03-18T11:13:05"/>
    <d v="2026-03-16T10:57:42"/>
    <d v="2026-03-18T11:13:05"/>
    <x v="0"/>
    <n v="574"/>
    <n v="2895.3833"/>
    <x v="0"/>
    <n v="12827653"/>
    <s v="SUE YOUNG, DMD"/>
    <s v="Stringfellow Memorial Hospital"/>
    <s v="Clinic"/>
    <s v="jobs4savitha@gmail.com"/>
    <x v="5"/>
    <s v="Trivandrum"/>
    <s v="Go"/>
    <n v="22.11"/>
    <n v="100"/>
    <x v="0"/>
    <n v="0"/>
    <m/>
    <x v="11"/>
    <m/>
    <m/>
    <n v="720"/>
    <s v="No"/>
    <n v="137"/>
    <s v="Normal"/>
    <s v="Achieved"/>
    <n v="0"/>
    <m/>
    <m/>
    <m/>
    <m/>
    <d v="2026-03-18T00:00:00"/>
    <s v="Week12"/>
    <x v="15"/>
    <s v="Go"/>
    <n v="100"/>
    <n v="0"/>
    <n v="0"/>
    <s v="Ankit"/>
    <s v="Aneesh"/>
    <s v="Aneesh"/>
    <s v=""/>
    <s v="12827653Savitha Arun"/>
    <s v=""/>
    <s v=""/>
    <s v="Trivandrum"/>
    <x v="0"/>
    <s v=""/>
    <n v="0"/>
    <s v="Gopal Rajith"/>
    <x v="1"/>
    <s v="awaiting_upload"/>
    <b v="0"/>
  </r>
  <r>
    <d v="2026-03-10T13:38:57"/>
    <d v="2026-03-10T19:08:57"/>
    <d v="2026-03-18T05:46:29"/>
    <d v="2026-03-18T11:16:29"/>
    <d v="2026-03-16T10:57:56"/>
    <d v="2026-03-18T11:16:29"/>
    <x v="0"/>
    <n v="209"/>
    <n v="2898.55"/>
    <x v="0"/>
    <n v="12827708"/>
    <s v="SUE YOUNG, DMD"/>
    <s v="Stringfellow Memorial Hospital"/>
    <s v="Clinic"/>
    <s v="PratheepKumar.a@cardioscribes.com"/>
    <x v="6"/>
    <s v="Chennai"/>
    <s v="Go"/>
    <n v="25.38"/>
    <n v="100"/>
    <x v="0"/>
    <n v="0"/>
    <m/>
    <x v="11"/>
    <m/>
    <m/>
    <n v="720"/>
    <s v="No"/>
    <n v="150"/>
    <s v="Normal"/>
    <s v="Achieved"/>
    <n v="0"/>
    <m/>
    <m/>
    <m/>
    <m/>
    <d v="2026-03-18T00:00:00"/>
    <s v="Week12"/>
    <x v="15"/>
    <s v="Go"/>
    <n v="100"/>
    <n v="0"/>
    <n v="0"/>
    <s v="Ankit"/>
    <s v="Aneesh"/>
    <s v="Aneesh"/>
    <s v=""/>
    <s v="12827708Pratheep Kumar"/>
    <s v=""/>
    <s v=""/>
    <s v="Trivandrum"/>
    <x v="0"/>
    <s v=""/>
    <n v="0"/>
    <s v="Pratheep Kumar"/>
    <x v="0"/>
    <s v="awaiting_upload"/>
    <b v="0"/>
  </r>
  <r>
    <d v="2026-03-10T16:21:52"/>
    <d v="2026-03-10T21:51:52"/>
    <d v="2026-03-18T05:51:42"/>
    <d v="2026-03-18T11:21:42"/>
    <d v="2026-03-18T00:32:43"/>
    <d v="2026-03-18T11:21:42"/>
    <x v="0"/>
    <n v="301"/>
    <n v="648.98329999999999"/>
    <x v="0"/>
    <n v="12827748"/>
    <s v="Joseph Schwartzer, MD"/>
    <s v="Norfolk Community Service Board"/>
    <s v="Clinic"/>
    <s v="sivasankari.a@cardioscribes.com"/>
    <x v="3"/>
    <s v="Chennai"/>
    <s v="Go"/>
    <n v="141.4"/>
    <n v="100"/>
    <x v="0"/>
    <n v="0"/>
    <m/>
    <x v="19"/>
    <m/>
    <m/>
    <n v="1440"/>
    <s v="No"/>
    <n v="358"/>
    <s v="Normal"/>
    <s v="Achieved"/>
    <n v="0"/>
    <m/>
    <m/>
    <m/>
    <m/>
    <d v="2026-03-18T00:00:00"/>
    <s v="Week12"/>
    <x v="8"/>
    <s v="Go"/>
    <n v="100"/>
    <n v="0"/>
    <n v="0"/>
    <s v="Aneesh"/>
    <s v="Aneesh"/>
    <s v="Aneesh"/>
    <s v=""/>
    <s v="12827748Sivasankari A"/>
    <s v=""/>
    <s v=""/>
    <s v="Trivandrum"/>
    <x v="0"/>
    <s v=""/>
    <n v="0"/>
    <s v="Sivasankari A"/>
    <x v="0"/>
    <s v="awaiting_upload"/>
    <b v="0"/>
  </r>
  <r>
    <d v="2026-03-13T16:42:58"/>
    <d v="2026-03-13T22:12:58"/>
    <d v="2026-03-18T05:55:38"/>
    <d v="2026-03-18T11:25:38"/>
    <d v="2026-03-18T00:33:29"/>
    <d v="2026-03-18T11:25:38"/>
    <x v="0"/>
    <n v="217"/>
    <n v="652.15"/>
    <x v="0"/>
    <n v="12829024"/>
    <s v="Brian Martinez, PAC"/>
    <s v="Cardiology Associates Medical Group"/>
    <s v="Clinic"/>
    <s v="PratheepKumar.a@cardioscribes.com"/>
    <x v="6"/>
    <s v="Chennai"/>
    <s v="Go"/>
    <n v="30.49"/>
    <n v="99"/>
    <x v="6"/>
    <n v="1"/>
    <m/>
    <x v="29"/>
    <m/>
    <m/>
    <n v="1440"/>
    <s v="No"/>
    <n v="106"/>
    <s v="Normal"/>
    <s v="Achieved"/>
    <n v="0"/>
    <m/>
    <m/>
    <m/>
    <m/>
    <d v="2026-03-18T00:00:00"/>
    <s v="Week12"/>
    <x v="12"/>
    <s v="NoGo"/>
    <n v="96.720236142997706"/>
    <n v="1"/>
    <n v="1"/>
    <s v="Harsh"/>
    <s v="Aneesh"/>
    <s v="Aneesh"/>
    <s v="Major"/>
    <s v="12829024Pratheep Kumar"/>
    <s v="Major"/>
    <n v="1"/>
    <s v="Trivandrum"/>
    <x v="1"/>
    <n v="1"/>
    <n v="1"/>
    <s v="Pratheep Kumar"/>
    <x v="0"/>
    <s v="awaiting_upload"/>
    <b v="1"/>
  </r>
  <r>
    <d v="2026-03-13T16:42:58"/>
    <d v="2026-03-13T22:12:58"/>
    <d v="2026-03-18T05:55:38"/>
    <d v="2026-03-18T11:25:38"/>
    <d v="2026-03-18T00:33:29"/>
    <d v="2026-03-18T11:25:38"/>
    <x v="0"/>
    <n v="217"/>
    <n v="652.15"/>
    <x v="0"/>
    <n v="12829024"/>
    <s v="Brian Martinez, PAC"/>
    <s v="Cardiology Associates Medical Group"/>
    <s v="Clinic"/>
    <s v="PratheepKumar.a@cardioscribes.com"/>
    <x v="6"/>
    <s v="Chennai"/>
    <s v="Go"/>
    <n v="30.49"/>
    <n v="99"/>
    <x v="1"/>
    <n v="1"/>
    <m/>
    <x v="29"/>
    <m/>
    <m/>
    <n v="1440"/>
    <s v="No"/>
    <n v="106"/>
    <s v="Normal"/>
    <s v="Achieved"/>
    <n v="0"/>
    <m/>
    <m/>
    <m/>
    <m/>
    <d v="2026-03-18T00:00:00"/>
    <s v="Week12"/>
    <x v="12"/>
    <s v="NoGo"/>
    <n v="96.720236142997706"/>
    <n v="0"/>
    <n v="1"/>
    <s v="Harsh"/>
    <s v="Aneesh"/>
    <s v="Aneesh"/>
    <s v="Minor"/>
    <s v="12829024Pratheep Kumar"/>
    <s v="Minor"/>
    <n v="0"/>
    <s v="Trivandrum"/>
    <x v="0"/>
    <n v="1"/>
    <n v="1"/>
    <s v="Pratheep Kumar"/>
    <x v="0"/>
    <s v="awaiting_upload"/>
    <b v="0"/>
  </r>
  <r>
    <d v="2026-03-12T17:03:49"/>
    <d v="2026-03-12T22:33:49"/>
    <d v="2026-03-18T06:14:25"/>
    <d v="2026-03-18T11:44:25"/>
    <d v="2026-03-18T00:32:29"/>
    <d v="2026-03-18T11:44:25"/>
    <x v="0"/>
    <n v="2246"/>
    <n v="671.93330000000003"/>
    <x v="0"/>
    <n v="12828583"/>
    <s v="Joseph Schwartzer, MD"/>
    <s v="Norfolk Community Service Board"/>
    <s v="Clinic"/>
    <s v="sivasankari.a@cardioscribes.com"/>
    <x v="3"/>
    <s v="Chennai"/>
    <s v="Go"/>
    <n v="146.97999999999999"/>
    <n v="100"/>
    <x v="1"/>
    <n v="1"/>
    <m/>
    <x v="19"/>
    <m/>
    <m/>
    <n v="1440"/>
    <s v="No"/>
    <n v="1116"/>
    <s v="Normal"/>
    <s v="Achieved"/>
    <n v="0"/>
    <m/>
    <m/>
    <m/>
    <m/>
    <d v="2026-03-18T00:00:00"/>
    <s v="Week12"/>
    <x v="8"/>
    <s v="Go"/>
    <n v="100"/>
    <n v="0"/>
    <n v="0"/>
    <s v="Aneesh"/>
    <s v="Aneesh"/>
    <s v="Aneesh"/>
    <s v="Minor"/>
    <s v="12828583Sivasankari A"/>
    <s v="Minor"/>
    <n v="0"/>
    <s v="Trivandrum"/>
    <x v="0"/>
    <n v="1"/>
    <n v="1"/>
    <s v="Sivasankari A"/>
    <x v="0"/>
    <s v="awaiting_upload"/>
    <b v="0"/>
  </r>
  <r>
    <d v="2026-03-11T16:18:36"/>
    <d v="2026-03-11T21:48:36"/>
    <d v="2026-03-18T06:49:06"/>
    <d v="2026-03-18T12:19:06"/>
    <d v="2026-03-18T00:32:50"/>
    <d v="2026-03-18T12:19:06"/>
    <x v="0"/>
    <n v="451"/>
    <n v="706.26670000000001"/>
    <x v="0"/>
    <n v="12828158"/>
    <s v="Jill N Jones, NP"/>
    <s v="Norfolk Community Service Board"/>
    <s v="Clinic"/>
    <s v="sivasankari.a@cardioscribes.com"/>
    <x v="3"/>
    <s v="Chennai"/>
    <s v="Go"/>
    <n v="91.08"/>
    <n v="100"/>
    <x v="0"/>
    <n v="0"/>
    <m/>
    <x v="21"/>
    <m/>
    <m/>
    <n v="1440"/>
    <s v="No"/>
    <n v="391"/>
    <s v="Normal"/>
    <s v="Achieved"/>
    <n v="0"/>
    <m/>
    <m/>
    <m/>
    <m/>
    <d v="2026-03-18T00:00:00"/>
    <s v="Week12"/>
    <x v="8"/>
    <s v="Go"/>
    <n v="100"/>
    <n v="0"/>
    <n v="0"/>
    <s v="Aneesh"/>
    <s v="Aneesh"/>
    <s v="Aneesh"/>
    <s v=""/>
    <s v="12828158Sivasankari A"/>
    <s v=""/>
    <s v=""/>
    <s v="Trivandrum"/>
    <x v="0"/>
    <s v=""/>
    <n v="0"/>
    <s v="Sivasankari A"/>
    <x v="0"/>
    <s v="awaiting_upload"/>
    <b v="0"/>
  </r>
  <r>
    <d v="2026-03-11T19:19:20"/>
    <d v="2026-03-12T00:49:20"/>
    <d v="2026-03-18T06:57:41"/>
    <d v="2026-03-18T12:27:41"/>
    <d v="2026-03-17T09:41:54"/>
    <d v="2026-03-18T12:27:41"/>
    <x v="0"/>
    <n v="379"/>
    <n v="1605.7833000000001"/>
    <x v="0"/>
    <n v="12828268"/>
    <s v="Adel M Sidky, MD FACC"/>
    <s v="Adel M Sidky, MD FACC"/>
    <s v="Clinic"/>
    <s v="jobs4savitha@gmail.com"/>
    <x v="5"/>
    <s v="Trivandrum"/>
    <s v="Go"/>
    <n v="44.23"/>
    <n v="100"/>
    <x v="0"/>
    <n v="0"/>
    <m/>
    <x v="30"/>
    <m/>
    <m/>
    <n v="1440"/>
    <s v="No"/>
    <n v="256"/>
    <s v="Normal"/>
    <s v="Achieved"/>
    <n v="0"/>
    <m/>
    <m/>
    <m/>
    <m/>
    <d v="2026-03-18T00:00:00"/>
    <s v="Week12"/>
    <x v="14"/>
    <s v="Go"/>
    <n v="100"/>
    <n v="0"/>
    <n v="0"/>
    <s v="Aneesh"/>
    <s v="Aneesh"/>
    <s v="Aneesh"/>
    <s v=""/>
    <s v="12828268Savitha Arun"/>
    <s v=""/>
    <s v=""/>
    <s v="Trivandrum"/>
    <x v="0"/>
    <s v=""/>
    <n v="0"/>
    <s v="Nitheesh C"/>
    <x v="1"/>
    <s v="awaiting_upload"/>
    <b v="0"/>
  </r>
  <r>
    <d v="2026-03-13T15:48:05"/>
    <d v="2026-03-13T21:18:05"/>
    <d v="2026-03-18T07:00:49"/>
    <d v="2026-03-18T12:30:49"/>
    <d v="2026-03-18T00:33:50"/>
    <d v="2026-03-18T12:30:49"/>
    <x v="0"/>
    <n v="165"/>
    <n v="716.98329999999999"/>
    <x v="0"/>
    <n v="12828956"/>
    <s v="Adel M Sidky, MD FACC"/>
    <s v="Adel M Sidky, MD FACC"/>
    <s v="Clinic"/>
    <s v="jobs4savitha@gmail.com"/>
    <x v="5"/>
    <s v="Trivandrum"/>
    <s v="Go"/>
    <n v="13.23"/>
    <n v="100"/>
    <x v="0"/>
    <n v="0"/>
    <m/>
    <x v="35"/>
    <m/>
    <m/>
    <n v="1440"/>
    <s v="No"/>
    <n v="84"/>
    <s v="Normal"/>
    <s v="Achieved"/>
    <n v="0"/>
    <m/>
    <m/>
    <m/>
    <m/>
    <d v="2026-03-18T00:00:00"/>
    <s v="Week12"/>
    <x v="14"/>
    <s v="Go"/>
    <n v="100"/>
    <n v="0"/>
    <n v="0"/>
    <s v="Aneesh"/>
    <s v="Aneesh"/>
    <s v="Aneesh"/>
    <s v=""/>
    <s v="12828956Savitha Arun"/>
    <s v=""/>
    <s v=""/>
    <s v="Trivandrum"/>
    <x v="0"/>
    <s v=""/>
    <n v="0"/>
    <s v="Prasanth Sivan"/>
    <x v="1"/>
    <s v="awaiting_upload"/>
    <b v="0"/>
  </r>
  <r>
    <d v="2026-03-11T19:11:07"/>
    <d v="2026-03-12T00:41:07"/>
    <d v="2026-03-18T07:06:33"/>
    <d v="2026-03-18T12:36:33"/>
    <d v="2026-03-17T09:42:08"/>
    <d v="2026-03-18T12:36:33"/>
    <x v="0"/>
    <n v="326"/>
    <n v="1614.4167"/>
    <x v="0"/>
    <n v="12828384"/>
    <s v="Julie Morantz, PA"/>
    <s v="Cardiology Associates Medical Group"/>
    <s v="Clinic"/>
    <s v="Tejasahm@gmail.com"/>
    <x v="7"/>
    <s v="Ahmedabad"/>
    <s v="Go"/>
    <n v="34.46"/>
    <n v="100"/>
    <x v="0"/>
    <n v="0"/>
    <m/>
    <x v="29"/>
    <m/>
    <m/>
    <n v="1440"/>
    <s v="No"/>
    <n v="189"/>
    <s v="Normal"/>
    <s v="Achieved"/>
    <n v="0"/>
    <m/>
    <m/>
    <m/>
    <m/>
    <d v="2026-03-18T00:00:00"/>
    <s v="Week12"/>
    <x v="12"/>
    <s v="Go"/>
    <n v="100"/>
    <n v="0"/>
    <n v="0"/>
    <s v="Harsh"/>
    <s v="Ankit"/>
    <s v="Ankit"/>
    <s v=""/>
    <s v="12828384Tejas Patel"/>
    <s v=""/>
    <s v=""/>
    <s v="Ahmedabad"/>
    <x v="0"/>
    <s v=""/>
    <n v="0"/>
    <s v="Tejas Patel"/>
    <x v="0"/>
    <s v="awaiting_upload"/>
    <b v="0"/>
  </r>
  <r>
    <d v="2026-03-12T16:55:05"/>
    <d v="2026-03-12T22:25:05"/>
    <d v="2026-03-18T07:14:31"/>
    <d v="2026-03-18T12:44:31"/>
    <d v="2026-03-17T10:57:17"/>
    <d v="2026-03-18T12:44:31"/>
    <x v="0"/>
    <n v="468"/>
    <n v="1547.2333000000001"/>
    <x v="0"/>
    <n v="12828573"/>
    <s v="ZACHARY DODD, MD"/>
    <s v="Sterling Surgical Hospital"/>
    <s v="Clinic"/>
    <s v="jobs4savitha@gmail.com"/>
    <x v="5"/>
    <s v="Trivandrum"/>
    <s v="Go"/>
    <n v="43.38"/>
    <n v="100"/>
    <x v="1"/>
    <n v="4"/>
    <m/>
    <x v="11"/>
    <m/>
    <m/>
    <n v="360"/>
    <s v="No"/>
    <n v="154"/>
    <s v="Normal"/>
    <s v="Missed"/>
    <n v="0"/>
    <m/>
    <m/>
    <m/>
    <m/>
    <d v="2026-03-18T00:00:00"/>
    <s v="Week12"/>
    <x v="5"/>
    <s v="Go"/>
    <n v="100"/>
    <n v="0"/>
    <n v="0"/>
    <s v="Ankit"/>
    <s v="Aneesh"/>
    <s v="Ankit"/>
    <s v="Minor"/>
    <s v="12828573Savitha Arun"/>
    <s v="Minor"/>
    <n v="0"/>
    <s v="Trivandrum"/>
    <x v="0"/>
    <n v="1"/>
    <n v="4"/>
    <s v="Manoj Kumar"/>
    <x v="1"/>
    <s v="awaiting_upload"/>
    <b v="0"/>
  </r>
  <r>
    <d v="2026-03-13T16:48:47"/>
    <d v="2026-03-13T22:18:47"/>
    <d v="2026-03-18T07:16:55"/>
    <d v="2026-03-18T12:46:55"/>
    <d v="2026-03-18T00:33:55"/>
    <d v="2026-03-18T12:46:55"/>
    <x v="0"/>
    <n v="128"/>
    <n v="733"/>
    <x v="0"/>
    <n v="12829068"/>
    <s v="Shaun T Patel, MD FACC"/>
    <s v="Cardiology Associates Medical Group"/>
    <s v="Clinic"/>
    <s v="PratheepKumar.a@cardioscribes.com"/>
    <x v="6"/>
    <s v="Chennai"/>
    <s v="Go"/>
    <n v="24.92"/>
    <n v="100"/>
    <x v="0"/>
    <n v="0"/>
    <m/>
    <x v="29"/>
    <m/>
    <m/>
    <n v="1440"/>
    <s v="No"/>
    <n v="117"/>
    <s v="Normal"/>
    <s v="Achieved"/>
    <n v="0"/>
    <m/>
    <m/>
    <m/>
    <m/>
    <d v="2026-03-18T00:00:00"/>
    <s v="Week12"/>
    <x v="12"/>
    <s v="Go"/>
    <n v="100"/>
    <n v="0"/>
    <n v="0"/>
    <s v="Harsh"/>
    <s v="Aneesh"/>
    <s v="Aneesh"/>
    <s v=""/>
    <s v="12829068Pratheep Kumar"/>
    <s v=""/>
    <s v=""/>
    <s v="Trivandrum"/>
    <x v="0"/>
    <s v=""/>
    <n v="0"/>
    <s v="Pratheep Kumar"/>
    <x v="0"/>
    <s v="awaiting_upload"/>
    <b v="0"/>
  </r>
  <r>
    <d v="2026-03-12T23:49:34"/>
    <d v="2026-03-13T05:19:34"/>
    <d v="2026-03-18T07:46:34"/>
    <d v="2026-03-18T13:16:34"/>
    <d v="2026-03-18T00:33:00"/>
    <d v="2026-03-18T13:16:34"/>
    <x v="0"/>
    <n v="1030"/>
    <n v="763.56669999999997"/>
    <x v="0"/>
    <n v="12828775"/>
    <s v="Kelly Sullivan, DO"/>
    <s v="Norfolk Community Service Board"/>
    <s v="Clinic"/>
    <s v="sivasankari.a@cardioscribes.com"/>
    <x v="3"/>
    <s v="Chennai"/>
    <s v="Go"/>
    <n v="147.63"/>
    <n v="100"/>
    <x v="0"/>
    <n v="0"/>
    <m/>
    <x v="23"/>
    <m/>
    <m/>
    <n v="1440"/>
    <s v="No"/>
    <n v="663"/>
    <s v="Normal"/>
    <s v="Achieved"/>
    <n v="0"/>
    <m/>
    <m/>
    <m/>
    <m/>
    <d v="2026-03-18T00:00:00"/>
    <s v="Week12"/>
    <x v="8"/>
    <s v="Go"/>
    <n v="100"/>
    <n v="0"/>
    <n v="0"/>
    <s v="Aneesh"/>
    <s v="Aneesh"/>
    <s v="Aneesh"/>
    <s v=""/>
    <s v="12828775Sivasankari A"/>
    <s v=""/>
    <s v=""/>
    <s v="Trivandrum"/>
    <x v="0"/>
    <s v=""/>
    <n v="0"/>
    <s v="Sivasankari A"/>
    <x v="0"/>
    <s v="awaiting_upload"/>
    <b v="0"/>
  </r>
  <r>
    <d v="2026-03-12T12:15:04"/>
    <d v="2026-03-12T17:45:04"/>
    <d v="2026-03-18T08:19:57"/>
    <d v="2026-03-18T13:49:57"/>
    <d v="2026-03-18T00:32:19"/>
    <d v="2026-03-18T13:49:57"/>
    <x v="0"/>
    <n v="2795"/>
    <n v="797.63329999999996"/>
    <x v="0"/>
    <n v="12828500"/>
    <s v="Jill N Jones, NP"/>
    <s v="Norfolk Community Service Board"/>
    <s v="Clinic"/>
    <s v="sivasankari.a@cardioscribes.com"/>
    <x v="3"/>
    <s v="Chennai"/>
    <s v="Go"/>
    <n v="235.49"/>
    <n v="99"/>
    <x v="2"/>
    <n v="1"/>
    <m/>
    <x v="36"/>
    <m/>
    <m/>
    <n v="1440"/>
    <s v="No"/>
    <n v="1120"/>
    <s v="Normal"/>
    <s v="Achieved"/>
    <n v="0"/>
    <m/>
    <m/>
    <m/>
    <m/>
    <d v="2026-03-18T00:00:00"/>
    <s v="Week12"/>
    <x v="8"/>
    <s v="Go"/>
    <n v="99.575353518196096"/>
    <n v="1"/>
    <n v="1"/>
    <s v="Aneesh"/>
    <s v="Aneesh"/>
    <s v="Aneesh"/>
    <s v="Major"/>
    <s v="12828500Sivasankari A"/>
    <s v="Major"/>
    <n v="1"/>
    <s v="Trivandrum"/>
    <x v="1"/>
    <n v="1"/>
    <n v="1"/>
    <s v="Sivasankari A"/>
    <x v="0"/>
    <s v="awaiting_upload"/>
    <b v="1"/>
  </r>
  <r>
    <d v="2026-03-12T12:15:04"/>
    <d v="2026-03-12T17:45:04"/>
    <d v="2026-03-18T08:19:57"/>
    <d v="2026-03-18T13:49:57"/>
    <d v="2026-03-18T00:32:19"/>
    <d v="2026-03-18T13:49:57"/>
    <x v="0"/>
    <n v="2795"/>
    <n v="797.63329999999996"/>
    <x v="0"/>
    <n v="12828500"/>
    <s v="Jill N Jones, NP"/>
    <s v="Norfolk Community Service Board"/>
    <s v="Clinic"/>
    <s v="sivasankari.a@cardioscribes.com"/>
    <x v="3"/>
    <s v="Chennai"/>
    <s v="Go"/>
    <n v="235.49"/>
    <n v="99"/>
    <x v="1"/>
    <n v="4"/>
    <m/>
    <x v="36"/>
    <m/>
    <m/>
    <n v="1440"/>
    <s v="No"/>
    <n v="1120"/>
    <s v="Normal"/>
    <s v="Achieved"/>
    <n v="0"/>
    <m/>
    <m/>
    <m/>
    <m/>
    <d v="2026-03-18T00:00:00"/>
    <s v="Week12"/>
    <x v="8"/>
    <s v="Go"/>
    <n v="99.575353518196096"/>
    <n v="0"/>
    <n v="1"/>
    <s v="Aneesh"/>
    <s v="Aneesh"/>
    <s v="Aneesh"/>
    <s v="Minor"/>
    <s v="12828500Sivasankari A"/>
    <s v="Minor"/>
    <n v="0"/>
    <s v="Trivandrum"/>
    <x v="0"/>
    <n v="1"/>
    <n v="4"/>
    <s v="Sivasankari A"/>
    <x v="0"/>
    <s v="awaiting_upload"/>
    <b v="0"/>
  </r>
  <r>
    <d v="2026-03-16T21:26:40"/>
    <d v="2026-03-17T02:56:40"/>
    <d v="2026-03-18T17:50:01"/>
    <d v="2026-03-18T23:20:01"/>
    <d v="2026-03-18T15:02:08"/>
    <d v="2026-03-18T23:20:01"/>
    <x v="0"/>
    <n v="288"/>
    <n v="497.88330000000002"/>
    <x v="0"/>
    <n v="12829562"/>
    <s v="Blake Little, MD"/>
    <s v="Hillsboro Area Hospital"/>
    <s v="Clinic"/>
    <s v="sandeepskn88@gmail.com"/>
    <x v="1"/>
    <s v="Trivandrum"/>
    <s v="Go"/>
    <n v="33.25"/>
    <n v="100"/>
    <x v="0"/>
    <n v="0"/>
    <m/>
    <x v="13"/>
    <m/>
    <m/>
    <n v="1440"/>
    <s v="No"/>
    <n v="228"/>
    <s v="Normal"/>
    <s v="Null"/>
    <n v="0"/>
    <m/>
    <m/>
    <m/>
    <m/>
    <d v="2026-03-18T00:00:00"/>
    <s v="Week12"/>
    <x v="0"/>
    <s v="Go"/>
    <n v="100"/>
    <n v="0"/>
    <n v="0"/>
    <s v="Aneesh"/>
    <s v="Aneesh"/>
    <s v="Aneesh"/>
    <s v=""/>
    <s v="12829562Sandeep S"/>
    <s v=""/>
    <s v=""/>
    <s v="Trivandrum"/>
    <x v="0"/>
    <s v=""/>
    <n v="0"/>
    <s v="Sandeep S"/>
    <x v="0"/>
    <s v="awaiting_upload"/>
    <b v="0"/>
  </r>
  <r>
    <d v="2026-03-13T13:50:40"/>
    <d v="2026-03-13T19:20:40"/>
    <d v="2026-03-18T17:54:06"/>
    <d v="2026-03-18T23:24:06"/>
    <d v="2026-03-18T15:02:17"/>
    <d v="2026-03-18T23:24:06"/>
    <x v="0"/>
    <n v="236"/>
    <n v="501.81670000000003"/>
    <x v="0"/>
    <n v="12828931"/>
    <s v="Kara E Whittington, DDS"/>
    <s v="Peterson Regional Medical Center"/>
    <s v="Clinic"/>
    <s v="ushaaaam40@gmail.com"/>
    <x v="2"/>
    <s v="Trivandrum"/>
    <s v="Go"/>
    <n v="29.91"/>
    <n v="100"/>
    <x v="0"/>
    <n v="0"/>
    <m/>
    <x v="11"/>
    <m/>
    <m/>
    <n v="1440"/>
    <s v="No"/>
    <n v="148"/>
    <s v="Normal"/>
    <s v="Missed"/>
    <n v="0"/>
    <m/>
    <m/>
    <m/>
    <m/>
    <d v="2026-03-18T00:00:00"/>
    <s v="Week12"/>
    <x v="4"/>
    <s v="Go"/>
    <n v="100"/>
    <n v="0"/>
    <n v="0"/>
    <s v="Aneesh"/>
    <s v="Aneesh"/>
    <s v="Aneesh"/>
    <s v=""/>
    <s v="12828931Usha M"/>
    <s v=""/>
    <s v=""/>
    <s v="Trivandrum"/>
    <x v="0"/>
    <s v=""/>
    <n v="0"/>
    <s v="Usha M"/>
    <x v="0"/>
    <s v="awaiting_upload"/>
    <b v="0"/>
  </r>
  <r>
    <d v="2026-03-13T13:26:22"/>
    <d v="2026-03-13T18:56:22"/>
    <d v="2026-03-18T17:58:59"/>
    <d v="2026-03-18T23:28:59"/>
    <d v="2026-03-18T15:02:26"/>
    <d v="2026-03-18T23:28:59"/>
    <x v="0"/>
    <n v="283"/>
    <n v="506.55"/>
    <x v="0"/>
    <n v="12828915"/>
    <s v="Kara E Whittington, DDS"/>
    <s v="Peterson Regional Medical Center"/>
    <s v="Clinic"/>
    <s v="sandeepskn88@gmail.com"/>
    <x v="1"/>
    <s v="Trivandrum"/>
    <s v="Go"/>
    <n v="26.51"/>
    <n v="99"/>
    <x v="2"/>
    <n v="1"/>
    <m/>
    <x v="11"/>
    <m/>
    <m/>
    <n v="1440"/>
    <s v="No"/>
    <n v="134"/>
    <s v="Normal"/>
    <s v="Achieved"/>
    <n v="1"/>
    <m/>
    <m/>
    <m/>
    <m/>
    <d v="2026-03-18T00:00:00"/>
    <s v="Week12"/>
    <x v="4"/>
    <s v="NoGo"/>
    <n v="96.227838551490009"/>
    <n v="1"/>
    <n v="1"/>
    <s v="Aneesh"/>
    <s v="Aneesh"/>
    <s v="Aneesh"/>
    <s v="Major"/>
    <s v="12828915Sandeep S"/>
    <s v="Major"/>
    <n v="1"/>
    <s v="Trivandrum"/>
    <x v="0"/>
    <n v="1"/>
    <n v="1"/>
    <s v="Sandeep S"/>
    <x v="0"/>
    <s v="awaiting_upload"/>
    <b v="0"/>
  </r>
  <r>
    <d v="2026-03-13T08:38:31"/>
    <d v="2026-03-13T14:08:31"/>
    <d v="2026-03-18T18:06:46"/>
    <d v="2026-03-18T23:36:46"/>
    <d v="2026-03-18T15:02:34"/>
    <d v="2026-03-18T23:36:46"/>
    <x v="0"/>
    <n v="441"/>
    <n v="514.20000000000005"/>
    <x v="0"/>
    <n v="12828809"/>
    <s v="Ivor Purchas, MD"/>
    <s v="Norfolk Community Service Board"/>
    <s v="Clinic"/>
    <s v="jobs4savitha@gmail.com"/>
    <x v="5"/>
    <s v="Trivandrum"/>
    <s v="No Go"/>
    <n v="31.89"/>
    <n v="98"/>
    <x v="2"/>
    <n v="1"/>
    <m/>
    <x v="37"/>
    <m/>
    <m/>
    <n v="1440"/>
    <s v="No"/>
    <n v="288"/>
    <s v="Normal"/>
    <s v="Achieved"/>
    <n v="0"/>
    <m/>
    <m/>
    <m/>
    <m/>
    <d v="2026-03-18T00:00:00"/>
    <s v="Week12"/>
    <x v="8"/>
    <s v="NoGo"/>
    <n v="93.728441517717158"/>
    <n v="1"/>
    <n v="2"/>
    <s v="Aneesh"/>
    <s v="Aneesh"/>
    <s v="Aneesh"/>
    <s v="Major"/>
    <s v="12828809Savitha Arun"/>
    <s v="Major"/>
    <n v="1"/>
    <s v="Trivandrum"/>
    <x v="1"/>
    <n v="1"/>
    <n v="1"/>
    <s v="Sivasankari A"/>
    <x v="1"/>
    <s v="awaiting_upload"/>
    <b v="1"/>
  </r>
  <r>
    <d v="2026-03-13T08:38:31"/>
    <d v="2026-03-13T14:08:31"/>
    <d v="2026-03-18T18:06:46"/>
    <d v="2026-03-18T23:36:46"/>
    <d v="2026-03-18T15:02:34"/>
    <d v="2026-03-18T23:36:46"/>
    <x v="0"/>
    <n v="441"/>
    <n v="514.20000000000005"/>
    <x v="0"/>
    <n v="12828809"/>
    <s v="Ivor Purchas, MD"/>
    <s v="Norfolk Community Service Board"/>
    <s v="Clinic"/>
    <s v="jobs4savitha@gmail.com"/>
    <x v="5"/>
    <s v="Trivandrum"/>
    <s v="No Go"/>
    <n v="31.89"/>
    <n v="98"/>
    <x v="6"/>
    <n v="1"/>
    <m/>
    <x v="37"/>
    <m/>
    <m/>
    <n v="1440"/>
    <s v="No"/>
    <n v="288"/>
    <s v="Normal"/>
    <s v="Achieved"/>
    <n v="0"/>
    <m/>
    <m/>
    <m/>
    <m/>
    <d v="2026-03-18T00:00:00"/>
    <s v="Week12"/>
    <x v="8"/>
    <s v="NoGo"/>
    <n v="93.728441517717158"/>
    <n v="1"/>
    <n v="2"/>
    <s v="Aneesh"/>
    <s v="Aneesh"/>
    <s v="Aneesh"/>
    <s v="Major"/>
    <s v="12828809Savitha Arun"/>
    <s v="Major"/>
    <n v="1"/>
    <s v="Trivandrum"/>
    <x v="1"/>
    <n v="1"/>
    <n v="1"/>
    <s v="Sivasankari A"/>
    <x v="1"/>
    <s v="awaiting_upload"/>
    <b v="1"/>
  </r>
  <r>
    <d v="2026-03-13T08:38:31"/>
    <d v="2026-03-13T14:08:31"/>
    <d v="2026-03-18T18:06:46"/>
    <d v="2026-03-18T23:36:46"/>
    <d v="2026-03-18T15:02:34"/>
    <d v="2026-03-18T23:36:46"/>
    <x v="0"/>
    <n v="441"/>
    <n v="514.20000000000005"/>
    <x v="0"/>
    <n v="12828809"/>
    <s v="Ivor Purchas, MD"/>
    <s v="Norfolk Community Service Board"/>
    <s v="Clinic"/>
    <s v="jobs4savitha@gmail.com"/>
    <x v="5"/>
    <s v="Trivandrum"/>
    <s v="No Go"/>
    <n v="31.89"/>
    <n v="98"/>
    <x v="1"/>
    <n v="2"/>
    <m/>
    <x v="37"/>
    <m/>
    <m/>
    <n v="1440"/>
    <s v="No"/>
    <n v="288"/>
    <s v="Normal"/>
    <s v="Achieved"/>
    <n v="0"/>
    <m/>
    <m/>
    <m/>
    <m/>
    <d v="2026-03-18T00:00:00"/>
    <s v="Week12"/>
    <x v="8"/>
    <s v="NoGo"/>
    <n v="93.728441517717158"/>
    <n v="0"/>
    <n v="2"/>
    <s v="Aneesh"/>
    <s v="Aneesh"/>
    <s v="Aneesh"/>
    <s v="Minor"/>
    <s v="12828809Savitha Arun"/>
    <s v="Minor"/>
    <n v="0"/>
    <s v="Trivandrum"/>
    <x v="0"/>
    <n v="1"/>
    <n v="2"/>
    <s v="Sivasankari A"/>
    <x v="1"/>
    <s v="awaiting_upload"/>
    <b v="0"/>
  </r>
  <r>
    <d v="2026-03-13T09:15:44"/>
    <d v="2026-03-13T14:45:44"/>
    <d v="2026-03-18T18:11:28"/>
    <d v="2026-03-18T23:41:28"/>
    <d v="2026-03-18T15:02:41"/>
    <d v="2026-03-18T23:41:28"/>
    <x v="0"/>
    <n v="264"/>
    <n v="518.78330000000005"/>
    <x v="0"/>
    <n v="12828839"/>
    <s v="JEFFREY LAWLER, MD"/>
    <s v="Stringfellow Memorial Hospital"/>
    <s v="Clinic"/>
    <s v="ushaaaam40@gmail.com"/>
    <x v="2"/>
    <s v="Trivandrum"/>
    <s v="Go"/>
    <n v="56.86"/>
    <n v="99"/>
    <x v="6"/>
    <n v="1"/>
    <m/>
    <x v="11"/>
    <m/>
    <m/>
    <n v="720"/>
    <s v="No"/>
    <n v="128"/>
    <s v="Normal"/>
    <s v="Achieved"/>
    <n v="0"/>
    <m/>
    <m/>
    <m/>
    <m/>
    <d v="2026-03-18T00:00:00"/>
    <s v="Week12"/>
    <x v="15"/>
    <s v="NoGo"/>
    <n v="98.241294407316218"/>
    <n v="1"/>
    <n v="1"/>
    <s v="Ankit"/>
    <s v="Aneesh"/>
    <s v="Aneesh"/>
    <s v="Major"/>
    <s v="12828839Usha M"/>
    <s v="Major"/>
    <n v="1"/>
    <s v="Trivandrum"/>
    <x v="1"/>
    <n v="1"/>
    <n v="1"/>
    <s v="Usha M"/>
    <x v="0"/>
    <s v="awaiting_upload"/>
    <b v="1"/>
  </r>
  <r>
    <d v="2026-03-13T09:15:44"/>
    <d v="2026-03-13T14:45:44"/>
    <d v="2026-03-18T18:11:28"/>
    <d v="2026-03-18T23:41:28"/>
    <d v="2026-03-18T15:02:41"/>
    <d v="2026-03-18T23:41:28"/>
    <x v="0"/>
    <n v="264"/>
    <n v="518.78330000000005"/>
    <x v="0"/>
    <n v="12828839"/>
    <s v="JEFFREY LAWLER, MD"/>
    <s v="Stringfellow Memorial Hospital"/>
    <s v="Clinic"/>
    <s v="ushaaaam40@gmail.com"/>
    <x v="2"/>
    <s v="Trivandrum"/>
    <s v="Go"/>
    <n v="56.86"/>
    <n v="99"/>
    <x v="1"/>
    <n v="1"/>
    <m/>
    <x v="11"/>
    <m/>
    <m/>
    <n v="720"/>
    <s v="No"/>
    <n v="128"/>
    <s v="Normal"/>
    <s v="Achieved"/>
    <n v="0"/>
    <m/>
    <m/>
    <m/>
    <m/>
    <d v="2026-03-18T00:00:00"/>
    <s v="Week12"/>
    <x v="15"/>
    <s v="NoGo"/>
    <n v="98.241294407316218"/>
    <n v="0"/>
    <n v="1"/>
    <s v="Ankit"/>
    <s v="Aneesh"/>
    <s v="Aneesh"/>
    <s v="Minor"/>
    <s v="12828839Usha M"/>
    <s v="Minor"/>
    <n v="0"/>
    <s v="Trivandrum"/>
    <x v="0"/>
    <n v="1"/>
    <n v="1"/>
    <s v="Usha M"/>
    <x v="0"/>
    <s v="awaiting_upload"/>
    <b v="0"/>
  </r>
  <r>
    <d v="2026-03-03T18:50:15"/>
    <d v="2026-03-04T00:20:15"/>
    <d v="2026-03-19T05:22:02"/>
    <d v="2026-03-19T10:52:02"/>
    <d v="2026-03-18T23:43:51"/>
    <d v="2026-03-19T10:52:02"/>
    <x v="0"/>
    <n v="752"/>
    <n v="668.18330000000003"/>
    <x v="0"/>
    <n v="12826034"/>
    <s v="Julie Morantz, PA"/>
    <s v="Cardiology Associates Medical Group"/>
    <s v="Clinic"/>
    <s v="Tejasahm@gmail.com"/>
    <x v="7"/>
    <s v="Ahmedabad"/>
    <s v="Go"/>
    <n v="26.45"/>
    <n v="100"/>
    <x v="0"/>
    <n v="0"/>
    <m/>
    <x v="29"/>
    <m/>
    <m/>
    <n v="1440"/>
    <s v="No"/>
    <n v="125"/>
    <s v="Normal"/>
    <s v="Achieved"/>
    <n v="0"/>
    <m/>
    <m/>
    <m/>
    <m/>
    <d v="2026-03-19T00:00:00"/>
    <s v="Week12"/>
    <x v="12"/>
    <s v="Go"/>
    <n v="100"/>
    <n v="0"/>
    <n v="0"/>
    <s v="Harsh"/>
    <s v="Ankit"/>
    <s v="Ankit"/>
    <s v=""/>
    <s v="12826034Tejas Patel"/>
    <s v=""/>
    <s v=""/>
    <s v="Ahmedabad"/>
    <x v="0"/>
    <s v=""/>
    <n v="0"/>
    <s v="Tejas Patel"/>
    <x v="0"/>
    <s v="awaiting_upload"/>
    <b v="0"/>
  </r>
  <r>
    <d v="2026-03-04T13:31:22"/>
    <d v="2026-03-04T19:01:22"/>
    <d v="2026-03-19T05:46:32"/>
    <d v="2026-03-19T11:16:32"/>
    <d v="2026-03-18T23:43:45"/>
    <d v="2026-03-19T11:16:32"/>
    <x v="0"/>
    <n v="2720"/>
    <n v="692.78330000000005"/>
    <x v="0"/>
    <n v="12826249"/>
    <s v="Mark Pushkash, Ph.D."/>
    <s v="Department Of Health Services - Wisconsin"/>
    <s v="Clinic"/>
    <s v="Tejasahm@gmail.com"/>
    <x v="7"/>
    <s v="Ahmedabad"/>
    <s v="No Go"/>
    <n v="144.11000000000001"/>
    <n v="97"/>
    <x v="2"/>
    <n v="2"/>
    <m/>
    <x v="6"/>
    <m/>
    <m/>
    <n v="1440"/>
    <s v="No"/>
    <n v="731"/>
    <s v="Normal"/>
    <s v="Achieved"/>
    <n v="0"/>
    <m/>
    <m/>
    <m/>
    <m/>
    <d v="2026-03-19T00:00:00"/>
    <s v="Week12"/>
    <x v="3"/>
    <s v="NoGo"/>
    <n v="97.918256887100128"/>
    <n v="2"/>
    <n v="3"/>
    <s v="Harsh"/>
    <s v="Ankit"/>
    <s v="Ankit"/>
    <s v="Major"/>
    <s v="12826249Tejas Patel"/>
    <s v="Major"/>
    <n v="1"/>
    <s v="Ahmedabad"/>
    <x v="1"/>
    <n v="1"/>
    <n v="2"/>
    <s v="Tejas Patel"/>
    <x v="0"/>
    <s v="awaiting_upload"/>
    <b v="1"/>
  </r>
  <r>
    <d v="2026-03-04T13:31:22"/>
    <d v="2026-03-04T19:01:22"/>
    <d v="2026-03-19T05:46:32"/>
    <d v="2026-03-19T11:16:32"/>
    <d v="2026-03-18T23:43:45"/>
    <d v="2026-03-19T11:16:32"/>
    <x v="0"/>
    <n v="2720"/>
    <n v="692.78330000000005"/>
    <x v="0"/>
    <n v="12826249"/>
    <s v="Mark Pushkash, Ph.D."/>
    <s v="Department Of Health Services - Wisconsin"/>
    <s v="Clinic"/>
    <s v="Tejasahm@gmail.com"/>
    <x v="7"/>
    <s v="Ahmedabad"/>
    <s v="No Go"/>
    <n v="144.11000000000001"/>
    <n v="97"/>
    <x v="4"/>
    <n v="1"/>
    <m/>
    <x v="6"/>
    <m/>
    <m/>
    <n v="1440"/>
    <s v="No"/>
    <n v="731"/>
    <s v="Normal"/>
    <s v="Achieved"/>
    <n v="0"/>
    <m/>
    <m/>
    <m/>
    <m/>
    <d v="2026-03-19T00:00:00"/>
    <s v="Week12"/>
    <x v="3"/>
    <s v="NoGo"/>
    <n v="97.918256887100128"/>
    <n v="1"/>
    <n v="3"/>
    <s v="Harsh"/>
    <s v="Ankit"/>
    <s v="Ankit"/>
    <s v="Major"/>
    <s v="12826249Tejas Patel"/>
    <s v="Major"/>
    <n v="1"/>
    <s v="Ahmedabad"/>
    <x v="1"/>
    <n v="1"/>
    <n v="1"/>
    <s v="Tejas Patel"/>
    <x v="0"/>
    <s v="awaiting_upload"/>
    <b v="1"/>
  </r>
  <r>
    <d v="2026-03-04T13:31:22"/>
    <d v="2026-03-04T19:01:22"/>
    <d v="2026-03-19T05:46:32"/>
    <d v="2026-03-19T11:16:32"/>
    <d v="2026-03-18T23:43:45"/>
    <d v="2026-03-19T11:16:32"/>
    <x v="0"/>
    <n v="2720"/>
    <n v="692.78330000000005"/>
    <x v="0"/>
    <n v="12826249"/>
    <s v="Mark Pushkash, Ph.D."/>
    <s v="Department Of Health Services - Wisconsin"/>
    <s v="Clinic"/>
    <s v="Tejasahm@gmail.com"/>
    <x v="7"/>
    <s v="Ahmedabad"/>
    <s v="No Go"/>
    <n v="144.11000000000001"/>
    <n v="97"/>
    <x v="1"/>
    <n v="3"/>
    <m/>
    <x v="6"/>
    <m/>
    <m/>
    <n v="1440"/>
    <s v="No"/>
    <n v="731"/>
    <s v="Normal"/>
    <s v="Achieved"/>
    <n v="0"/>
    <m/>
    <m/>
    <m/>
    <m/>
    <d v="2026-03-19T00:00:00"/>
    <s v="Week12"/>
    <x v="3"/>
    <s v="NoGo"/>
    <n v="97.918256887100128"/>
    <n v="0"/>
    <n v="3"/>
    <s v="Harsh"/>
    <s v="Ankit"/>
    <s v="Ankit"/>
    <s v="Minor"/>
    <s v="12826249Tejas Patel"/>
    <s v="Minor"/>
    <n v="0"/>
    <s v="Ahmedabad"/>
    <x v="0"/>
    <n v="1"/>
    <n v="3"/>
    <s v="Tejas Patel"/>
    <x v="0"/>
    <s v="awaiting_upload"/>
    <b v="0"/>
  </r>
  <r>
    <d v="2026-03-11T16:32:35"/>
    <d v="2026-03-11T22:02:35"/>
    <d v="2026-03-19T16:57:23"/>
    <d v="2026-03-19T22:27:23"/>
    <d v="2026-03-18T23:44:21"/>
    <d v="2026-03-19T22:27:23"/>
    <x v="0"/>
    <n v="181"/>
    <n v="1363.0333000000001"/>
    <x v="0"/>
    <n v="12828310"/>
    <s v="Shaun T Patel, MD FACC"/>
    <s v="Cardiology Associates Medical Group"/>
    <s v="Clinic"/>
    <s v="Tejasahm@gmail.com"/>
    <x v="7"/>
    <s v="Ahmedabad"/>
    <s v="Go"/>
    <n v="27.6"/>
    <n v="100"/>
    <x v="1"/>
    <n v="1"/>
    <m/>
    <x v="29"/>
    <m/>
    <m/>
    <n v="1440"/>
    <s v="No"/>
    <n v="132"/>
    <s v="Normal"/>
    <s v="Achieved"/>
    <n v="0"/>
    <m/>
    <m/>
    <m/>
    <m/>
    <d v="2026-03-19T00:00:00"/>
    <s v="Week12"/>
    <x v="12"/>
    <s v="Go"/>
    <n v="100"/>
    <n v="0"/>
    <n v="0"/>
    <s v="Harsh"/>
    <s v="Ankit"/>
    <s v="Ankit"/>
    <s v="Minor"/>
    <s v="12828310Tejas Patel"/>
    <s v="Minor"/>
    <n v="0"/>
    <s v="Ahmedabad"/>
    <x v="0"/>
    <n v="1"/>
    <n v="1"/>
    <s v="Tejas Patel"/>
    <x v="0"/>
    <s v="awaiting_upload"/>
    <b v="0"/>
  </r>
  <r>
    <d v="2026-03-16T16:23:11"/>
    <d v="2026-03-16T21:53:11"/>
    <d v="2026-03-19T17:08:52"/>
    <d v="2026-03-19T22:38:52"/>
    <d v="2026-03-18T23:46:33"/>
    <d v="2026-03-19T22:38:52"/>
    <x v="0"/>
    <n v="678"/>
    <n v="1372.3167000000001"/>
    <x v="0"/>
    <n v="12829410"/>
    <s v="Shahida Munim, MD"/>
    <s v="Department Of Health Services - Wisconsin"/>
    <s v="Clinic"/>
    <s v="chintul.s@mediscribes.com"/>
    <x v="8"/>
    <s v="Ahmedabad"/>
    <s v="No Go"/>
    <n v="89.91"/>
    <n v="98"/>
    <x v="2"/>
    <n v="2"/>
    <m/>
    <x v="31"/>
    <m/>
    <m/>
    <n v="1440"/>
    <s v="No"/>
    <n v="629"/>
    <s v="Normal"/>
    <s v="Achieved"/>
    <n v="0"/>
    <m/>
    <m/>
    <m/>
    <m/>
    <d v="2026-03-19T00:00:00"/>
    <s v="Week12"/>
    <x v="3"/>
    <s v="NoGo"/>
    <n v="97.775553331108881"/>
    <n v="2"/>
    <n v="2"/>
    <s v="Harsh"/>
    <s v="Ankit"/>
    <s v="Ankit"/>
    <s v="Major"/>
    <s v="12829410Chintul Sutaria"/>
    <s v="Major"/>
    <n v="1"/>
    <s v="Ahmedabad"/>
    <x v="1"/>
    <n v="1"/>
    <n v="2"/>
    <s v="Chintul Sutaria"/>
    <x v="0"/>
    <s v="awaiting_upload"/>
    <b v="1"/>
  </r>
  <r>
    <d v="2026-03-16T16:23:11"/>
    <d v="2026-03-16T21:53:11"/>
    <d v="2026-03-19T17:08:52"/>
    <d v="2026-03-19T22:38:52"/>
    <d v="2026-03-18T23:46:33"/>
    <d v="2026-03-19T22:38:52"/>
    <x v="0"/>
    <n v="678"/>
    <n v="1372.3167000000001"/>
    <x v="0"/>
    <n v="12829410"/>
    <s v="Shahida Munim, MD"/>
    <s v="Department Of Health Services - Wisconsin"/>
    <s v="Clinic"/>
    <s v="chintul.s@mediscribes.com"/>
    <x v="8"/>
    <s v="Ahmedabad"/>
    <s v="No Go"/>
    <n v="89.91"/>
    <n v="98"/>
    <x v="1"/>
    <n v="2"/>
    <m/>
    <x v="31"/>
    <m/>
    <m/>
    <n v="1440"/>
    <s v="No"/>
    <n v="629"/>
    <s v="Normal"/>
    <s v="Achieved"/>
    <n v="0"/>
    <m/>
    <m/>
    <m/>
    <m/>
    <d v="2026-03-19T00:00:00"/>
    <s v="Week12"/>
    <x v="3"/>
    <s v="NoGo"/>
    <n v="97.775553331108881"/>
    <n v="0"/>
    <n v="2"/>
    <s v="Harsh"/>
    <s v="Ankit"/>
    <s v="Ankit"/>
    <s v="Minor"/>
    <s v="12829410Chintul Sutaria"/>
    <s v="Minor"/>
    <n v="0"/>
    <s v="Ahmedabad"/>
    <x v="0"/>
    <n v="1"/>
    <n v="2"/>
    <s v="Chintul Sutaria"/>
    <x v="0"/>
    <s v="awaiting_upload"/>
    <b v="0"/>
  </r>
  <r>
    <d v="2026-03-12T16:46:22"/>
    <d v="2026-03-12T22:16:22"/>
    <d v="2026-03-19T17:31:41"/>
    <d v="2026-03-19T23:01:41"/>
    <d v="2026-03-18T23:44:32"/>
    <d v="2026-03-19T23:01:41"/>
    <x v="0"/>
    <n v="1060"/>
    <n v="1397.15"/>
    <x v="0"/>
    <n v="12828723"/>
    <s v="Shaun T Patel, MD FACC"/>
    <s v="Cardiology Associates Medical Group"/>
    <s v="Clinic"/>
    <s v="Tejasahm@gmail.com"/>
    <x v="7"/>
    <s v="Ahmedabad"/>
    <s v="Go"/>
    <n v="25.86"/>
    <n v="100"/>
    <x v="1"/>
    <n v="1"/>
    <m/>
    <x v="29"/>
    <m/>
    <m/>
    <n v="1440"/>
    <s v="No"/>
    <n v="129"/>
    <s v="Normal"/>
    <s v="Achieved"/>
    <n v="0"/>
    <m/>
    <m/>
    <m/>
    <m/>
    <d v="2026-03-19T00:00:00"/>
    <s v="Week12"/>
    <x v="12"/>
    <s v="Go"/>
    <n v="100"/>
    <n v="0"/>
    <n v="0"/>
    <s v="Harsh"/>
    <s v="Ankit"/>
    <s v="Ankit"/>
    <s v="Minor"/>
    <s v="12828723Tejas Patel"/>
    <s v="Minor"/>
    <n v="0"/>
    <s v="Ahmedabad"/>
    <x v="0"/>
    <n v="1"/>
    <n v="1"/>
    <s v="Tejas Patel"/>
    <x v="0"/>
    <s v="awaiting_upload"/>
    <b v="0"/>
  </r>
  <r>
    <d v="2026-03-16T13:04:04"/>
    <d v="2026-03-16T18:34:04"/>
    <d v="2026-03-19T17:47:02"/>
    <d v="2026-03-19T23:17:02"/>
    <d v="2026-03-18T23:46:22"/>
    <d v="2026-03-19T23:17:02"/>
    <x v="0"/>
    <n v="2085"/>
    <n v="1410.6667"/>
    <x v="0"/>
    <n v="12829342"/>
    <s v="Thomas S Lehmann, PHD"/>
    <s v="Department Of Health Services - Wisconsin"/>
    <s v="Clinic"/>
    <s v="chintul.s@mediscribes.com"/>
    <x v="8"/>
    <s v="Ahmedabad"/>
    <s v="Go"/>
    <n v="171.06"/>
    <n v="100"/>
    <x v="1"/>
    <n v="1"/>
    <m/>
    <x v="6"/>
    <m/>
    <m/>
    <n v="1440"/>
    <s v="No"/>
    <n v="795"/>
    <s v="Normal"/>
    <s v="Achieved"/>
    <n v="0"/>
    <m/>
    <m/>
    <m/>
    <m/>
    <d v="2026-03-19T00:00:00"/>
    <s v="Week12"/>
    <x v="3"/>
    <s v="Go"/>
    <n v="100"/>
    <n v="0"/>
    <n v="0"/>
    <s v="Harsh"/>
    <s v="Ankit"/>
    <s v="Ankit"/>
    <s v="Minor"/>
    <s v="12829342Chintul Sutaria"/>
    <s v="Minor"/>
    <n v="0"/>
    <s v="Ahmedabad"/>
    <x v="0"/>
    <n v="1"/>
    <n v="1"/>
    <s v="Chintul Sutaria"/>
    <x v="0"/>
    <s v="awaiting_upload"/>
    <b v="0"/>
  </r>
  <r>
    <d v="2026-03-17T06:40:15"/>
    <d v="2026-03-17T12:10:15"/>
    <d v="2026-03-19T17:48:26"/>
    <d v="2026-03-19T23:18:26"/>
    <d v="2026-03-18T23:46:16"/>
    <d v="2026-03-19T23:18:26"/>
    <x v="0"/>
    <n v="73"/>
    <n v="1412.1667"/>
    <x v="0"/>
    <n v="12829607"/>
    <s v="Christopher M Cesa, MD"/>
    <s v="North Suffolk Cardiology Associates"/>
    <s v="Clinic"/>
    <s v="chintul.s@mediscribes.com"/>
    <x v="8"/>
    <s v="Ahmedabad"/>
    <s v="Go"/>
    <n v="10.45"/>
    <n v="100"/>
    <x v="0"/>
    <n v="0"/>
    <m/>
    <x v="38"/>
    <m/>
    <m/>
    <n v="2880"/>
    <s v="No"/>
    <n v="62"/>
    <s v="Normal"/>
    <s v="Achieved"/>
    <n v="0"/>
    <m/>
    <m/>
    <m/>
    <m/>
    <d v="2026-03-19T00:00:00"/>
    <s v="Week12"/>
    <x v="16"/>
    <s v="Go"/>
    <n v="100"/>
    <n v="0"/>
    <n v="0"/>
    <s v="Harsh"/>
    <s v="Ankit"/>
    <s v="Ankit"/>
    <s v=""/>
    <s v="12829607Chintul Sutaria"/>
    <s v=""/>
    <s v=""/>
    <s v="Ahmedabad"/>
    <x v="0"/>
    <s v=""/>
    <n v="0"/>
    <s v="Chintul Sutaria"/>
    <x v="0"/>
    <s v="awaiting_upload"/>
    <b v="0"/>
  </r>
  <r>
    <d v="2026-03-15T13:31:22"/>
    <d v="2026-03-15T19:01:22"/>
    <d v="2026-03-19T18:03:34"/>
    <d v="2026-03-19T23:33:34"/>
    <d v="2026-03-18T23:44:41"/>
    <d v="2026-03-19T23:33:34"/>
    <x v="0"/>
    <n v="9472"/>
    <n v="1428.8833"/>
    <x v="0"/>
    <n v="12829182"/>
    <s v="Jules J Barefoot, "/>
    <s v="MEDICAL RESOURCE CENTER"/>
    <s v="Clinic"/>
    <s v="chintul.s@mediscribes.com"/>
    <x v="8"/>
    <s v="Ahmedabad"/>
    <s v="Go"/>
    <n v="161.77000000000001"/>
    <n v="100"/>
    <x v="1"/>
    <n v="4"/>
    <m/>
    <x v="39"/>
    <m/>
    <m/>
    <n v="1440"/>
    <s v="No"/>
    <n v="889"/>
    <s v="Normal"/>
    <s v="Achieved"/>
    <n v="0"/>
    <m/>
    <m/>
    <m/>
    <m/>
    <d v="2026-03-19T00:00:00"/>
    <s v="Week12"/>
    <x v="17"/>
    <s v="Go"/>
    <n v="100"/>
    <n v="0"/>
    <n v="0"/>
    <s v="Harsh"/>
    <s v="Ankit"/>
    <s v="Ankit"/>
    <s v="Minor"/>
    <s v="12829182Chintul Sutaria"/>
    <s v="Minor"/>
    <n v="0"/>
    <s v="Ahmedabad"/>
    <x v="0"/>
    <n v="1"/>
    <n v="4"/>
    <s v="Chintul Sutaria"/>
    <x v="0"/>
    <s v="ready_for_review"/>
    <b v="0"/>
  </r>
  <r>
    <d v="2026-03-10T16:49:30"/>
    <d v="2026-03-10T22:19:30"/>
    <d v="2026-03-19T18:10:23"/>
    <d v="2026-03-19T23:40:23"/>
    <d v="2026-03-16T10:57:11"/>
    <d v="2026-03-19T23:40:23"/>
    <x v="0"/>
    <n v="10652"/>
    <n v="5083.2"/>
    <x v="0"/>
    <n v="12827892"/>
    <s v="Jeffrey C Brackett, MD, FACC"/>
    <s v="Cardiology Associates Medical Group"/>
    <s v="Clinic"/>
    <s v="PratheepKumar.a@cardioscribes.com"/>
    <x v="6"/>
    <s v="Chennai"/>
    <s v="No Go"/>
    <n v="58.4"/>
    <n v="98"/>
    <x v="2"/>
    <n v="2"/>
    <m/>
    <x v="29"/>
    <m/>
    <m/>
    <n v="1440"/>
    <s v="No"/>
    <n v="222"/>
    <s v="Normal"/>
    <s v="Achieved"/>
    <n v="0"/>
    <m/>
    <m/>
    <m/>
    <m/>
    <d v="2026-03-19T00:00:00"/>
    <s v="Week12"/>
    <x v="12"/>
    <s v="NoGo"/>
    <n v="96.575342465753423"/>
    <n v="2"/>
    <n v="2"/>
    <s v="Harsh"/>
    <s v="Aneesh"/>
    <s v="Aneesh"/>
    <s v="Major"/>
    <s v="12827892Pratheep Kumar"/>
    <s v="Major"/>
    <n v="1"/>
    <s v="Trivandrum"/>
    <x v="1"/>
    <n v="1"/>
    <n v="2"/>
    <s v="Pratheep Kumar"/>
    <x v="0"/>
    <s v="awaiting_upload"/>
    <b v="1"/>
  </r>
  <r>
    <d v="2026-03-10T16:49:30"/>
    <d v="2026-03-10T22:19:30"/>
    <d v="2026-03-19T18:10:23"/>
    <d v="2026-03-19T23:40:23"/>
    <d v="2026-03-16T10:57:11"/>
    <d v="2026-03-19T23:40:23"/>
    <x v="0"/>
    <n v="10652"/>
    <n v="5083.2"/>
    <x v="0"/>
    <n v="12827892"/>
    <s v="Jeffrey C Brackett, MD, FACC"/>
    <s v="Cardiology Associates Medical Group"/>
    <s v="Clinic"/>
    <s v="PratheepKumar.a@cardioscribes.com"/>
    <x v="6"/>
    <s v="Chennai"/>
    <s v="No Go"/>
    <n v="58.4"/>
    <n v="98"/>
    <x v="1"/>
    <n v="5"/>
    <m/>
    <x v="29"/>
    <m/>
    <m/>
    <n v="1440"/>
    <s v="No"/>
    <n v="222"/>
    <s v="Normal"/>
    <s v="Achieved"/>
    <n v="0"/>
    <m/>
    <m/>
    <m/>
    <m/>
    <d v="2026-03-19T00:00:00"/>
    <s v="Week12"/>
    <x v="12"/>
    <s v="NoGo"/>
    <n v="96.575342465753423"/>
    <n v="0"/>
    <n v="2"/>
    <s v="Harsh"/>
    <s v="Aneesh"/>
    <s v="Aneesh"/>
    <s v="Minor"/>
    <s v="12827892Pratheep Kumar"/>
    <s v="Minor"/>
    <n v="0"/>
    <s v="Trivandrum"/>
    <x v="0"/>
    <n v="1"/>
    <n v="5"/>
    <s v="Pratheep Kumar"/>
    <x v="0"/>
    <s v="awaiting_upload"/>
    <b v="0"/>
  </r>
  <r>
    <d v="2026-03-11T16:48:57"/>
    <d v="2026-03-11T22:18:57"/>
    <d v="2026-03-19T18:15:52"/>
    <d v="2026-03-19T23:45:52"/>
    <d v="2026-03-16T10:58:21"/>
    <d v="2026-03-19T23:45:52"/>
    <x v="0"/>
    <n v="481"/>
    <n v="5087.5167000000001"/>
    <x v="0"/>
    <n v="12828332"/>
    <s v="Jeffrey C Brackett, MD, FACC"/>
    <s v="Cardiology Associates Medical Group"/>
    <s v="Clinic"/>
    <s v="Tejasahm@gmail.com"/>
    <x v="7"/>
    <s v="Ahmedabad"/>
    <s v="Go"/>
    <n v="32.92"/>
    <n v="100"/>
    <x v="0"/>
    <n v="0"/>
    <m/>
    <x v="29"/>
    <m/>
    <m/>
    <n v="1440"/>
    <s v="No"/>
    <n v="122"/>
    <s v="Normal"/>
    <s v="Achieved"/>
    <n v="0"/>
    <m/>
    <m/>
    <m/>
    <m/>
    <d v="2026-03-19T00:00:00"/>
    <s v="Week12"/>
    <x v="12"/>
    <s v="Go"/>
    <n v="100"/>
    <n v="0"/>
    <n v="0"/>
    <s v="Harsh"/>
    <s v="Ankit"/>
    <s v="Ankit"/>
    <s v=""/>
    <s v="12828332Tejas Patel"/>
    <s v=""/>
    <s v=""/>
    <s v="Ahmedabad"/>
    <x v="0"/>
    <s v=""/>
    <n v="0"/>
    <s v="Tejas Patel"/>
    <x v="0"/>
    <s v="awaiting_upload"/>
    <b v="0"/>
  </r>
  <r>
    <d v="2026-03-11T16:49:26"/>
    <d v="2026-03-11T22:19:26"/>
    <d v="2026-03-19T18:19:57"/>
    <d v="2026-03-19T23:49:57"/>
    <d v="2026-03-17T10:56:54"/>
    <d v="2026-03-19T23:49:57"/>
    <x v="0"/>
    <n v="232"/>
    <n v="3653.05"/>
    <x v="0"/>
    <n v="12828338"/>
    <s v="Jeffrey C Brackett, MD, FACC"/>
    <s v="Cardiology Associates Medical Group"/>
    <s v="Clinic"/>
    <s v="Tejasahm@gmail.com"/>
    <x v="7"/>
    <s v="Ahmedabad"/>
    <s v="Go"/>
    <n v="38.549999999999997"/>
    <n v="100"/>
    <x v="1"/>
    <n v="2"/>
    <m/>
    <x v="29"/>
    <m/>
    <m/>
    <n v="1440"/>
    <s v="No"/>
    <n v="146"/>
    <s v="Normal"/>
    <s v="Achieved"/>
    <n v="0"/>
    <m/>
    <m/>
    <m/>
    <m/>
    <d v="2026-03-19T00:00:00"/>
    <s v="Week12"/>
    <x v="12"/>
    <s v="Go"/>
    <n v="100"/>
    <n v="0"/>
    <n v="0"/>
    <s v="Harsh"/>
    <s v="Ankit"/>
    <s v="Ankit"/>
    <s v="Minor"/>
    <s v="12828338Tejas Patel"/>
    <s v="Minor"/>
    <n v="0"/>
    <s v="Ahmedabad"/>
    <x v="0"/>
    <n v="1"/>
    <n v="2"/>
    <s v="Tejas Patel"/>
    <x v="0"/>
    <s v="awaiting_upload"/>
    <b v="0"/>
  </r>
  <r>
    <d v="2026-03-11T16:49:56"/>
    <d v="2026-03-11T22:19:56"/>
    <d v="2026-03-19T18:26:04"/>
    <d v="2026-03-19T23:56:04"/>
    <d v="2026-03-17T10:57:04"/>
    <d v="2026-03-19T23:56:04"/>
    <x v="0"/>
    <n v="358"/>
    <n v="3659"/>
    <x v="0"/>
    <n v="12828335"/>
    <s v="Jeffrey C Brackett, MD, FACC"/>
    <s v="Cardiology Associates Medical Group"/>
    <s v="Clinic"/>
    <s v="Tejasahm@gmail.com"/>
    <x v="7"/>
    <s v="Ahmedabad"/>
    <s v="No Go"/>
    <n v="51.82"/>
    <n v="98"/>
    <x v="2"/>
    <n v="1"/>
    <m/>
    <x v="29"/>
    <m/>
    <m/>
    <n v="1440"/>
    <s v="No"/>
    <n v="175"/>
    <s v="Normal"/>
    <s v="Achieved"/>
    <n v="0"/>
    <m/>
    <m/>
    <m/>
    <m/>
    <d v="2026-03-19T00:00:00"/>
    <s v="Week12"/>
    <x v="12"/>
    <s v="NoGo"/>
    <n v="96.140486298726358"/>
    <n v="1"/>
    <n v="2"/>
    <s v="Harsh"/>
    <s v="Ankit"/>
    <s v="Ankit"/>
    <s v="Major"/>
    <s v="12828335Tejas Patel"/>
    <s v="Major"/>
    <n v="1"/>
    <s v="Ahmedabad"/>
    <x v="1"/>
    <n v="1"/>
    <n v="1"/>
    <s v="Tejas Patel"/>
    <x v="0"/>
    <s v="awaiting_upload"/>
    <b v="1"/>
  </r>
  <r>
    <d v="2026-03-11T16:49:56"/>
    <d v="2026-03-11T22:19:56"/>
    <d v="2026-03-19T18:26:04"/>
    <d v="2026-03-19T23:56:04"/>
    <d v="2026-03-17T10:57:04"/>
    <d v="2026-03-19T23:56:04"/>
    <x v="0"/>
    <n v="358"/>
    <n v="3659"/>
    <x v="0"/>
    <n v="12828335"/>
    <s v="Jeffrey C Brackett, MD, FACC"/>
    <s v="Cardiology Associates Medical Group"/>
    <s v="Clinic"/>
    <s v="Tejasahm@gmail.com"/>
    <x v="7"/>
    <s v="Ahmedabad"/>
    <s v="No Go"/>
    <n v="51.82"/>
    <n v="98"/>
    <x v="4"/>
    <n v="1"/>
    <m/>
    <x v="29"/>
    <m/>
    <m/>
    <n v="1440"/>
    <s v="No"/>
    <n v="175"/>
    <s v="Normal"/>
    <s v="Achieved"/>
    <n v="0"/>
    <m/>
    <m/>
    <m/>
    <m/>
    <d v="2026-03-19T00:00:00"/>
    <s v="Week12"/>
    <x v="12"/>
    <s v="NoGo"/>
    <n v="96.140486298726358"/>
    <n v="1"/>
    <n v="2"/>
    <s v="Harsh"/>
    <s v="Ankit"/>
    <s v="Ankit"/>
    <s v="Major"/>
    <s v="12828335Tejas Patel"/>
    <s v="Major"/>
    <n v="1"/>
    <s v="Ahmedabad"/>
    <x v="1"/>
    <n v="1"/>
    <n v="1"/>
    <s v="Tejas Patel"/>
    <x v="0"/>
    <s v="awaiting_upload"/>
    <b v="1"/>
  </r>
  <r>
    <d v="2026-03-11T16:49:56"/>
    <d v="2026-03-11T22:19:56"/>
    <d v="2026-03-19T18:26:04"/>
    <d v="2026-03-19T23:56:04"/>
    <d v="2026-03-17T10:57:04"/>
    <d v="2026-03-19T23:56:04"/>
    <x v="0"/>
    <n v="358"/>
    <n v="3659"/>
    <x v="0"/>
    <n v="12828335"/>
    <s v="Jeffrey C Brackett, MD, FACC"/>
    <s v="Cardiology Associates Medical Group"/>
    <s v="Clinic"/>
    <s v="Tejasahm@gmail.com"/>
    <x v="7"/>
    <s v="Ahmedabad"/>
    <s v="No Go"/>
    <n v="51.82"/>
    <n v="98"/>
    <x v="1"/>
    <n v="1"/>
    <m/>
    <x v="29"/>
    <m/>
    <m/>
    <n v="1440"/>
    <s v="No"/>
    <n v="175"/>
    <s v="Normal"/>
    <s v="Achieved"/>
    <n v="0"/>
    <m/>
    <m/>
    <m/>
    <m/>
    <d v="2026-03-19T00:00:00"/>
    <s v="Week12"/>
    <x v="12"/>
    <s v="NoGo"/>
    <n v="96.140486298726358"/>
    <n v="0"/>
    <n v="2"/>
    <s v="Harsh"/>
    <s v="Ankit"/>
    <s v="Ankit"/>
    <s v="Minor"/>
    <s v="12828335Tejas Patel"/>
    <s v="Minor"/>
    <n v="0"/>
    <s v="Ahmedabad"/>
    <x v="0"/>
    <n v="1"/>
    <n v="1"/>
    <s v="Tejas Patel"/>
    <x v="0"/>
    <s v="awaiting_upload"/>
    <b v="0"/>
  </r>
  <r>
    <d v="2026-03-11T16:50:20"/>
    <d v="2026-03-11T22:20:20"/>
    <d v="2026-03-19T18:30:41"/>
    <d v="2026-03-20T00:00:41"/>
    <d v="2026-03-18T23:44:26"/>
    <d v="2026-03-20T00:00:41"/>
    <x v="0"/>
    <n v="267"/>
    <n v="1456.25"/>
    <x v="0"/>
    <n v="12828339"/>
    <s v="Jeffrey C Brackett, MD, FACC"/>
    <s v="Cardiology Associates Medical Group"/>
    <s v="Clinic"/>
    <s v="Tejasahm@gmail.com"/>
    <x v="7"/>
    <s v="Ahmedabad"/>
    <s v="Go"/>
    <n v="45.95"/>
    <n v="99"/>
    <x v="2"/>
    <n v="1"/>
    <m/>
    <x v="29"/>
    <m/>
    <m/>
    <n v="1440"/>
    <s v="No"/>
    <n v="174"/>
    <s v="Normal"/>
    <s v="Achieved"/>
    <n v="1"/>
    <m/>
    <m/>
    <m/>
    <m/>
    <d v="2026-03-20T00:00:00"/>
    <s v="Week12"/>
    <x v="12"/>
    <s v="NoGo"/>
    <n v="97.823721436343845"/>
    <n v="1"/>
    <n v="1"/>
    <s v="Harsh"/>
    <s v="Ankit"/>
    <s v="Ankit"/>
    <s v="Major"/>
    <s v="12828339Tejas Patel"/>
    <s v="Major"/>
    <n v="1"/>
    <s v="Ahmedabad"/>
    <x v="1"/>
    <n v="1"/>
    <n v="1"/>
    <s v="Tejas Patel"/>
    <x v="0"/>
    <s v="awaiting_upload"/>
    <b v="1"/>
  </r>
  <r>
    <d v="2026-03-11T16:50:20"/>
    <d v="2026-03-11T22:20:20"/>
    <d v="2026-03-19T18:30:41"/>
    <d v="2026-03-20T00:00:41"/>
    <d v="2026-03-18T23:44:26"/>
    <d v="2026-03-20T00:00:41"/>
    <x v="0"/>
    <n v="267"/>
    <n v="1456.25"/>
    <x v="0"/>
    <n v="12828339"/>
    <s v="Jeffrey C Brackett, MD, FACC"/>
    <s v="Cardiology Associates Medical Group"/>
    <s v="Clinic"/>
    <s v="Tejasahm@gmail.com"/>
    <x v="7"/>
    <s v="Ahmedabad"/>
    <s v="Go"/>
    <n v="45.95"/>
    <n v="99"/>
    <x v="1"/>
    <n v="1"/>
    <m/>
    <x v="29"/>
    <m/>
    <m/>
    <n v="1440"/>
    <s v="No"/>
    <n v="174"/>
    <s v="Normal"/>
    <s v="Achieved"/>
    <n v="1"/>
    <m/>
    <m/>
    <m/>
    <m/>
    <d v="2026-03-20T00:00:00"/>
    <s v="Week12"/>
    <x v="12"/>
    <s v="NoGo"/>
    <n v="97.823721436343845"/>
    <n v="0"/>
    <n v="1"/>
    <s v="Harsh"/>
    <s v="Ankit"/>
    <s v="Ankit"/>
    <s v="Minor"/>
    <s v="12828339Tejas Patel"/>
    <s v="Minor"/>
    <n v="0"/>
    <s v="Ahmedabad"/>
    <x v="0"/>
    <n v="1"/>
    <n v="1"/>
    <s v="Tejas Patel"/>
    <x v="0"/>
    <s v="awaiting_upload"/>
    <b v="0"/>
  </r>
  <r>
    <d v="2026-03-16T09:29:32"/>
    <d v="2026-03-16T14:59:32"/>
    <d v="2026-03-20T02:12:06"/>
    <d v="2026-03-20T07:42:06"/>
    <d v="2026-03-18T23:45:55"/>
    <d v="2026-03-20T07:42:06"/>
    <x v="0"/>
    <n v="393"/>
    <n v="1916.1832999999999"/>
    <x v="0"/>
    <n v="12829277"/>
    <s v="Manuel Ojeda, MD"/>
    <s v="Miami Jewish Health Systems"/>
    <s v="NursingHome"/>
    <s v="chintul.s@mediscribes.com"/>
    <x v="8"/>
    <s v="Ahmedabad"/>
    <s v="Go"/>
    <n v="33.35"/>
    <n v="99"/>
    <x v="2"/>
    <n v="1"/>
    <m/>
    <x v="17"/>
    <m/>
    <m/>
    <n v="720"/>
    <s v="Yes"/>
    <n v="121"/>
    <s v="Normal"/>
    <s v="Achieved"/>
    <n v="1"/>
    <m/>
    <m/>
    <m/>
    <m/>
    <d v="2026-03-20T00:00:00"/>
    <s v="Week12"/>
    <x v="7"/>
    <s v="NoGo"/>
    <n v="97.001499250374806"/>
    <n v="1"/>
    <n v="1"/>
    <s v="Aneesh"/>
    <s v="Ankit"/>
    <s v="Aneesh"/>
    <s v="Major"/>
    <s v="12829277Chintul Sutaria"/>
    <s v="Major"/>
    <n v="1"/>
    <s v="Ahmedabad"/>
    <x v="1"/>
    <n v="1"/>
    <n v="1"/>
    <s v="Gopal Rajith"/>
    <x v="1"/>
    <s v="awaiting_upload"/>
    <b v="1"/>
  </r>
  <r>
    <d v="2026-03-16T09:29:32"/>
    <d v="2026-03-16T14:59:32"/>
    <d v="2026-03-20T02:12:06"/>
    <d v="2026-03-20T07:42:06"/>
    <d v="2026-03-18T23:45:55"/>
    <d v="2026-03-20T07:42:06"/>
    <x v="0"/>
    <n v="393"/>
    <n v="1916.1832999999999"/>
    <x v="0"/>
    <n v="12829277"/>
    <s v="Manuel Ojeda, MD"/>
    <s v="Miami Jewish Health Systems"/>
    <s v="NursingHome"/>
    <s v="chintul.s@mediscribes.com"/>
    <x v="8"/>
    <s v="Ahmedabad"/>
    <s v="Go"/>
    <n v="33.35"/>
    <n v="99"/>
    <x v="1"/>
    <n v="1"/>
    <m/>
    <x v="17"/>
    <m/>
    <m/>
    <n v="720"/>
    <s v="Yes"/>
    <n v="121"/>
    <s v="Normal"/>
    <s v="Achieved"/>
    <n v="1"/>
    <m/>
    <m/>
    <m/>
    <m/>
    <d v="2026-03-20T00:00:00"/>
    <s v="Week12"/>
    <x v="7"/>
    <s v="NoGo"/>
    <n v="97.001499250374806"/>
    <n v="0"/>
    <n v="1"/>
    <s v="Aneesh"/>
    <s v="Ankit"/>
    <s v="Aneesh"/>
    <s v="Minor"/>
    <s v="12829277Chintul Sutaria"/>
    <s v="Minor"/>
    <n v="0"/>
    <s v="Ahmedabad"/>
    <x v="0"/>
    <n v="1"/>
    <n v="1"/>
    <s v="Gopal Rajith"/>
    <x v="1"/>
    <s v="awaiting_upload"/>
    <b v="0"/>
  </r>
  <r>
    <d v="2026-03-12T07:55:21"/>
    <d v="2026-03-12T13:25:21"/>
    <d v="2026-03-20T02:16:14"/>
    <d v="2026-03-20T07:46:14"/>
    <d v="2026-03-17T10:57:30"/>
    <d v="2026-03-20T07:46:14"/>
    <x v="0"/>
    <n v="235"/>
    <n v="4128.7332999999999"/>
    <x v="0"/>
    <n v="12828428"/>
    <s v="ROHIT GHANSHYAMBHAI PATEL, MD"/>
    <s v="Regional Medical Center Anniston"/>
    <s v="Clinic"/>
    <s v="gopalrajith@gmail.com"/>
    <x v="4"/>
    <s v="Trivandrum"/>
    <s v="Go"/>
    <n v="39.619999999999997"/>
    <n v="100"/>
    <x v="1"/>
    <n v="2"/>
    <m/>
    <x v="40"/>
    <m/>
    <m/>
    <n v="1440"/>
    <s v="No"/>
    <n v="176"/>
    <s v="Normal"/>
    <s v="Achieved"/>
    <n v="0"/>
    <m/>
    <m/>
    <m/>
    <m/>
    <d v="2026-03-20T00:00:00"/>
    <s v="Week12"/>
    <x v="10"/>
    <s v="Go"/>
    <n v="100"/>
    <n v="0"/>
    <n v="0"/>
    <s v="Ankit"/>
    <s v="Aneesh"/>
    <s v="Aneesh"/>
    <s v="Minor"/>
    <s v="12828428Gopal Rajith"/>
    <s v="Minor"/>
    <n v="0"/>
    <s v="Trivandrum"/>
    <x v="0"/>
    <n v="1"/>
    <n v="2"/>
    <s v="Gopal Rajith"/>
    <x v="0"/>
    <s v="awaiting_upload"/>
    <b v="0"/>
  </r>
  <r>
    <d v="2026-03-12T08:05:47"/>
    <d v="2026-03-12T13:35:47"/>
    <d v="2026-03-20T02:19:49"/>
    <d v="2026-03-20T07:49:49"/>
    <d v="2026-03-18T00:33:35"/>
    <d v="2026-03-20T07:49:49"/>
    <x v="0"/>
    <n v="206"/>
    <n v="3316.2332999999999"/>
    <x v="0"/>
    <n v="12828434"/>
    <s v="ROHIT GHANSHYAMBHAI PATEL, MD"/>
    <s v="Regional Medical Center Anniston"/>
    <s v="Clinic"/>
    <s v="gopalrajith@gmail.com"/>
    <x v="4"/>
    <s v="Trivandrum"/>
    <s v="Go"/>
    <n v="29.54"/>
    <n v="100"/>
    <x v="0"/>
    <n v="0"/>
    <m/>
    <x v="40"/>
    <m/>
    <m/>
    <n v="1440"/>
    <s v="No"/>
    <n v="120"/>
    <s v="Normal"/>
    <s v="Achieved"/>
    <n v="0"/>
    <m/>
    <m/>
    <m/>
    <m/>
    <d v="2026-03-20T00:00:00"/>
    <s v="Week12"/>
    <x v="10"/>
    <s v="Go"/>
    <n v="100"/>
    <n v="0"/>
    <n v="0"/>
    <s v="Ankit"/>
    <s v="Aneesh"/>
    <s v="Aneesh"/>
    <s v=""/>
    <s v="12828434Gopal Rajith"/>
    <s v=""/>
    <s v=""/>
    <s v="Trivandrum"/>
    <x v="0"/>
    <s v=""/>
    <n v="0"/>
    <s v="Gopal Rajith"/>
    <x v="0"/>
    <s v="awaiting_upload"/>
    <b v="0"/>
  </r>
  <r>
    <d v="2026-03-12T08:08:17"/>
    <d v="2026-03-12T13:38:17"/>
    <d v="2026-03-20T02:24:19"/>
    <d v="2026-03-20T07:54:19"/>
    <d v="2026-03-17T10:57:36"/>
    <d v="2026-03-20T07:54:19"/>
    <x v="0"/>
    <n v="196"/>
    <n v="4136.7166999999999"/>
    <x v="0"/>
    <n v="12828433"/>
    <s v="ROHIT GHANSHYAMBHAI PATEL, MD"/>
    <s v="Regional Medical Center Anniston"/>
    <s v="Clinic"/>
    <s v="gopalrajith@gmail.com"/>
    <x v="4"/>
    <s v="Trivandrum"/>
    <s v="Go"/>
    <n v="31.31"/>
    <n v="100"/>
    <x v="0"/>
    <n v="0"/>
    <m/>
    <x v="40"/>
    <m/>
    <m/>
    <n v="1440"/>
    <s v="No"/>
    <n v="120"/>
    <s v="Normal"/>
    <s v="Achieved"/>
    <n v="0"/>
    <m/>
    <m/>
    <m/>
    <m/>
    <d v="2026-03-20T00:00:00"/>
    <s v="Week12"/>
    <x v="10"/>
    <s v="Go"/>
    <n v="100"/>
    <n v="0"/>
    <n v="0"/>
    <s v="Ankit"/>
    <s v="Aneesh"/>
    <s v="Aneesh"/>
    <s v=""/>
    <s v="12828433Gopal Rajith"/>
    <s v=""/>
    <s v=""/>
    <s v="Trivandrum"/>
    <x v="0"/>
    <s v=""/>
    <n v="0"/>
    <s v="Gopal Rajith"/>
    <x v="0"/>
    <s v="awaiting_upload"/>
    <b v="0"/>
  </r>
  <r>
    <d v="2026-03-11T08:24:06"/>
    <d v="2026-03-11T13:54:06"/>
    <d v="2026-03-20T02:30:38"/>
    <d v="2026-03-20T08:00:38"/>
    <d v="2026-03-18T23:44:15"/>
    <d v="2026-03-20T08:00:38"/>
    <x v="0"/>
    <n v="868"/>
    <n v="1936.3833"/>
    <x v="0"/>
    <n v="12828049"/>
    <s v="Julie Morantz, PA"/>
    <s v="Cardiology Associates Medical Group"/>
    <s v="Clinic"/>
    <s v="Tejasahm@gmail.com"/>
    <x v="7"/>
    <s v="Ahmedabad"/>
    <s v="Go"/>
    <n v="41.89"/>
    <n v="100"/>
    <x v="1"/>
    <n v="3"/>
    <m/>
    <x v="29"/>
    <m/>
    <m/>
    <n v="1440"/>
    <s v="No"/>
    <n v="262"/>
    <s v="Normal"/>
    <s v="Achieved"/>
    <n v="0"/>
    <m/>
    <m/>
    <m/>
    <m/>
    <d v="2026-03-20T00:00:00"/>
    <s v="Week12"/>
    <x v="12"/>
    <s v="Go"/>
    <n v="100"/>
    <n v="0"/>
    <n v="0"/>
    <s v="Harsh"/>
    <s v="Ankit"/>
    <s v="Ankit"/>
    <s v="Minor"/>
    <s v="12828049Tejas Patel"/>
    <s v="Minor"/>
    <n v="0"/>
    <s v="Ahmedabad"/>
    <x v="0"/>
    <n v="1"/>
    <n v="3"/>
    <s v="Tejas Patel"/>
    <x v="0"/>
    <s v="awaiting_upload"/>
    <b v="0"/>
  </r>
  <r>
    <d v="2026-03-16T14:44:09"/>
    <d v="2026-03-16T20:14:09"/>
    <d v="2026-03-20T03:41:43"/>
    <d v="2026-03-20T09:11:43"/>
    <d v="2026-03-20T07:50:06"/>
    <d v="2026-03-20T09:11:43"/>
    <x v="0"/>
    <n v="3613"/>
    <n v="81.616699999999994"/>
    <x v="0"/>
    <n v="12829352"/>
    <s v="Jules J Barefoot, "/>
    <s v="MEDICAL RESOURCE CENTER"/>
    <s v="Clinic"/>
    <s v="shiny.iype@cardioscribes.com"/>
    <x v="9"/>
    <s v="Ahmedabad"/>
    <s v="Go"/>
    <n v="123.42"/>
    <n v="99"/>
    <x v="2"/>
    <n v="1"/>
    <m/>
    <x v="39"/>
    <m/>
    <m/>
    <n v="1440"/>
    <s v="No"/>
    <n v="949"/>
    <s v="Normal"/>
    <s v="Achieved"/>
    <n v="0"/>
    <m/>
    <m/>
    <m/>
    <m/>
    <d v="2026-03-20T00:00:00"/>
    <s v="Week12"/>
    <x v="17"/>
    <s v="Go"/>
    <n v="99.189758548047323"/>
    <n v="1"/>
    <n v="1"/>
    <s v="Harsh"/>
    <s v="Ankit"/>
    <s v="Ankit"/>
    <s v="Major"/>
    <s v="12829352Shiny Iype"/>
    <s v="Major"/>
    <n v="1"/>
    <s v="Ahmedabad"/>
    <x v="1"/>
    <n v="1"/>
    <n v="1"/>
    <s v="Shiny Iype"/>
    <x v="0"/>
    <s v="ready_for_review"/>
    <b v="1"/>
  </r>
  <r>
    <d v="2026-03-16T14:44:09"/>
    <d v="2026-03-16T20:14:09"/>
    <d v="2026-03-20T03:41:43"/>
    <d v="2026-03-20T09:11:43"/>
    <d v="2026-03-20T07:50:06"/>
    <d v="2026-03-20T09:11:43"/>
    <x v="0"/>
    <n v="3613"/>
    <n v="81.616699999999994"/>
    <x v="0"/>
    <n v="12829352"/>
    <s v="Jules J Barefoot, "/>
    <s v="MEDICAL RESOURCE CENTER"/>
    <s v="Clinic"/>
    <s v="shiny.iype@cardioscribes.com"/>
    <x v="9"/>
    <s v="Ahmedabad"/>
    <s v="Go"/>
    <n v="123.42"/>
    <n v="99"/>
    <x v="1"/>
    <n v="4"/>
    <m/>
    <x v="39"/>
    <m/>
    <m/>
    <n v="1440"/>
    <s v="No"/>
    <n v="949"/>
    <s v="Normal"/>
    <s v="Achieved"/>
    <n v="0"/>
    <m/>
    <m/>
    <m/>
    <m/>
    <d v="2026-03-20T00:00:00"/>
    <s v="Week12"/>
    <x v="17"/>
    <s v="Go"/>
    <n v="99.189758548047323"/>
    <n v="0"/>
    <n v="1"/>
    <s v="Harsh"/>
    <s v="Ankit"/>
    <s v="Ankit"/>
    <s v="Minor"/>
    <s v="12829352Shiny Iype"/>
    <s v="Minor"/>
    <n v="0"/>
    <s v="Ahmedabad"/>
    <x v="0"/>
    <n v="1"/>
    <n v="4"/>
    <s v="Shiny Iype"/>
    <x v="0"/>
    <s v="ready_for_review"/>
    <b v="0"/>
  </r>
  <r>
    <d v="2026-03-17T12:39:10"/>
    <d v="2026-03-17T18:09:10"/>
    <d v="2026-03-20T07:59:12"/>
    <d v="2026-03-20T13:29:12"/>
    <d v="2026-03-20T07:50:21"/>
    <d v="2026-03-20T13:29:12"/>
    <x v="0"/>
    <n v="10103"/>
    <n v="338.85"/>
    <x v="0"/>
    <n v="12829708"/>
    <s v="Mary Law, Psy. D"/>
    <s v="Department Of Health Services - Wisconsin"/>
    <s v="Clinic"/>
    <s v="chintul.s@mediscribes.com"/>
    <x v="8"/>
    <s v="Ahmedabad"/>
    <s v="Go"/>
    <n v="160.4"/>
    <n v="100"/>
    <x v="1"/>
    <n v="2"/>
    <m/>
    <x v="6"/>
    <m/>
    <m/>
    <n v="1440"/>
    <s v="No"/>
    <n v="541"/>
    <s v="Normal"/>
    <s v="Achieved"/>
    <n v="0"/>
    <m/>
    <m/>
    <m/>
    <m/>
    <d v="2026-03-20T00:00:00"/>
    <s v="Week12"/>
    <x v="3"/>
    <s v="Go"/>
    <n v="100"/>
    <n v="0"/>
    <n v="0"/>
    <s v="Harsh"/>
    <s v="Ankit"/>
    <s v="Harsh"/>
    <s v="Minor"/>
    <s v="12829708Chintul Sutaria"/>
    <s v="Minor"/>
    <n v="0"/>
    <s v="Ahmedabad"/>
    <x v="0"/>
    <n v="1"/>
    <n v="2"/>
    <s v="Parineeta Patel"/>
    <x v="1"/>
    <s v="awaiting_upload"/>
    <b v="0"/>
  </r>
  <r>
    <d v="2026-03-16T11:37:55"/>
    <d v="2026-03-16T17:07:55"/>
    <d v="2026-03-20T08:17:02"/>
    <d v="2026-03-20T13:47:02"/>
    <d v="2026-03-20T07:50:14"/>
    <d v="2026-03-20T13:47:02"/>
    <x v="0"/>
    <n v="846"/>
    <n v="356.8"/>
    <x v="0"/>
    <n v="12829325"/>
    <s v="Kurt L Reintjes, MD"/>
    <s v="Sagebrush Medical Consultants"/>
    <s v="Clinic"/>
    <s v="chintul.s@mediscribes.com"/>
    <x v="8"/>
    <s v="Ahmedabad"/>
    <s v="Go"/>
    <n v="68.349999999999994"/>
    <n v="99"/>
    <x v="4"/>
    <n v="1"/>
    <m/>
    <x v="31"/>
    <m/>
    <m/>
    <n v="1440"/>
    <s v="No"/>
    <n v="499"/>
    <s v="Normal"/>
    <s v="Achieved"/>
    <n v="0"/>
    <m/>
    <m/>
    <m/>
    <m/>
    <d v="2026-03-20T00:00:00"/>
    <s v="Week12"/>
    <x v="18"/>
    <s v="Go"/>
    <n v="98.536942209217258"/>
    <n v="1"/>
    <n v="1"/>
    <s v="Harsh"/>
    <s v="Ankit"/>
    <s v="Ankit"/>
    <s v="Major"/>
    <s v="12829325Chintul Sutaria"/>
    <s v="Major"/>
    <n v="1"/>
    <s v="Ahmedabad"/>
    <x v="0"/>
    <n v="1"/>
    <n v="1"/>
    <s v="Chintul Sutaria"/>
    <x v="0"/>
    <s v="awaiting_upload"/>
    <b v="0"/>
  </r>
  <r>
    <d v="2026-03-15T20:29:08"/>
    <d v="2026-03-16T01:59:08"/>
    <d v="2026-03-20T08:34:06"/>
    <d v="2026-03-20T14:04:06"/>
    <d v="2026-03-18T23:45:24"/>
    <d v="2026-03-20T14:04:06"/>
    <x v="0"/>
    <n v="2407"/>
    <n v="2298.6999999999998"/>
    <x v="0"/>
    <n v="12829230"/>
    <s v="Fred V Lause, DPM"/>
    <s v="Fred V Lause, DPM"/>
    <s v="Clinic"/>
    <s v="shiny.iype@cardioscribes.com"/>
    <x v="9"/>
    <s v="Ahmedabad"/>
    <s v="No Go"/>
    <n v="59.82"/>
    <n v="98"/>
    <x v="4"/>
    <n v="1"/>
    <m/>
    <x v="41"/>
    <m/>
    <m/>
    <n v="1440"/>
    <s v="No"/>
    <n v="440"/>
    <s v="Normal"/>
    <s v="Achieved"/>
    <n v="0"/>
    <m/>
    <m/>
    <m/>
    <m/>
    <d v="2026-03-20T00:00:00"/>
    <s v="Week12"/>
    <x v="19"/>
    <s v="NoGo"/>
    <n v="96.656636576395854"/>
    <n v="1"/>
    <n v="2"/>
    <s v="Ankit"/>
    <s v="Ankit"/>
    <s v="Ankit"/>
    <s v="Major"/>
    <s v="12829230Shiny Iype"/>
    <s v="Major"/>
    <n v="1"/>
    <s v="Ahmedabad"/>
    <x v="1"/>
    <n v="1"/>
    <n v="1"/>
    <s v="Shiny Iype"/>
    <x v="0"/>
    <s v="awaiting_upload"/>
    <b v="1"/>
  </r>
  <r>
    <d v="2026-03-15T20:29:08"/>
    <d v="2026-03-16T01:59:08"/>
    <d v="2026-03-20T08:34:06"/>
    <d v="2026-03-20T14:04:06"/>
    <d v="2026-03-18T23:45:24"/>
    <d v="2026-03-20T14:04:06"/>
    <x v="0"/>
    <n v="2407"/>
    <n v="2298.6999999999998"/>
    <x v="0"/>
    <n v="12829230"/>
    <s v="Fred V Lause, DPM"/>
    <s v="Fred V Lause, DPM"/>
    <s v="Clinic"/>
    <s v="shiny.iype@cardioscribes.com"/>
    <x v="9"/>
    <s v="Ahmedabad"/>
    <s v="No Go"/>
    <n v="59.82"/>
    <n v="98"/>
    <x v="6"/>
    <n v="1"/>
    <m/>
    <x v="41"/>
    <m/>
    <m/>
    <n v="1440"/>
    <s v="No"/>
    <n v="440"/>
    <s v="Normal"/>
    <s v="Achieved"/>
    <n v="0"/>
    <m/>
    <m/>
    <m/>
    <m/>
    <d v="2026-03-20T00:00:00"/>
    <s v="Week12"/>
    <x v="19"/>
    <s v="NoGo"/>
    <n v="96.656636576395854"/>
    <n v="1"/>
    <n v="2"/>
    <s v="Ankit"/>
    <s v="Ankit"/>
    <s v="Ankit"/>
    <s v="Major"/>
    <s v="12829230Shiny Iype"/>
    <s v="Major"/>
    <n v="1"/>
    <s v="Ahmedabad"/>
    <x v="1"/>
    <n v="1"/>
    <n v="1"/>
    <s v="Shiny Iype"/>
    <x v="0"/>
    <s v="awaiting_upload"/>
    <b v="1"/>
  </r>
  <r>
    <d v="2026-03-15T20:29:08"/>
    <d v="2026-03-16T01:59:08"/>
    <d v="2026-03-20T08:34:06"/>
    <d v="2026-03-20T14:04:06"/>
    <d v="2026-03-18T23:45:24"/>
    <d v="2026-03-20T14:04:06"/>
    <x v="0"/>
    <n v="2407"/>
    <n v="2298.6999999999998"/>
    <x v="0"/>
    <n v="12829230"/>
    <s v="Fred V Lause, DPM"/>
    <s v="Fred V Lause, DPM"/>
    <s v="Clinic"/>
    <s v="shiny.iype@cardioscribes.com"/>
    <x v="9"/>
    <s v="Ahmedabad"/>
    <s v="No Go"/>
    <n v="59.82"/>
    <n v="98"/>
    <x v="1"/>
    <n v="3"/>
    <m/>
    <x v="41"/>
    <m/>
    <m/>
    <n v="1440"/>
    <s v="No"/>
    <n v="440"/>
    <s v="Normal"/>
    <s v="Achieved"/>
    <n v="0"/>
    <m/>
    <m/>
    <m/>
    <m/>
    <d v="2026-03-20T00:00:00"/>
    <s v="Week12"/>
    <x v="19"/>
    <s v="NoGo"/>
    <n v="96.656636576395854"/>
    <n v="0"/>
    <n v="2"/>
    <s v="Ankit"/>
    <s v="Ankit"/>
    <s v="Ankit"/>
    <s v="Minor"/>
    <s v="12829230Shiny Iype"/>
    <s v="Minor"/>
    <n v="0"/>
    <s v="Ahmedabad"/>
    <x v="0"/>
    <n v="1"/>
    <n v="3"/>
    <s v="Shiny Iype"/>
    <x v="0"/>
    <s v="awaiting_upload"/>
    <b v="0"/>
  </r>
  <r>
    <d v="2026-03-18T12:42:52"/>
    <d v="2026-03-18T18:12:52"/>
    <d v="2026-03-22T08:53:51"/>
    <d v="2026-03-22T14:23:51"/>
    <d v="2026-03-22T09:50:08"/>
    <d v="2026-03-22T14:23:51"/>
    <x v="0"/>
    <n v="195"/>
    <n v="273.7167"/>
    <x v="0"/>
    <n v="12830174"/>
    <s v="ROHIT GHANSHYAMBHAI PATEL, MD"/>
    <s v="Regional Medical Center Anniston"/>
    <s v="Clinic"/>
    <s v="gopalrajith@gmail.com"/>
    <x v="4"/>
    <s v="Trivandrum"/>
    <s v="Go"/>
    <n v="10.98"/>
    <n v="100"/>
    <x v="1"/>
    <n v="1"/>
    <m/>
    <x v="27"/>
    <m/>
    <m/>
    <n v="360"/>
    <s v="No"/>
    <n v="60"/>
    <s v="Normal"/>
    <s v="Achieved"/>
    <n v="0"/>
    <m/>
    <m/>
    <m/>
    <m/>
    <d v="2026-03-22T00:00:00"/>
    <s v="Week13"/>
    <x v="10"/>
    <s v="Go"/>
    <n v="100"/>
    <n v="0"/>
    <n v="0"/>
    <s v="Ankit"/>
    <s v="Aneesh"/>
    <s v="Aneesh"/>
    <s v="Minor"/>
    <s v="12830174Gopal Rajith"/>
    <s v="Minor"/>
    <n v="0"/>
    <s v="Trivandrum"/>
    <x v="0"/>
    <n v="1"/>
    <n v="1"/>
    <s v="Gopal Rajith"/>
    <x v="0"/>
    <s v="awaiting_upload"/>
    <b v="0"/>
  </r>
  <r>
    <d v="2026-03-17T17:13:43"/>
    <d v="2026-03-17T22:43:43"/>
    <d v="2026-03-22T09:00:17"/>
    <d v="2026-03-22T14:30:17"/>
    <d v="2026-03-22T09:50:14"/>
    <d v="2026-03-22T14:30:17"/>
    <x v="0"/>
    <n v="358"/>
    <n v="280.05"/>
    <x v="0"/>
    <n v="12829981"/>
    <s v="Brian Martinez, PAC"/>
    <s v="Cardiology Associates Medical Group"/>
    <s v="Clinic"/>
    <s v="shiny.iype@cardioscribes.com"/>
    <x v="9"/>
    <s v="Ahmedabad"/>
    <s v="No Go"/>
    <n v="42.11"/>
    <n v="97"/>
    <x v="2"/>
    <n v="2"/>
    <m/>
    <x v="29"/>
    <m/>
    <m/>
    <n v="1440"/>
    <s v="No"/>
    <n v="162"/>
    <s v="Normal"/>
    <s v="Achieved"/>
    <n v="0"/>
    <m/>
    <m/>
    <m/>
    <m/>
    <d v="2026-03-22T00:00:00"/>
    <s v="Week13"/>
    <x v="12"/>
    <s v="NoGo"/>
    <n v="92.875801472334359"/>
    <n v="2"/>
    <n v="3"/>
    <s v="Harsh"/>
    <s v="Ankit"/>
    <s v="Ankit"/>
    <s v="Major"/>
    <s v="12829981Shiny Iype"/>
    <s v="Major"/>
    <n v="1"/>
    <s v="Ahmedabad"/>
    <x v="1"/>
    <n v="1"/>
    <n v="2"/>
    <s v="Shiny Iype"/>
    <x v="0"/>
    <s v="awaiting_upload"/>
    <b v="1"/>
  </r>
  <r>
    <d v="2026-03-17T17:13:43"/>
    <d v="2026-03-17T22:43:43"/>
    <d v="2026-03-22T09:00:17"/>
    <d v="2026-03-22T14:30:17"/>
    <d v="2026-03-22T09:50:14"/>
    <d v="2026-03-22T14:30:17"/>
    <x v="0"/>
    <n v="358"/>
    <n v="280.05"/>
    <x v="0"/>
    <n v="12829981"/>
    <s v="Brian Martinez, PAC"/>
    <s v="Cardiology Associates Medical Group"/>
    <s v="Clinic"/>
    <s v="shiny.iype@cardioscribes.com"/>
    <x v="9"/>
    <s v="Ahmedabad"/>
    <s v="No Go"/>
    <n v="42.11"/>
    <n v="97"/>
    <x v="4"/>
    <n v="1"/>
    <m/>
    <x v="29"/>
    <m/>
    <m/>
    <n v="1440"/>
    <s v="No"/>
    <n v="162"/>
    <s v="Normal"/>
    <s v="Achieved"/>
    <n v="0"/>
    <m/>
    <m/>
    <m/>
    <m/>
    <d v="2026-03-22T00:00:00"/>
    <s v="Week13"/>
    <x v="12"/>
    <s v="NoGo"/>
    <n v="92.875801472334359"/>
    <n v="1"/>
    <n v="3"/>
    <s v="Harsh"/>
    <s v="Ankit"/>
    <s v="Ankit"/>
    <s v="Major"/>
    <s v="12829981Shiny Iype"/>
    <s v="Major"/>
    <n v="1"/>
    <s v="Ahmedabad"/>
    <x v="1"/>
    <n v="1"/>
    <n v="1"/>
    <s v="Shiny Iype"/>
    <x v="0"/>
    <s v="awaiting_upload"/>
    <b v="1"/>
  </r>
  <r>
    <d v="2026-03-17T17:13:43"/>
    <d v="2026-03-17T22:43:43"/>
    <d v="2026-03-22T09:00:17"/>
    <d v="2026-03-22T14:30:17"/>
    <d v="2026-03-22T09:50:14"/>
    <d v="2026-03-22T14:30:17"/>
    <x v="0"/>
    <n v="358"/>
    <n v="280.05"/>
    <x v="0"/>
    <n v="12829981"/>
    <s v="Brian Martinez, PAC"/>
    <s v="Cardiology Associates Medical Group"/>
    <s v="Clinic"/>
    <s v="shiny.iype@cardioscribes.com"/>
    <x v="9"/>
    <s v="Ahmedabad"/>
    <s v="No Go"/>
    <n v="42.11"/>
    <n v="97"/>
    <x v="1"/>
    <n v="4"/>
    <m/>
    <x v="29"/>
    <m/>
    <m/>
    <n v="1440"/>
    <s v="No"/>
    <n v="162"/>
    <s v="Normal"/>
    <s v="Achieved"/>
    <n v="0"/>
    <m/>
    <m/>
    <m/>
    <m/>
    <d v="2026-03-22T00:00:00"/>
    <s v="Week13"/>
    <x v="12"/>
    <s v="NoGo"/>
    <n v="92.875801472334359"/>
    <n v="0"/>
    <n v="3"/>
    <s v="Harsh"/>
    <s v="Ankit"/>
    <s v="Ankit"/>
    <s v="Minor"/>
    <s v="12829981Shiny Iype"/>
    <s v="Minor"/>
    <n v="0"/>
    <s v="Ahmedabad"/>
    <x v="0"/>
    <n v="1"/>
    <n v="4"/>
    <s v="Shiny Iype"/>
    <x v="0"/>
    <s v="awaiting_upload"/>
    <b v="0"/>
  </r>
  <r>
    <d v="2026-03-17T17:14:32"/>
    <d v="2026-03-17T22:44:32"/>
    <d v="2026-03-22T09:05:11"/>
    <d v="2026-03-22T14:35:11"/>
    <d v="2026-03-20T08:01:34"/>
    <d v="2026-03-22T14:35:11"/>
    <x v="0"/>
    <n v="269"/>
    <n v="3273.6167"/>
    <x v="0"/>
    <n v="12829982"/>
    <s v="Brian Martinez, PAC"/>
    <s v="Cardiology Associates Medical Group"/>
    <s v="Clinic"/>
    <s v="shiny.iype@cardioscribes.com"/>
    <x v="9"/>
    <s v="Ahmedabad"/>
    <s v="Go"/>
    <n v="31.34"/>
    <n v="99"/>
    <x v="2"/>
    <n v="1"/>
    <m/>
    <x v="29"/>
    <m/>
    <m/>
    <n v="1440"/>
    <s v="No"/>
    <n v="121"/>
    <s v="Normal"/>
    <s v="Achieved"/>
    <n v="0"/>
    <m/>
    <m/>
    <m/>
    <m/>
    <d v="2026-03-22T00:00:00"/>
    <s v="Week13"/>
    <x v="12"/>
    <s v="NoGo"/>
    <n v="96.809189534141666"/>
    <n v="1"/>
    <n v="1"/>
    <s v="Harsh"/>
    <s v="Ankit"/>
    <s v="Ankit"/>
    <s v="Major"/>
    <s v="12829982Shiny Iype"/>
    <s v="Major"/>
    <n v="1"/>
    <s v="Ahmedabad"/>
    <x v="1"/>
    <n v="1"/>
    <n v="1"/>
    <s v="Shiny Iype"/>
    <x v="0"/>
    <s v="awaiting_upload"/>
    <b v="1"/>
  </r>
  <r>
    <d v="2026-03-17T17:14:32"/>
    <d v="2026-03-17T22:44:32"/>
    <d v="2026-03-22T09:05:11"/>
    <d v="2026-03-22T14:35:11"/>
    <d v="2026-03-20T08:01:34"/>
    <d v="2026-03-22T14:35:11"/>
    <x v="0"/>
    <n v="269"/>
    <n v="3273.6167"/>
    <x v="0"/>
    <n v="12829982"/>
    <s v="Brian Martinez, PAC"/>
    <s v="Cardiology Associates Medical Group"/>
    <s v="Clinic"/>
    <s v="shiny.iype@cardioscribes.com"/>
    <x v="9"/>
    <s v="Ahmedabad"/>
    <s v="Go"/>
    <n v="31.34"/>
    <n v="99"/>
    <x v="1"/>
    <n v="5"/>
    <m/>
    <x v="29"/>
    <m/>
    <m/>
    <n v="1440"/>
    <s v="No"/>
    <n v="121"/>
    <s v="Normal"/>
    <s v="Achieved"/>
    <n v="0"/>
    <m/>
    <m/>
    <m/>
    <m/>
    <d v="2026-03-22T00:00:00"/>
    <s v="Week13"/>
    <x v="12"/>
    <s v="NoGo"/>
    <n v="96.809189534141666"/>
    <n v="0"/>
    <n v="1"/>
    <s v="Harsh"/>
    <s v="Ankit"/>
    <s v="Ankit"/>
    <s v="Minor"/>
    <s v="12829982Shiny Iype"/>
    <s v="Minor"/>
    <n v="0"/>
    <s v="Ahmedabad"/>
    <x v="0"/>
    <n v="1"/>
    <n v="5"/>
    <s v="Shiny Iype"/>
    <x v="0"/>
    <s v="awaiting_upload"/>
    <b v="0"/>
  </r>
  <r>
    <d v="2026-03-17T15:39:16"/>
    <d v="2026-03-17T21:09:16"/>
    <d v="2026-03-22T09:39:41"/>
    <d v="2026-03-22T15:09:41"/>
    <d v="2026-03-20T08:01:08"/>
    <d v="2026-03-22T15:09:41"/>
    <x v="0"/>
    <n v="398"/>
    <n v="3308.55"/>
    <x v="0"/>
    <n v="12829761"/>
    <s v="Daniel Alexander, MD"/>
    <s v="Auburn Community Hospital"/>
    <s v="Clinic"/>
    <s v="shiny.iype@cardioscribes.com"/>
    <x v="9"/>
    <s v="Ahmedabad"/>
    <s v="No Go"/>
    <n v="39.89"/>
    <n v="98"/>
    <x v="2"/>
    <n v="1"/>
    <m/>
    <x v="11"/>
    <m/>
    <m/>
    <n v="720"/>
    <s v="No"/>
    <n v="182"/>
    <s v="Normal"/>
    <s v="Achieved"/>
    <n v="0"/>
    <m/>
    <m/>
    <m/>
    <m/>
    <d v="2026-03-22T00:00:00"/>
    <s v="Week13"/>
    <x v="6"/>
    <s v="NoGo"/>
    <n v="94.986212083228878"/>
    <n v="1"/>
    <n v="2"/>
    <s v="Ankit"/>
    <s v="Ankit"/>
    <s v="Ankit"/>
    <s v="Major"/>
    <s v="12829761Shiny Iype"/>
    <s v="Major"/>
    <n v="1"/>
    <s v="Ahmedabad"/>
    <x v="1"/>
    <n v="1"/>
    <n v="1"/>
    <s v="Shiny Iype"/>
    <x v="0"/>
    <s v="awaiting_bb"/>
    <b v="1"/>
  </r>
  <r>
    <d v="2026-03-17T15:39:16"/>
    <d v="2026-03-17T21:09:16"/>
    <d v="2026-03-22T09:39:41"/>
    <d v="2026-03-22T15:09:41"/>
    <d v="2026-03-20T08:01:08"/>
    <d v="2026-03-22T15:09:41"/>
    <x v="0"/>
    <n v="398"/>
    <n v="3308.55"/>
    <x v="0"/>
    <n v="12829761"/>
    <s v="Daniel Alexander, MD"/>
    <s v="Auburn Community Hospital"/>
    <s v="Clinic"/>
    <s v="shiny.iype@cardioscribes.com"/>
    <x v="9"/>
    <s v="Ahmedabad"/>
    <s v="No Go"/>
    <n v="39.89"/>
    <n v="98"/>
    <x v="6"/>
    <n v="1"/>
    <m/>
    <x v="11"/>
    <m/>
    <m/>
    <n v="720"/>
    <s v="No"/>
    <n v="182"/>
    <s v="Normal"/>
    <s v="Achieved"/>
    <n v="0"/>
    <m/>
    <m/>
    <m/>
    <m/>
    <d v="2026-03-22T00:00:00"/>
    <s v="Week13"/>
    <x v="6"/>
    <s v="NoGo"/>
    <n v="94.986212083228878"/>
    <n v="1"/>
    <n v="2"/>
    <s v="Ankit"/>
    <s v="Ankit"/>
    <s v="Ankit"/>
    <s v="Major"/>
    <s v="12829761Shiny Iype"/>
    <s v="Major"/>
    <n v="1"/>
    <s v="Ahmedabad"/>
    <x v="1"/>
    <n v="1"/>
    <n v="1"/>
    <s v="Shiny Iype"/>
    <x v="0"/>
    <s v="awaiting_bb"/>
    <b v="1"/>
  </r>
  <r>
    <d v="2026-03-17T15:39:16"/>
    <d v="2026-03-17T21:09:16"/>
    <d v="2026-03-22T09:39:41"/>
    <d v="2026-03-22T15:09:41"/>
    <d v="2026-03-20T08:01:08"/>
    <d v="2026-03-22T15:09:41"/>
    <x v="0"/>
    <n v="398"/>
    <n v="3308.55"/>
    <x v="0"/>
    <n v="12829761"/>
    <s v="Daniel Alexander, MD"/>
    <s v="Auburn Community Hospital"/>
    <s v="Clinic"/>
    <s v="shiny.iype@cardioscribes.com"/>
    <x v="9"/>
    <s v="Ahmedabad"/>
    <s v="No Go"/>
    <n v="39.89"/>
    <n v="98"/>
    <x v="1"/>
    <n v="4"/>
    <m/>
    <x v="11"/>
    <m/>
    <m/>
    <n v="720"/>
    <s v="No"/>
    <n v="182"/>
    <s v="Normal"/>
    <s v="Achieved"/>
    <n v="0"/>
    <m/>
    <m/>
    <m/>
    <m/>
    <d v="2026-03-22T00:00:00"/>
    <s v="Week13"/>
    <x v="6"/>
    <s v="NoGo"/>
    <n v="94.986212083228878"/>
    <n v="0"/>
    <n v="2"/>
    <s v="Ankit"/>
    <s v="Ankit"/>
    <s v="Ankit"/>
    <s v="Minor"/>
    <s v="12829761Shiny Iype"/>
    <s v="Minor"/>
    <n v="0"/>
    <s v="Ahmedabad"/>
    <x v="0"/>
    <n v="1"/>
    <n v="4"/>
    <s v="Shiny Iype"/>
    <x v="0"/>
    <s v="awaiting_bb"/>
    <b v="0"/>
  </r>
  <r>
    <d v="2026-03-17T15:35:16"/>
    <d v="2026-03-17T21:05:16"/>
    <d v="2026-03-22T09:45:06"/>
    <d v="2026-03-22T15:15:06"/>
    <d v="2026-03-20T08:01:02"/>
    <d v="2026-03-22T15:15:06"/>
    <x v="0"/>
    <n v="919"/>
    <n v="3314.0666999999999"/>
    <x v="0"/>
    <n v="12829759"/>
    <s v="Daniel Alexander, MD"/>
    <s v="Auburn Community Hospital"/>
    <s v="Clinic"/>
    <s v="shiny.iype@cardioscribes.com"/>
    <x v="9"/>
    <s v="Ahmedabad"/>
    <s v="Go"/>
    <n v="34.42"/>
    <n v="100"/>
    <x v="1"/>
    <n v="1"/>
    <m/>
    <x v="11"/>
    <m/>
    <m/>
    <n v="720"/>
    <s v="No"/>
    <n v="165"/>
    <s v="Normal"/>
    <s v="Achieved"/>
    <n v="0"/>
    <m/>
    <m/>
    <m/>
    <m/>
    <d v="2026-03-22T00:00:00"/>
    <s v="Week13"/>
    <x v="6"/>
    <s v="Go"/>
    <n v="100"/>
    <n v="0"/>
    <n v="0"/>
    <s v="Ankit"/>
    <s v="Ankit"/>
    <s v="Ankit"/>
    <s v="Minor"/>
    <s v="12829759Shiny Iype"/>
    <s v="Minor"/>
    <n v="0"/>
    <s v="Ahmedabad"/>
    <x v="0"/>
    <n v="1"/>
    <n v="1"/>
    <s v="Shiny Iype"/>
    <x v="0"/>
    <s v="awaiting_upload"/>
    <b v="0"/>
  </r>
  <r>
    <d v="2026-03-15T20:14:22"/>
    <d v="2026-03-16T01:44:22"/>
    <d v="2026-03-22T17:25:47"/>
    <d v="2026-03-22T22:55:47"/>
    <d v="2026-03-18T23:45:18"/>
    <d v="2026-03-22T22:55:47"/>
    <x v="0"/>
    <n v="912"/>
    <n v="5710.4832999999999"/>
    <x v="0"/>
    <n v="12829227"/>
    <s v="Fred V Lause, DPM"/>
    <s v="Fred V Lause, DPM"/>
    <s v="Clinic"/>
    <s v="shiny.iype@cardioscribes.com"/>
    <x v="9"/>
    <s v="Ahmedabad"/>
    <s v="Go"/>
    <n v="36.75"/>
    <n v="99"/>
    <x v="6"/>
    <n v="1"/>
    <m/>
    <x v="41"/>
    <m/>
    <m/>
    <n v="1440"/>
    <s v="No"/>
    <n v="200"/>
    <s v="Normal"/>
    <s v="Achieved"/>
    <n v="0"/>
    <m/>
    <m/>
    <m/>
    <m/>
    <d v="2026-03-22T00:00:00"/>
    <s v="Week13"/>
    <x v="19"/>
    <s v="NoGo"/>
    <n v="97.278911564625844"/>
    <n v="1"/>
    <n v="1"/>
    <s v="Ankit"/>
    <s v="Ankit"/>
    <s v="Ankit"/>
    <s v="Major"/>
    <s v="12829227Shiny Iype"/>
    <s v="Major"/>
    <n v="1"/>
    <s v="Ahmedabad"/>
    <x v="1"/>
    <n v="1"/>
    <n v="1"/>
    <s v="Shiny Iype"/>
    <x v="0"/>
    <s v="awaiting_upload"/>
    <b v="1"/>
  </r>
  <r>
    <d v="2026-03-15T20:14:22"/>
    <d v="2026-03-16T01:44:22"/>
    <d v="2026-03-22T17:25:47"/>
    <d v="2026-03-22T22:55:47"/>
    <d v="2026-03-18T23:45:18"/>
    <d v="2026-03-22T22:55:47"/>
    <x v="0"/>
    <n v="912"/>
    <n v="5710.4832999999999"/>
    <x v="0"/>
    <n v="12829227"/>
    <s v="Fred V Lause, DPM"/>
    <s v="Fred V Lause, DPM"/>
    <s v="Clinic"/>
    <s v="shiny.iype@cardioscribes.com"/>
    <x v="9"/>
    <s v="Ahmedabad"/>
    <s v="Go"/>
    <n v="36.75"/>
    <n v="99"/>
    <x v="1"/>
    <n v="1"/>
    <m/>
    <x v="41"/>
    <m/>
    <m/>
    <n v="1440"/>
    <s v="No"/>
    <n v="200"/>
    <s v="Normal"/>
    <s v="Achieved"/>
    <n v="0"/>
    <m/>
    <m/>
    <m/>
    <m/>
    <d v="2026-03-22T00:00:00"/>
    <s v="Week13"/>
    <x v="19"/>
    <s v="NoGo"/>
    <n v="97.278911564625844"/>
    <n v="0"/>
    <n v="1"/>
    <s v="Ankit"/>
    <s v="Ankit"/>
    <s v="Ankit"/>
    <s v="Minor"/>
    <s v="12829227Shiny Iype"/>
    <s v="Minor"/>
    <n v="0"/>
    <s v="Ahmedabad"/>
    <x v="0"/>
    <n v="1"/>
    <n v="1"/>
    <s v="Shiny Iype"/>
    <x v="0"/>
    <s v="awaiting_upload"/>
    <b v="0"/>
  </r>
  <r>
    <d v="2026-03-15T20:45:40"/>
    <d v="2026-03-16T02:15:40"/>
    <d v="2026-03-22T17:32:28"/>
    <d v="2026-03-22T23:02:28"/>
    <d v="2026-03-18T23:45:50"/>
    <d v="2026-03-22T23:02:28"/>
    <x v="0"/>
    <n v="377"/>
    <n v="5716.6333000000004"/>
    <x v="0"/>
    <n v="12829233"/>
    <s v="Fred V Lause, DPM"/>
    <s v="Fred V Lause, DPM"/>
    <s v="Clinic"/>
    <s v="shiny.iype@cardioscribes.com"/>
    <x v="9"/>
    <s v="Ahmedabad"/>
    <s v="No Go"/>
    <n v="37.78"/>
    <n v="98"/>
    <x v="2"/>
    <n v="2"/>
    <m/>
    <x v="41"/>
    <m/>
    <m/>
    <n v="1440"/>
    <s v="No"/>
    <n v="186"/>
    <s v="Normal"/>
    <s v="Achieved"/>
    <n v="0"/>
    <m/>
    <m/>
    <m/>
    <m/>
    <d v="2026-03-22T00:00:00"/>
    <s v="Week13"/>
    <x v="19"/>
    <s v="NoGo"/>
    <n v="94.706193753308625"/>
    <n v="2"/>
    <n v="2"/>
    <s v="Ankit"/>
    <s v="Ankit"/>
    <s v="Ankit"/>
    <s v="Major"/>
    <s v="12829233Shiny Iype"/>
    <s v="Major"/>
    <n v="1"/>
    <s v="Ahmedabad"/>
    <x v="1"/>
    <n v="1"/>
    <n v="2"/>
    <s v="Shiny Iype"/>
    <x v="0"/>
    <s v="awaiting_upload"/>
    <b v="1"/>
  </r>
  <r>
    <d v="2026-03-15T20:45:40"/>
    <d v="2026-03-16T02:15:40"/>
    <d v="2026-03-22T17:32:28"/>
    <d v="2026-03-22T23:02:28"/>
    <d v="2026-03-18T23:45:50"/>
    <d v="2026-03-22T23:02:28"/>
    <x v="0"/>
    <n v="377"/>
    <n v="5716.6333000000004"/>
    <x v="0"/>
    <n v="12829233"/>
    <s v="Fred V Lause, DPM"/>
    <s v="Fred V Lause, DPM"/>
    <s v="Clinic"/>
    <s v="shiny.iype@cardioscribes.com"/>
    <x v="9"/>
    <s v="Ahmedabad"/>
    <s v="No Go"/>
    <n v="37.78"/>
    <n v="98"/>
    <x v="1"/>
    <n v="1"/>
    <m/>
    <x v="41"/>
    <m/>
    <m/>
    <n v="1440"/>
    <s v="No"/>
    <n v="186"/>
    <s v="Normal"/>
    <s v="Achieved"/>
    <n v="0"/>
    <m/>
    <m/>
    <m/>
    <m/>
    <d v="2026-03-22T00:00:00"/>
    <s v="Week13"/>
    <x v="19"/>
    <s v="NoGo"/>
    <n v="94.706193753308625"/>
    <n v="0"/>
    <n v="2"/>
    <s v="Ankit"/>
    <s v="Ankit"/>
    <s v="Ankit"/>
    <s v="Minor"/>
    <s v="12829233Shiny Iype"/>
    <s v="Minor"/>
    <n v="0"/>
    <s v="Ahmedabad"/>
    <x v="0"/>
    <n v="1"/>
    <n v="1"/>
    <s v="Shiny Iype"/>
    <x v="0"/>
    <s v="awaiting_upload"/>
    <b v="0"/>
  </r>
  <r>
    <d v="2026-03-18T11:49:07"/>
    <d v="2026-03-18T17:19:07"/>
    <d v="2026-03-22T17:35:32"/>
    <d v="2026-03-22T23:05:32"/>
    <d v="2026-03-22T09:50:50"/>
    <d v="2026-03-22T23:05:32"/>
    <x v="0"/>
    <n v="166"/>
    <n v="794.7"/>
    <x v="0"/>
    <n v="12830153"/>
    <s v="Jill N Jones, NP"/>
    <s v="Norfolk Community Service Board"/>
    <s v="Clinic"/>
    <s v="sivasankari.a@cardioscribes.com"/>
    <x v="3"/>
    <s v="Chennai"/>
    <s v="Go"/>
    <n v="35.97"/>
    <n v="100"/>
    <x v="1"/>
    <n v="1"/>
    <m/>
    <x v="21"/>
    <m/>
    <m/>
    <n v="1440"/>
    <s v="No"/>
    <n v="148"/>
    <s v="Normal"/>
    <s v="Achieved"/>
    <n v="0"/>
    <m/>
    <m/>
    <m/>
    <m/>
    <d v="2026-03-22T00:00:00"/>
    <s v="Week13"/>
    <x v="8"/>
    <s v="Go"/>
    <n v="100"/>
    <n v="0"/>
    <n v="0"/>
    <s v="Aneesh"/>
    <s v="Aneesh"/>
    <s v="Aneesh"/>
    <s v="Minor"/>
    <s v="12830153Sivasankari A"/>
    <s v="Minor"/>
    <n v="0"/>
    <s v="Trivandrum"/>
    <x v="0"/>
    <n v="1"/>
    <n v="1"/>
    <s v="Sivasankari A"/>
    <x v="0"/>
    <s v="awaiting_upload"/>
    <b v="0"/>
  </r>
  <r>
    <d v="2026-03-18T11:45:56"/>
    <d v="2026-03-18T17:15:56"/>
    <d v="2026-03-22T17:40:24"/>
    <d v="2026-03-22T23:10:24"/>
    <d v="2026-03-22T09:50:44"/>
    <d v="2026-03-22T23:10:24"/>
    <x v="0"/>
    <n v="280"/>
    <n v="799.66669999999999"/>
    <x v="0"/>
    <n v="12830151"/>
    <s v="Jill N Jones, NP"/>
    <s v="Norfolk Community Service Board"/>
    <s v="Clinic"/>
    <s v="sivasankari.a@cardioscribes.com"/>
    <x v="3"/>
    <s v="Chennai"/>
    <s v="Go"/>
    <n v="117.43"/>
    <n v="100"/>
    <x v="0"/>
    <n v="0"/>
    <m/>
    <x v="21"/>
    <m/>
    <m/>
    <n v="1440"/>
    <s v="No"/>
    <n v="290"/>
    <s v="Normal"/>
    <s v="Achieved"/>
    <n v="0"/>
    <m/>
    <m/>
    <m/>
    <m/>
    <d v="2026-03-22T00:00:00"/>
    <s v="Week13"/>
    <x v="8"/>
    <s v="Go"/>
    <n v="100"/>
    <n v="0"/>
    <n v="0"/>
    <s v="Aneesh"/>
    <s v="Aneesh"/>
    <s v="Aneesh"/>
    <s v=""/>
    <s v="12830151Sivasankari A"/>
    <s v=""/>
    <s v=""/>
    <s v="Trivandrum"/>
    <x v="0"/>
    <s v=""/>
    <n v="0"/>
    <s v="Sivasankari A"/>
    <x v="0"/>
    <s v="awaiting_upload"/>
    <b v="0"/>
  </r>
  <r>
    <d v="2026-03-17T16:21:45"/>
    <d v="2026-03-17T21:51:45"/>
    <d v="2026-03-22T17:55:39"/>
    <d v="2026-03-22T23:25:39"/>
    <d v="2026-03-21T09:03:25"/>
    <d v="2026-03-22T23:25:39"/>
    <x v="0"/>
    <n v="6066"/>
    <n v="2302.2332999999999"/>
    <x v="0"/>
    <n v="12829807"/>
    <s v="Joseph Schwartzer, MD"/>
    <s v="Norfolk Community Service Board"/>
    <s v="Clinic"/>
    <s v="sivasankari.a@cardioscribes.com"/>
    <x v="3"/>
    <s v="Chennai"/>
    <s v="No Go"/>
    <n v="117.25"/>
    <n v="98"/>
    <x v="2"/>
    <n v="2"/>
    <m/>
    <x v="19"/>
    <m/>
    <m/>
    <n v="1440"/>
    <s v="No"/>
    <n v="701"/>
    <s v="Normal"/>
    <s v="Achieved"/>
    <n v="0"/>
    <m/>
    <m/>
    <m/>
    <m/>
    <d v="2026-03-22T00:00:00"/>
    <s v="Week13"/>
    <x v="8"/>
    <s v="NoGo"/>
    <n v="98.294243070362469"/>
    <n v="2"/>
    <n v="2"/>
    <s v="Aneesh"/>
    <s v="Aneesh"/>
    <s v="Aneesh"/>
    <s v="Major"/>
    <s v="12829807Sivasankari A"/>
    <s v="Major"/>
    <n v="1"/>
    <s v="Trivandrum"/>
    <x v="0"/>
    <n v="1"/>
    <n v="2"/>
    <s v="Sivasankari A"/>
    <x v="0"/>
    <s v="awaiting_upload"/>
    <b v="0"/>
  </r>
  <r>
    <d v="2026-03-16T09:36:20"/>
    <d v="2026-03-16T15:06:20"/>
    <d v="2026-03-22T18:32:40"/>
    <d v="2026-03-23T00:02:40"/>
    <d v="2026-03-18T23:46:02"/>
    <d v="2026-03-23T00:02:40"/>
    <x v="0"/>
    <n v="331"/>
    <n v="5776.6333000000004"/>
    <x v="0"/>
    <n v="12829280"/>
    <s v="Manuel Ojeda, MD"/>
    <s v="Miami Jewish Health Systems"/>
    <s v="NursingHome"/>
    <s v="chintul.s@mediscribes.com"/>
    <x v="8"/>
    <s v="Ahmedabad"/>
    <s v="Go"/>
    <n v="38.119999999999997"/>
    <n v="100"/>
    <x v="1"/>
    <n v="1"/>
    <m/>
    <x v="17"/>
    <m/>
    <m/>
    <n v="720"/>
    <s v="Yes"/>
    <n v="142"/>
    <s v="Normal"/>
    <s v="Achieved"/>
    <n v="0"/>
    <m/>
    <m/>
    <m/>
    <m/>
    <d v="2026-03-23T00:00:00"/>
    <s v="Week13"/>
    <x v="7"/>
    <s v="Go"/>
    <n v="100"/>
    <n v="0"/>
    <n v="0"/>
    <s v="Aneesh"/>
    <s v="Ankit"/>
    <s v="Aneesh"/>
    <s v="Minor"/>
    <s v="12829280Chintul Sutaria"/>
    <s v="Minor"/>
    <n v="0"/>
    <s v="Ahmedabad"/>
    <x v="0"/>
    <n v="1"/>
    <n v="1"/>
    <s v="Gopal Rajith"/>
    <x v="1"/>
    <s v="awaiting_upload"/>
    <b v="0"/>
  </r>
  <r>
    <d v="2026-03-16T10:08:58"/>
    <d v="2026-03-16T15:38:58"/>
    <d v="2026-03-23T09:00:47"/>
    <d v="2026-03-23T14:30:47"/>
    <d v="2026-03-18T23:45:12"/>
    <d v="2026-03-23T14:30:47"/>
    <x v="0"/>
    <n v="9180"/>
    <n v="6645.5833000000002"/>
    <x v="0"/>
    <n v="12829289"/>
    <s v="Manuel Ojeda, MD"/>
    <s v="Miami Jewish Health Systems"/>
    <s v="NursingHome"/>
    <s v="chintul.s@mediscribes.com"/>
    <x v="8"/>
    <s v="Ahmedabad"/>
    <s v="Go"/>
    <n v="64.08"/>
    <n v="99"/>
    <x v="4"/>
    <n v="1"/>
    <m/>
    <x v="42"/>
    <m/>
    <m/>
    <n v="480"/>
    <s v="Yes"/>
    <n v="257"/>
    <s v="Normal"/>
    <s v="Achieved"/>
    <n v="0"/>
    <m/>
    <m/>
    <m/>
    <m/>
    <d v="2026-03-23T00:00:00"/>
    <s v="Week13"/>
    <x v="7"/>
    <s v="NoGo"/>
    <n v="98.439450686641692"/>
    <n v="1"/>
    <n v="1"/>
    <s v="Aneesh"/>
    <s v="Ankit"/>
    <s v="Aneesh"/>
    <s v="Major"/>
    <s v="12829289Chintul Sutaria"/>
    <s v="Major"/>
    <n v="1"/>
    <s v="Ahmedabad"/>
    <x v="1"/>
    <n v="1"/>
    <n v="1"/>
    <s v="Gopal Rajith"/>
    <x v="1"/>
    <s v="awaiting_upload"/>
    <b v="1"/>
  </r>
  <r>
    <d v="2026-03-16T10:08:58"/>
    <d v="2026-03-16T15:38:58"/>
    <d v="2026-03-23T09:00:47"/>
    <d v="2026-03-23T14:30:47"/>
    <d v="2026-03-18T23:45:12"/>
    <d v="2026-03-23T14:30:47"/>
    <x v="0"/>
    <n v="9180"/>
    <n v="6645.5833000000002"/>
    <x v="0"/>
    <n v="12829289"/>
    <s v="Manuel Ojeda, MD"/>
    <s v="Miami Jewish Health Systems"/>
    <s v="NursingHome"/>
    <s v="chintul.s@mediscribes.com"/>
    <x v="8"/>
    <s v="Ahmedabad"/>
    <s v="Go"/>
    <n v="64.08"/>
    <n v="99"/>
    <x v="1"/>
    <n v="2"/>
    <m/>
    <x v="42"/>
    <m/>
    <m/>
    <n v="480"/>
    <s v="Yes"/>
    <n v="257"/>
    <s v="Normal"/>
    <s v="Achieved"/>
    <n v="0"/>
    <m/>
    <m/>
    <m/>
    <m/>
    <d v="2026-03-23T00:00:00"/>
    <s v="Week13"/>
    <x v="7"/>
    <s v="NoGo"/>
    <n v="98.439450686641692"/>
    <n v="0"/>
    <n v="1"/>
    <s v="Aneesh"/>
    <s v="Ankit"/>
    <s v="Aneesh"/>
    <s v="Minor"/>
    <s v="12829289Chintul Sutaria"/>
    <s v="Minor"/>
    <n v="0"/>
    <s v="Ahmedabad"/>
    <x v="0"/>
    <n v="1"/>
    <n v="2"/>
    <s v="Gopal Rajith"/>
    <x v="1"/>
    <s v="awaiting_upload"/>
    <b v="0"/>
  </r>
  <r>
    <d v="2026-03-18T14:07:23"/>
    <d v="2026-03-18T19:37:23"/>
    <d v="2026-03-23T17:01:14"/>
    <d v="2026-03-23T22:31:14"/>
    <d v="2026-03-23T00:03:01"/>
    <d v="2026-03-23T22:31:14"/>
    <x v="0"/>
    <n v="1112"/>
    <n v="1348.2166999999999"/>
    <x v="0"/>
    <n v="12830236"/>
    <s v="Mark Pushkash, Ph.D."/>
    <s v="Department Of Health Services - Wisconsin"/>
    <s v="Clinic"/>
    <s v="Tejasahm@gmail.com"/>
    <x v="7"/>
    <s v="Ahmedabad"/>
    <s v="Go"/>
    <n v="148.16999999999999"/>
    <n v="100"/>
    <x v="1"/>
    <n v="10"/>
    <m/>
    <x v="6"/>
    <m/>
    <m/>
    <n v="1440"/>
    <s v="No"/>
    <n v="845"/>
    <s v="Normal"/>
    <s v="Achieved"/>
    <n v="0"/>
    <m/>
    <m/>
    <m/>
    <m/>
    <d v="2026-03-23T00:00:00"/>
    <s v="Week13"/>
    <x v="3"/>
    <s v="Go"/>
    <n v="100"/>
    <n v="0"/>
    <n v="0"/>
    <s v="Harsh"/>
    <s v="Ankit"/>
    <s v="Ankit"/>
    <s v="Minor"/>
    <s v="12830236Tejas Patel"/>
    <s v="Minor"/>
    <n v="0"/>
    <s v="Ahmedabad"/>
    <x v="0"/>
    <n v="1"/>
    <n v="10"/>
    <s v="Tejas Patel"/>
    <x v="0"/>
    <s v="awaiting_upload"/>
    <b v="0"/>
  </r>
  <r>
    <d v="2026-03-18T12:04:04"/>
    <d v="2026-03-18T17:34:04"/>
    <d v="2026-03-23T18:04:16"/>
    <d v="2026-03-23T23:34:16"/>
    <d v="2026-03-23T00:02:55"/>
    <d v="2026-03-23T23:34:16"/>
    <x v="0"/>
    <n v="6838"/>
    <n v="1411.35"/>
    <x v="0"/>
    <n v="12830160"/>
    <s v="Jill N Jones, NP"/>
    <s v="Norfolk Community Service Board"/>
    <s v="Clinic"/>
    <s v="sivasankari.a@cardioscribes.com"/>
    <x v="3"/>
    <s v="Chennai"/>
    <s v="Go"/>
    <n v="139.12"/>
    <n v="100"/>
    <x v="1"/>
    <n v="5"/>
    <m/>
    <x v="21"/>
    <m/>
    <m/>
    <n v="1440"/>
    <s v="No"/>
    <n v="766"/>
    <s v="Normal"/>
    <s v="Achieved"/>
    <n v="0"/>
    <m/>
    <m/>
    <m/>
    <m/>
    <d v="2026-03-23T00:00:00"/>
    <s v="Week13"/>
    <x v="8"/>
    <s v="Go"/>
    <n v="100"/>
    <n v="0"/>
    <n v="0"/>
    <s v="Aneesh"/>
    <s v="Aneesh"/>
    <s v="Aneesh"/>
    <s v="Minor"/>
    <s v="12830160Sivasankari A"/>
    <s v="Minor"/>
    <n v="0"/>
    <s v="Trivandrum"/>
    <x v="0"/>
    <n v="1"/>
    <n v="5"/>
    <s v="Sivasankari A"/>
    <x v="0"/>
    <s v="awaiting_upload"/>
    <b v="0"/>
  </r>
  <r>
    <d v="2026-03-19T13:43:12"/>
    <d v="2026-03-19T19:13:12"/>
    <d v="2026-03-23T18:10:39"/>
    <d v="2026-03-23T23:40:39"/>
    <d v="2026-03-23T00:03:13"/>
    <d v="2026-03-23T23:40:39"/>
    <x v="0"/>
    <n v="369"/>
    <n v="1417.4332999999999"/>
    <x v="0"/>
    <n v="12830691"/>
    <s v="Jill N Jones, NP"/>
    <s v="Norfolk Community Service Board"/>
    <s v="Clinic"/>
    <s v="sivasankari.a@cardioscribes.com"/>
    <x v="3"/>
    <s v="Chennai"/>
    <s v="Go"/>
    <n v="96.86"/>
    <n v="100"/>
    <x v="0"/>
    <n v="0"/>
    <m/>
    <x v="21"/>
    <m/>
    <m/>
    <n v="1440"/>
    <s v="No"/>
    <n v="387"/>
    <s v="Normal"/>
    <s v="Achieved"/>
    <n v="0"/>
    <m/>
    <m/>
    <m/>
    <m/>
    <d v="2026-03-23T00:00:00"/>
    <s v="Week13"/>
    <x v="8"/>
    <s v="Go"/>
    <n v="100"/>
    <n v="0"/>
    <n v="0"/>
    <s v="Aneesh"/>
    <s v="Aneesh"/>
    <s v="Aneesh"/>
    <s v=""/>
    <s v="12830691Sivasankari A"/>
    <s v=""/>
    <s v=""/>
    <s v="Trivandrum"/>
    <x v="0"/>
    <s v=""/>
    <n v="0"/>
    <s v="Sivasankari A"/>
    <x v="0"/>
    <s v="awaiting_upload"/>
    <b v="0"/>
  </r>
  <r>
    <d v="2026-03-19T16:32:19"/>
    <d v="2026-03-19T22:02:19"/>
    <d v="2026-03-23T18:18:09"/>
    <d v="2026-03-23T23:48:09"/>
    <d v="2026-03-23T00:03:31"/>
    <d v="2026-03-23T23:48:09"/>
    <x v="0"/>
    <n v="441"/>
    <n v="1424.6333"/>
    <x v="0"/>
    <n v="12830831"/>
    <s v="Robert Sogomonian, MD"/>
    <s v="Cardiology Associates Medical Group"/>
    <s v="Clinic"/>
    <s v="PratheepKumar.a@cardioscribes.com"/>
    <x v="6"/>
    <s v="Chennai"/>
    <s v="Go"/>
    <n v="54.98"/>
    <n v="100"/>
    <x v="1"/>
    <n v="3"/>
    <m/>
    <x v="29"/>
    <m/>
    <m/>
    <n v="1440"/>
    <s v="No"/>
    <n v="387"/>
    <s v="Normal"/>
    <s v="Achieved"/>
    <n v="0"/>
    <m/>
    <m/>
    <m/>
    <m/>
    <d v="2026-03-23T00:00:00"/>
    <s v="Week13"/>
    <x v="12"/>
    <s v="Go"/>
    <n v="100"/>
    <n v="0"/>
    <n v="0"/>
    <s v="Harsh"/>
    <s v="Aneesh"/>
    <s v="Aneesh"/>
    <s v="Minor"/>
    <s v="12830831Pratheep Kumar"/>
    <s v="Minor"/>
    <n v="0"/>
    <s v="Trivandrum"/>
    <x v="0"/>
    <n v="1"/>
    <n v="3"/>
    <s v="Pratheep Kumar"/>
    <x v="0"/>
    <s v="awaiting_upload"/>
    <b v="0"/>
  </r>
  <r>
    <d v="2026-03-16T16:56:03"/>
    <d v="2026-03-16T22:26:03"/>
    <d v="2026-03-23T18:25:57"/>
    <d v="2026-03-23T23:55:57"/>
    <d v="2026-03-20T07:50:29"/>
    <d v="2026-03-23T23:55:57"/>
    <x v="0"/>
    <n v="7582"/>
    <n v="5285.4666999999999"/>
    <x v="0"/>
    <n v="12829545"/>
    <s v="Jeffrey C Brackett, MD, FACC"/>
    <s v="Cardiology Associates Medical Group"/>
    <s v="Clinic"/>
    <s v="shiny.iype@cardioscribes.com"/>
    <x v="9"/>
    <s v="Ahmedabad"/>
    <s v="Go"/>
    <n v="72.52"/>
    <n v="99"/>
    <x v="2"/>
    <n v="1"/>
    <m/>
    <x v="29"/>
    <m/>
    <m/>
    <n v="1440"/>
    <s v="No"/>
    <n v="262"/>
    <s v="Normal"/>
    <s v="Achieved"/>
    <n v="0"/>
    <m/>
    <m/>
    <m/>
    <m/>
    <d v="2026-03-23T00:00:00"/>
    <s v="Week13"/>
    <x v="12"/>
    <s v="Go"/>
    <n v="98.621070049641474"/>
    <n v="1"/>
    <n v="1"/>
    <s v="Harsh"/>
    <s v="Ankit"/>
    <s v="Ankit"/>
    <s v="Major"/>
    <s v="12829545Shiny Iype"/>
    <s v="Major"/>
    <n v="1"/>
    <s v="Ahmedabad"/>
    <x v="1"/>
    <n v="1"/>
    <n v="1"/>
    <s v="Shiny Iype"/>
    <x v="0"/>
    <s v="awaiting_upload"/>
    <b v="1"/>
  </r>
  <r>
    <d v="2026-03-16T16:56:03"/>
    <d v="2026-03-16T22:26:03"/>
    <d v="2026-03-23T18:25:57"/>
    <d v="2026-03-23T23:55:57"/>
    <d v="2026-03-20T07:50:29"/>
    <d v="2026-03-23T23:55:57"/>
    <x v="0"/>
    <n v="7582"/>
    <n v="5285.4666999999999"/>
    <x v="0"/>
    <n v="12829545"/>
    <s v="Jeffrey C Brackett, MD, FACC"/>
    <s v="Cardiology Associates Medical Group"/>
    <s v="Clinic"/>
    <s v="shiny.iype@cardioscribes.com"/>
    <x v="9"/>
    <s v="Ahmedabad"/>
    <s v="Go"/>
    <n v="72.52"/>
    <n v="99"/>
    <x v="1"/>
    <n v="5"/>
    <m/>
    <x v="29"/>
    <m/>
    <m/>
    <n v="1440"/>
    <s v="No"/>
    <n v="262"/>
    <s v="Normal"/>
    <s v="Achieved"/>
    <n v="0"/>
    <m/>
    <m/>
    <m/>
    <m/>
    <d v="2026-03-23T00:00:00"/>
    <s v="Week13"/>
    <x v="12"/>
    <s v="Go"/>
    <n v="98.621070049641474"/>
    <n v="0"/>
    <n v="1"/>
    <s v="Harsh"/>
    <s v="Ankit"/>
    <s v="Ankit"/>
    <s v="Minor"/>
    <s v="12829545Shiny Iype"/>
    <s v="Minor"/>
    <n v="0"/>
    <s v="Ahmedabad"/>
    <x v="0"/>
    <n v="1"/>
    <n v="5"/>
    <s v="Shiny Iype"/>
    <x v="0"/>
    <s v="awaiting_upload"/>
    <b v="0"/>
  </r>
  <r>
    <d v="2026-03-16T18:22:12"/>
    <d v="2026-03-16T23:52:12"/>
    <d v="2026-03-24T03:12:14"/>
    <d v="2026-03-24T08:42:14"/>
    <d v="2026-03-22T09:45:53"/>
    <d v="2026-03-24T08:42:14"/>
    <x v="0"/>
    <n v="334"/>
    <n v="2816.35"/>
    <x v="0"/>
    <n v="12829555"/>
    <s v="Melissa Murillo, PA"/>
    <s v="Cardiology Associates Medical Group"/>
    <s v="Clinic"/>
    <s v="PratheepKumar.a@cardioscribes.com"/>
    <x v="6"/>
    <s v="Chennai"/>
    <s v="Go"/>
    <n v="44.35"/>
    <n v="100"/>
    <x v="1"/>
    <n v="1"/>
    <m/>
    <x v="29"/>
    <m/>
    <m/>
    <n v="1440"/>
    <s v="No"/>
    <n v="184"/>
    <s v="Normal"/>
    <s v="Achieved"/>
    <n v="0"/>
    <m/>
    <m/>
    <m/>
    <m/>
    <d v="2026-03-24T00:00:00"/>
    <s v="Week13"/>
    <x v="12"/>
    <s v="Go"/>
    <n v="100"/>
    <n v="0"/>
    <n v="0"/>
    <s v="Harsh"/>
    <s v="Aneesh"/>
    <s v="Aneesh"/>
    <s v="Minor"/>
    <s v="12829555Pratheep Kumar"/>
    <s v="Minor"/>
    <n v="0"/>
    <s v="Trivandrum"/>
    <x v="0"/>
    <n v="1"/>
    <n v="1"/>
    <s v="Pratheep Kumar"/>
    <x v="0"/>
    <s v="awaiting_upload"/>
    <b v="0"/>
  </r>
  <r>
    <d v="2026-03-18T16:47:33"/>
    <d v="2026-03-18T22:17:33"/>
    <d v="2026-03-24T03:15:19"/>
    <d v="2026-03-24T08:45:19"/>
    <d v="2026-03-24T00:21:06"/>
    <d v="2026-03-24T08:45:19"/>
    <x v="0"/>
    <n v="169"/>
    <n v="504.2167"/>
    <x v="0"/>
    <n v="12830390"/>
    <s v="Brian Martinez, PAC"/>
    <s v="Cardiology Associates Medical Group"/>
    <s v="Clinic"/>
    <s v="PratheepKumar.a@cardioscribes.com"/>
    <x v="6"/>
    <s v="Chennai"/>
    <s v="Go"/>
    <n v="11.14"/>
    <n v="100"/>
    <x v="1"/>
    <n v="1"/>
    <m/>
    <x v="29"/>
    <m/>
    <m/>
    <n v="1440"/>
    <s v="No"/>
    <n v="218"/>
    <s v="Normal"/>
    <s v="Achieved"/>
    <n v="0"/>
    <m/>
    <m/>
    <m/>
    <m/>
    <d v="2026-03-24T00:00:00"/>
    <s v="Week13"/>
    <x v="12"/>
    <s v="Go"/>
    <n v="100"/>
    <n v="0"/>
    <n v="0"/>
    <s v="Harsh"/>
    <s v="Aneesh"/>
    <s v="Aneesh"/>
    <s v="Minor"/>
    <s v="12830390Pratheep Kumar"/>
    <s v="Minor"/>
    <n v="0"/>
    <s v="Trivandrum"/>
    <x v="0"/>
    <n v="1"/>
    <n v="1"/>
    <s v="Pratheep Kumar"/>
    <x v="0"/>
    <s v="awaiting_upload"/>
    <b v="0"/>
  </r>
  <r>
    <d v="2026-03-18T11:36:44"/>
    <d v="2026-03-18T17:06:44"/>
    <d v="2026-03-24T03:21:28"/>
    <d v="2026-03-24T08:51:28"/>
    <d v="2026-03-22T09:51:01"/>
    <d v="2026-03-24T08:51:28"/>
    <x v="0"/>
    <n v="350"/>
    <n v="2820.45"/>
    <x v="0"/>
    <n v="12830205"/>
    <s v="Melissa Murillo, PA"/>
    <s v="Cardiology Associates Medical Group"/>
    <s v="Clinic"/>
    <s v="Tejasahm@gmail.com"/>
    <x v="7"/>
    <s v="Ahmedabad"/>
    <s v="Go"/>
    <n v="44.2"/>
    <n v="99"/>
    <x v="2"/>
    <n v="1"/>
    <m/>
    <x v="29"/>
    <m/>
    <m/>
    <n v="1440"/>
    <s v="No"/>
    <n v="202"/>
    <s v="Normal"/>
    <s v="Achieved"/>
    <n v="0"/>
    <m/>
    <m/>
    <m/>
    <m/>
    <d v="2026-03-24T00:00:00"/>
    <s v="Week13"/>
    <x v="12"/>
    <s v="NoGo"/>
    <n v="97.737556561085967"/>
    <n v="1"/>
    <n v="1"/>
    <s v="Harsh"/>
    <s v="Ankit"/>
    <s v="Ankit"/>
    <s v="Major"/>
    <s v="12830205Tejas Patel"/>
    <s v="Major"/>
    <n v="1"/>
    <s v="Ahmedabad"/>
    <x v="1"/>
    <n v="1"/>
    <n v="1"/>
    <s v="Tejas Patel"/>
    <x v="0"/>
    <s v="awaiting_upload"/>
    <b v="1"/>
  </r>
  <r>
    <d v="2026-03-18T11:36:44"/>
    <d v="2026-03-18T17:06:44"/>
    <d v="2026-03-24T03:21:28"/>
    <d v="2026-03-24T08:51:28"/>
    <d v="2026-03-22T09:51:01"/>
    <d v="2026-03-24T08:51:28"/>
    <x v="0"/>
    <n v="350"/>
    <n v="2820.45"/>
    <x v="0"/>
    <n v="12830205"/>
    <s v="Melissa Murillo, PA"/>
    <s v="Cardiology Associates Medical Group"/>
    <s v="Clinic"/>
    <s v="Tejasahm@gmail.com"/>
    <x v="7"/>
    <s v="Ahmedabad"/>
    <s v="Go"/>
    <n v="44.2"/>
    <n v="99"/>
    <x v="1"/>
    <n v="1"/>
    <m/>
    <x v="29"/>
    <m/>
    <m/>
    <n v="1440"/>
    <s v="No"/>
    <n v="202"/>
    <s v="Normal"/>
    <s v="Achieved"/>
    <n v="0"/>
    <m/>
    <m/>
    <m/>
    <m/>
    <d v="2026-03-24T00:00:00"/>
    <s v="Week13"/>
    <x v="12"/>
    <s v="NoGo"/>
    <n v="97.737556561085967"/>
    <n v="0"/>
    <n v="1"/>
    <s v="Harsh"/>
    <s v="Ankit"/>
    <s v="Ankit"/>
    <s v="Minor"/>
    <s v="12830205Tejas Patel"/>
    <s v="Minor"/>
    <n v="0"/>
    <s v="Ahmedabad"/>
    <x v="0"/>
    <n v="1"/>
    <n v="1"/>
    <s v="Tejas Patel"/>
    <x v="0"/>
    <s v="awaiting_upload"/>
    <b v="0"/>
  </r>
  <r>
    <d v="2026-03-16T18:23:20"/>
    <d v="2026-03-16T23:53:20"/>
    <d v="2026-03-24T04:39:05"/>
    <d v="2026-03-24T10:09:05"/>
    <d v="2026-03-20T08:00:56"/>
    <d v="2026-03-24T10:09:05"/>
    <x v="0"/>
    <n v="1008"/>
    <n v="5888.15"/>
    <x v="0"/>
    <n v="12829548"/>
    <s v="Melissa Murillo, PA"/>
    <s v="Cardiology Associates Medical Group"/>
    <s v="Clinic"/>
    <s v="shiny.iype@cardioscribes.com"/>
    <x v="9"/>
    <s v="Ahmedabad"/>
    <s v="No Go"/>
    <n v="55.85"/>
    <n v="96"/>
    <x v="4"/>
    <n v="1"/>
    <m/>
    <x v="29"/>
    <m/>
    <m/>
    <n v="1440"/>
    <s v="No"/>
    <n v="206"/>
    <s v="Normal"/>
    <s v="Achieved"/>
    <n v="1"/>
    <m/>
    <m/>
    <m/>
    <m/>
    <d v="2026-03-24T00:00:00"/>
    <s v="Week13"/>
    <x v="12"/>
    <s v="NoGo"/>
    <n v="92.837958818263203"/>
    <n v="1"/>
    <n v="4"/>
    <s v="Harsh"/>
    <s v="Ankit"/>
    <s v="Ankit"/>
    <s v="Major"/>
    <s v="12829548Shiny Iype"/>
    <s v="Major"/>
    <n v="1"/>
    <s v="Ahmedabad"/>
    <x v="1"/>
    <n v="1"/>
    <n v="1"/>
    <s v="Shiny Iype"/>
    <x v="0"/>
    <s v="awaiting_upload"/>
    <b v="1"/>
  </r>
  <r>
    <d v="2026-03-16T18:23:20"/>
    <d v="2026-03-16T23:53:20"/>
    <d v="2026-03-24T04:39:05"/>
    <d v="2026-03-24T10:09:05"/>
    <d v="2026-03-20T08:00:56"/>
    <d v="2026-03-24T10:09:05"/>
    <x v="0"/>
    <n v="1008"/>
    <n v="5888.15"/>
    <x v="0"/>
    <n v="12829548"/>
    <s v="Melissa Murillo, PA"/>
    <s v="Cardiology Associates Medical Group"/>
    <s v="Clinic"/>
    <s v="shiny.iype@cardioscribes.com"/>
    <x v="9"/>
    <s v="Ahmedabad"/>
    <s v="No Go"/>
    <n v="55.85"/>
    <n v="96"/>
    <x v="6"/>
    <n v="3"/>
    <m/>
    <x v="29"/>
    <m/>
    <m/>
    <n v="1440"/>
    <s v="No"/>
    <n v="206"/>
    <s v="Normal"/>
    <s v="Achieved"/>
    <n v="1"/>
    <m/>
    <m/>
    <m/>
    <m/>
    <d v="2026-03-24T00:00:00"/>
    <s v="Week13"/>
    <x v="12"/>
    <s v="NoGo"/>
    <n v="92.837958818263203"/>
    <n v="3"/>
    <n v="4"/>
    <s v="Harsh"/>
    <s v="Ankit"/>
    <s v="Ankit"/>
    <s v="Major"/>
    <s v="12829548Shiny Iype"/>
    <s v="Major"/>
    <n v="1"/>
    <s v="Ahmedabad"/>
    <x v="1"/>
    <n v="1"/>
    <n v="3"/>
    <s v="Shiny Iype"/>
    <x v="0"/>
    <s v="awaiting_upload"/>
    <b v="1"/>
  </r>
  <r>
    <d v="2026-03-16T18:23:20"/>
    <d v="2026-03-16T23:53:20"/>
    <d v="2026-03-24T04:39:05"/>
    <d v="2026-03-24T10:09:05"/>
    <d v="2026-03-20T08:00:56"/>
    <d v="2026-03-24T10:09:05"/>
    <x v="0"/>
    <n v="1008"/>
    <n v="5888.15"/>
    <x v="0"/>
    <n v="12829548"/>
    <s v="Melissa Murillo, PA"/>
    <s v="Cardiology Associates Medical Group"/>
    <s v="Clinic"/>
    <s v="shiny.iype@cardioscribes.com"/>
    <x v="9"/>
    <s v="Ahmedabad"/>
    <s v="No Go"/>
    <n v="55.85"/>
    <n v="96"/>
    <x v="1"/>
    <n v="2"/>
    <m/>
    <x v="29"/>
    <m/>
    <m/>
    <n v="1440"/>
    <s v="No"/>
    <n v="206"/>
    <s v="Normal"/>
    <s v="Achieved"/>
    <n v="1"/>
    <m/>
    <m/>
    <m/>
    <m/>
    <d v="2026-03-24T00:00:00"/>
    <s v="Week13"/>
    <x v="12"/>
    <s v="NoGo"/>
    <n v="92.837958818263203"/>
    <n v="0"/>
    <n v="4"/>
    <s v="Harsh"/>
    <s v="Ankit"/>
    <s v="Ankit"/>
    <s v="Minor"/>
    <s v="12829548Shiny Iype"/>
    <s v="Minor"/>
    <n v="0"/>
    <s v="Ahmedabad"/>
    <x v="0"/>
    <n v="1"/>
    <n v="2"/>
    <s v="Shiny Iype"/>
    <x v="0"/>
    <s v="awaiting_upload"/>
    <b v="0"/>
  </r>
  <r>
    <d v="2026-03-18T18:59:06"/>
    <d v="2026-03-19T00:29:06"/>
    <d v="2026-03-24T05:21:53"/>
    <d v="2026-03-24T10:51:53"/>
    <d v="2026-03-24T00:21:24"/>
    <d v="2026-03-24T10:51:53"/>
    <x v="0"/>
    <n v="823"/>
    <n v="630.48329999999999"/>
    <x v="0"/>
    <n v="12830459"/>
    <s v="Julie Morantz, PA"/>
    <s v="Cardiology Associates Medical Group"/>
    <s v="Clinic"/>
    <s v="Tejasahm@gmail.com"/>
    <x v="7"/>
    <s v="Ahmedabad"/>
    <s v="Go"/>
    <n v="42.05"/>
    <n v="100"/>
    <x v="0"/>
    <n v="0"/>
    <m/>
    <x v="29"/>
    <m/>
    <m/>
    <n v="1440"/>
    <s v="No"/>
    <n v="306"/>
    <s v="Normal"/>
    <s v="Achieved"/>
    <n v="0"/>
    <m/>
    <m/>
    <m/>
    <m/>
    <d v="2026-03-24T00:00:00"/>
    <s v="Week13"/>
    <x v="12"/>
    <s v="Go"/>
    <n v="100"/>
    <n v="0"/>
    <n v="0"/>
    <s v="Harsh"/>
    <s v="Ankit"/>
    <s v="Ankit"/>
    <s v=""/>
    <s v="12830459Tejas Patel"/>
    <s v=""/>
    <s v=""/>
    <s v="Ahmedabad"/>
    <x v="0"/>
    <s v=""/>
    <n v="0"/>
    <s v="Tejas Patel"/>
    <x v="0"/>
    <s v="awaiting_upload"/>
    <b v="0"/>
  </r>
  <r>
    <d v="2026-03-18T16:46:29"/>
    <d v="2026-03-18T22:16:29"/>
    <d v="2026-03-24T05:33:51"/>
    <d v="2026-03-24T11:03:51"/>
    <d v="2026-03-24T00:20:55"/>
    <d v="2026-03-24T11:03:51"/>
    <x v="0"/>
    <n v="181"/>
    <n v="642.93330000000003"/>
    <x v="0"/>
    <n v="12830380"/>
    <s v="Brian Martinez, PAC"/>
    <s v="Cardiology Associates Medical Group"/>
    <s v="Clinic"/>
    <s v="PratheepKumar.a@cardioscribes.com"/>
    <x v="6"/>
    <s v="Chennai"/>
    <s v="Go"/>
    <n v="27.74"/>
    <n v="100"/>
    <x v="1"/>
    <n v="3"/>
    <m/>
    <x v="29"/>
    <m/>
    <m/>
    <n v="1440"/>
    <s v="No"/>
    <n v="120"/>
    <s v="Normal"/>
    <s v="Achieved"/>
    <n v="0"/>
    <m/>
    <m/>
    <m/>
    <m/>
    <d v="2026-03-24T00:00:00"/>
    <s v="Week13"/>
    <x v="12"/>
    <s v="Go"/>
    <n v="100"/>
    <n v="0"/>
    <n v="0"/>
    <s v="Harsh"/>
    <s v="Aneesh"/>
    <s v="Aneesh"/>
    <s v="Minor"/>
    <s v="12830380Pratheep Kumar"/>
    <s v="Minor"/>
    <n v="0"/>
    <s v="Trivandrum"/>
    <x v="0"/>
    <n v="1"/>
    <n v="3"/>
    <s v="Pratheep Kumar"/>
    <x v="0"/>
    <s v="awaiting_upload"/>
    <b v="0"/>
  </r>
  <r>
    <d v="2026-03-19T09:42:55"/>
    <d v="2026-03-19T15:12:55"/>
    <d v="2026-03-24T05:44:29"/>
    <d v="2026-03-24T11:14:29"/>
    <d v="2026-03-24T00:21:36"/>
    <d v="2026-03-24T11:14:29"/>
    <x v="0"/>
    <n v="235"/>
    <n v="652.88329999999996"/>
    <x v="0"/>
    <n v="12830621"/>
    <s v="Mark Mankins, MD"/>
    <s v="Olney Hamiltion Hospital"/>
    <s v="Clinic"/>
    <s v="jobs4savitha@gmail.com"/>
    <x v="5"/>
    <s v="Trivandrum"/>
    <s v="Go"/>
    <n v="17.54"/>
    <n v="100"/>
    <x v="1"/>
    <n v="1"/>
    <m/>
    <x v="43"/>
    <m/>
    <m/>
    <n v="1440"/>
    <s v="No"/>
    <n v="98"/>
    <s v="Normal"/>
    <s v="Achieved"/>
    <n v="0"/>
    <m/>
    <m/>
    <m/>
    <m/>
    <d v="2026-03-24T00:00:00"/>
    <s v="Week13"/>
    <x v="20"/>
    <s v="Go"/>
    <n v="100"/>
    <n v="0"/>
    <n v="0"/>
    <s v="Aneesh"/>
    <s v="Aneesh"/>
    <s v="Aneesh"/>
    <s v="Minor"/>
    <s v="12830621Savitha Arun"/>
    <s v="Minor"/>
    <n v="0"/>
    <s v="Trivandrum"/>
    <x v="0"/>
    <n v="1"/>
    <n v="1"/>
    <s v="Gopal Rajith"/>
    <x v="1"/>
    <s v="awaiting_bb"/>
    <b v="0"/>
  </r>
  <r>
    <d v="2026-03-18T18:58:14"/>
    <d v="2026-03-19T00:28:14"/>
    <d v="2026-03-24T08:58:45"/>
    <d v="2026-03-24T14:28:45"/>
    <d v="2026-03-24T00:21:19"/>
    <d v="2026-03-24T14:28:45"/>
    <x v="0"/>
    <n v="347"/>
    <n v="847.43330000000003"/>
    <x v="0"/>
    <n v="12830460"/>
    <s v="Julie Morantz, PA"/>
    <s v="Cardiology Associates Medical Group"/>
    <s v="Clinic"/>
    <s v="Tejasahm@gmail.com"/>
    <x v="7"/>
    <s v="Ahmedabad"/>
    <s v="Go"/>
    <n v="39.08"/>
    <n v="100"/>
    <x v="0"/>
    <n v="0"/>
    <m/>
    <x v="29"/>
    <m/>
    <m/>
    <n v="1440"/>
    <s v="No"/>
    <n v="219"/>
    <s v="Normal"/>
    <s v="Achieved"/>
    <n v="0"/>
    <m/>
    <m/>
    <m/>
    <m/>
    <d v="2026-03-24T00:00:00"/>
    <s v="Week13"/>
    <x v="12"/>
    <s v="Go"/>
    <n v="100"/>
    <n v="0"/>
    <n v="0"/>
    <s v="Harsh"/>
    <s v="Ankit"/>
    <s v="Ankit"/>
    <s v=""/>
    <s v="12830460Tejas Patel"/>
    <s v=""/>
    <s v=""/>
    <s v="Ahmedabad"/>
    <x v="0"/>
    <s v=""/>
    <n v="0"/>
    <s v="Tejas Patel"/>
    <x v="0"/>
    <s v="awaiting_upload"/>
    <b v="0"/>
  </r>
  <r>
    <d v="2026-03-16T16:56:21"/>
    <d v="2026-03-16T22:26:21"/>
    <d v="2026-03-24T17:54:39"/>
    <d v="2026-03-24T23:24:39"/>
    <d v="2026-03-22T09:45:15"/>
    <d v="2026-03-24T23:24:39"/>
    <x v="0"/>
    <n v="2484"/>
    <n v="3699.4"/>
    <x v="0"/>
    <n v="12829479"/>
    <s v="Jeffrey C Brackett, MD, FACC"/>
    <s v="Cardiology Associates Medical Group"/>
    <s v="Clinic"/>
    <s v="shiny.iype@cardioscribes.com"/>
    <x v="9"/>
    <s v="Ahmedabad"/>
    <s v="Go"/>
    <n v="52.02"/>
    <n v="100"/>
    <x v="1"/>
    <n v="5"/>
    <m/>
    <x v="29"/>
    <m/>
    <m/>
    <n v="1440"/>
    <s v="No"/>
    <n v="205"/>
    <s v="Normal"/>
    <s v="Achieved"/>
    <n v="0"/>
    <m/>
    <m/>
    <m/>
    <m/>
    <d v="2026-03-24T00:00:00"/>
    <s v="Week13"/>
    <x v="12"/>
    <s v="Go"/>
    <n v="100"/>
    <n v="0"/>
    <n v="0"/>
    <s v="Harsh"/>
    <s v="Ankit"/>
    <s v="Ankit"/>
    <s v="Minor"/>
    <s v="12829479Shiny Iype"/>
    <s v="Minor"/>
    <n v="0"/>
    <s v="Ahmedabad"/>
    <x v="0"/>
    <n v="1"/>
    <n v="5"/>
    <s v="Shiny Iype"/>
    <x v="0"/>
    <s v="awaiting_upload"/>
    <b v="0"/>
  </r>
  <r>
    <d v="2026-03-19T17:29:20"/>
    <d v="2026-03-19T22:59:20"/>
    <d v="2026-03-24T18:03:33"/>
    <d v="2026-03-24T23:33:33"/>
    <d v="2026-03-24T00:22:11"/>
    <d v="2026-03-24T23:33:33"/>
    <x v="0"/>
    <n v="1554"/>
    <n v="1391.3667"/>
    <x v="0"/>
    <n v="12830872"/>
    <s v="Jeffrey C Brackett, MD, FACC"/>
    <s v="Cardiology Associates Medical Group"/>
    <s v="Clinic"/>
    <s v="PratheepKumar.a@cardioscribes.com"/>
    <x v="6"/>
    <s v="Chennai"/>
    <s v="No Go"/>
    <n v="77.72"/>
    <n v="98"/>
    <x v="2"/>
    <n v="1"/>
    <m/>
    <x v="29"/>
    <m/>
    <m/>
    <n v="1440"/>
    <s v="No"/>
    <n v="316"/>
    <s v="Normal"/>
    <s v="Achieved"/>
    <n v="0"/>
    <m/>
    <m/>
    <m/>
    <m/>
    <d v="2026-03-24T00:00:00"/>
    <s v="Week13"/>
    <x v="12"/>
    <s v="NoGo"/>
    <n v="97.426659804426151"/>
    <n v="1"/>
    <n v="2"/>
    <s v="Harsh"/>
    <s v="Aneesh"/>
    <s v="Aneesh"/>
    <s v="Major"/>
    <s v="12830872Pratheep Kumar"/>
    <s v="Major"/>
    <n v="1"/>
    <s v="Trivandrum"/>
    <x v="1"/>
    <n v="1"/>
    <n v="1"/>
    <s v="Pratheep Kumar"/>
    <x v="0"/>
    <s v="awaiting_upload"/>
    <b v="1"/>
  </r>
  <r>
    <d v="2026-03-19T17:29:20"/>
    <d v="2026-03-19T22:59:20"/>
    <d v="2026-03-24T18:03:33"/>
    <d v="2026-03-24T23:33:33"/>
    <d v="2026-03-24T00:22:11"/>
    <d v="2026-03-24T23:33:33"/>
    <x v="0"/>
    <n v="1554"/>
    <n v="1391.3667"/>
    <x v="0"/>
    <n v="12830872"/>
    <s v="Jeffrey C Brackett, MD, FACC"/>
    <s v="Cardiology Associates Medical Group"/>
    <s v="Clinic"/>
    <s v="PratheepKumar.a@cardioscribes.com"/>
    <x v="6"/>
    <s v="Chennai"/>
    <s v="No Go"/>
    <n v="77.72"/>
    <n v="98"/>
    <x v="4"/>
    <n v="1"/>
    <m/>
    <x v="29"/>
    <m/>
    <m/>
    <n v="1440"/>
    <s v="No"/>
    <n v="316"/>
    <s v="Normal"/>
    <s v="Achieved"/>
    <n v="0"/>
    <m/>
    <m/>
    <m/>
    <m/>
    <d v="2026-03-24T00:00:00"/>
    <s v="Week13"/>
    <x v="12"/>
    <s v="NoGo"/>
    <n v="97.426659804426151"/>
    <n v="1"/>
    <n v="2"/>
    <s v="Harsh"/>
    <s v="Aneesh"/>
    <s v="Aneesh"/>
    <s v="Major"/>
    <s v="12830872Pratheep Kumar"/>
    <s v="Major"/>
    <n v="1"/>
    <s v="Trivandrum"/>
    <x v="1"/>
    <n v="1"/>
    <n v="1"/>
    <s v="Pratheep Kumar"/>
    <x v="0"/>
    <s v="awaiting_upload"/>
    <b v="1"/>
  </r>
  <r>
    <d v="2026-03-19T17:29:20"/>
    <d v="2026-03-19T22:59:20"/>
    <d v="2026-03-24T18:03:33"/>
    <d v="2026-03-24T23:33:33"/>
    <d v="2026-03-24T00:22:11"/>
    <d v="2026-03-24T23:33:33"/>
    <x v="0"/>
    <n v="1554"/>
    <n v="1391.3667"/>
    <x v="0"/>
    <n v="12830872"/>
    <s v="Jeffrey C Brackett, MD, FACC"/>
    <s v="Cardiology Associates Medical Group"/>
    <s v="Clinic"/>
    <s v="PratheepKumar.a@cardioscribes.com"/>
    <x v="6"/>
    <s v="Chennai"/>
    <s v="No Go"/>
    <n v="77.72"/>
    <n v="98"/>
    <x v="1"/>
    <n v="3"/>
    <m/>
    <x v="29"/>
    <m/>
    <m/>
    <n v="1440"/>
    <s v="No"/>
    <n v="316"/>
    <s v="Normal"/>
    <s v="Achieved"/>
    <n v="0"/>
    <m/>
    <m/>
    <m/>
    <m/>
    <d v="2026-03-24T00:00:00"/>
    <s v="Week13"/>
    <x v="12"/>
    <s v="NoGo"/>
    <n v="97.426659804426151"/>
    <n v="0"/>
    <n v="2"/>
    <s v="Harsh"/>
    <s v="Aneesh"/>
    <s v="Aneesh"/>
    <s v="Minor"/>
    <s v="12830872Pratheep Kumar"/>
    <s v="Minor"/>
    <n v="0"/>
    <s v="Trivandrum"/>
    <x v="0"/>
    <n v="1"/>
    <n v="3"/>
    <s v="Pratheep Kumar"/>
    <x v="0"/>
    <s v="awaiting_upload"/>
    <b v="0"/>
  </r>
  <r>
    <d v="2026-03-16T18:24:02"/>
    <d v="2026-03-16T23:54:02"/>
    <d v="2026-03-24T18:10:39"/>
    <d v="2026-03-24T23:40:39"/>
    <d v="2026-03-22T09:49:49"/>
    <d v="2026-03-24T23:40:39"/>
    <x v="0"/>
    <n v="402"/>
    <n v="3710.8332999999998"/>
    <x v="0"/>
    <n v="12829557"/>
    <s v="Melissa Murillo, PA"/>
    <s v="Cardiology Associates Medical Group"/>
    <s v="Clinic"/>
    <s v="shiny.iype@cardioscribes.com"/>
    <x v="9"/>
    <s v="Ahmedabad"/>
    <s v="Go"/>
    <n v="38.630000000000003"/>
    <n v="99"/>
    <x v="4"/>
    <n v="1"/>
    <m/>
    <x v="29"/>
    <m/>
    <m/>
    <n v="1440"/>
    <s v="No"/>
    <n v="183"/>
    <s v="Normal"/>
    <s v="Achieved"/>
    <n v="0"/>
    <m/>
    <m/>
    <m/>
    <m/>
    <d v="2026-03-24T00:00:00"/>
    <s v="Week13"/>
    <x v="12"/>
    <s v="NoGo"/>
    <n v="97.411338338079219"/>
    <n v="1"/>
    <n v="1"/>
    <s v="Harsh"/>
    <s v="Ankit"/>
    <s v="Ankit"/>
    <s v="Major"/>
    <s v="12829557Shiny Iype"/>
    <s v="Major"/>
    <n v="1"/>
    <s v="Ahmedabad"/>
    <x v="0"/>
    <n v="1"/>
    <n v="1"/>
    <s v="Shiny Iype"/>
    <x v="0"/>
    <s v="awaiting_upload"/>
    <b v="0"/>
  </r>
  <r>
    <d v="2026-03-19T18:49:33"/>
    <d v="2026-03-20T00:19:33"/>
    <d v="2026-03-24T18:22:06"/>
    <d v="2026-03-24T23:52:06"/>
    <d v="2026-03-24T00:22:33"/>
    <d v="2026-03-24T23:52:06"/>
    <x v="0"/>
    <n v="413"/>
    <n v="1409.55"/>
    <x v="0"/>
    <n v="12830914"/>
    <s v="Julie Morantz, PA"/>
    <s v="Cardiology Associates Medical Group"/>
    <s v="Clinic"/>
    <s v="Tejasahm@gmail.com"/>
    <x v="7"/>
    <s v="Ahmedabad"/>
    <s v="Go"/>
    <n v="28.43"/>
    <n v="100"/>
    <x v="1"/>
    <n v="1"/>
    <m/>
    <x v="29"/>
    <m/>
    <m/>
    <n v="1440"/>
    <s v="No"/>
    <n v="197"/>
    <s v="Normal"/>
    <s v="Achieved"/>
    <n v="0"/>
    <m/>
    <m/>
    <m/>
    <m/>
    <d v="2026-03-24T00:00:00"/>
    <s v="Week13"/>
    <x v="12"/>
    <s v="Go"/>
    <n v="100"/>
    <n v="0"/>
    <n v="0"/>
    <s v="Harsh"/>
    <s v="Ankit"/>
    <s v="Ankit"/>
    <s v="Minor"/>
    <s v="12830914Tejas Patel"/>
    <s v="Minor"/>
    <n v="0"/>
    <s v="Ahmedabad"/>
    <x v="0"/>
    <n v="1"/>
    <n v="1"/>
    <s v="Tejas Patel"/>
    <x v="0"/>
    <s v="awaiting_upload"/>
    <b v="0"/>
  </r>
  <r>
    <d v="2026-03-16T16:57:34"/>
    <d v="2026-03-16T22:27:34"/>
    <d v="2026-03-24T18:29:35"/>
    <d v="2026-03-24T23:59:35"/>
    <d v="2026-03-22T09:45:47"/>
    <d v="2026-03-24T23:59:35"/>
    <x v="0"/>
    <n v="673"/>
    <n v="3733.8"/>
    <x v="0"/>
    <n v="12829549"/>
    <s v="Jeffrey C Brackett, MD, FACC"/>
    <s v="Cardiology Associates Medical Group"/>
    <s v="Clinic"/>
    <s v="shiny.iype@cardioscribes.com"/>
    <x v="9"/>
    <s v="Ahmedabad"/>
    <s v="No Go"/>
    <n v="63.23"/>
    <n v="97"/>
    <x v="6"/>
    <n v="3"/>
    <m/>
    <x v="29"/>
    <m/>
    <m/>
    <n v="1440"/>
    <s v="No"/>
    <n v="247"/>
    <s v="Normal"/>
    <s v="Achieved"/>
    <n v="0"/>
    <m/>
    <m/>
    <m/>
    <m/>
    <d v="2026-03-24T00:00:00"/>
    <s v="Week13"/>
    <x v="12"/>
    <s v="NoGo"/>
    <n v="95.25541673256366"/>
    <n v="3"/>
    <n v="3"/>
    <s v="Harsh"/>
    <s v="Ankit"/>
    <s v="Ankit"/>
    <s v="Major"/>
    <s v="12829549Shiny Iype"/>
    <s v="Major"/>
    <n v="1"/>
    <s v="Ahmedabad"/>
    <x v="1"/>
    <n v="1"/>
    <n v="3"/>
    <s v="Shiny Iype"/>
    <x v="0"/>
    <s v="awaiting_upload"/>
    <b v="1"/>
  </r>
  <r>
    <d v="2026-03-16T16:57:34"/>
    <d v="2026-03-16T22:27:34"/>
    <d v="2026-03-24T18:29:35"/>
    <d v="2026-03-24T23:59:35"/>
    <d v="2026-03-22T09:45:47"/>
    <d v="2026-03-24T23:59:35"/>
    <x v="0"/>
    <n v="673"/>
    <n v="3733.8"/>
    <x v="0"/>
    <n v="12829549"/>
    <s v="Jeffrey C Brackett, MD, FACC"/>
    <s v="Cardiology Associates Medical Group"/>
    <s v="Clinic"/>
    <s v="shiny.iype@cardioscribes.com"/>
    <x v="9"/>
    <s v="Ahmedabad"/>
    <s v="No Go"/>
    <n v="63.23"/>
    <n v="97"/>
    <x v="1"/>
    <n v="5"/>
    <m/>
    <x v="29"/>
    <m/>
    <m/>
    <n v="1440"/>
    <s v="No"/>
    <n v="247"/>
    <s v="Normal"/>
    <s v="Achieved"/>
    <n v="0"/>
    <m/>
    <m/>
    <m/>
    <m/>
    <d v="2026-03-24T00:00:00"/>
    <s v="Week13"/>
    <x v="12"/>
    <s v="NoGo"/>
    <n v="95.25541673256366"/>
    <n v="0"/>
    <n v="3"/>
    <s v="Harsh"/>
    <s v="Ankit"/>
    <s v="Ankit"/>
    <s v="Minor"/>
    <s v="12829549Shiny Iype"/>
    <s v="Minor"/>
    <n v="0"/>
    <s v="Ahmedabad"/>
    <x v="0"/>
    <n v="1"/>
    <n v="5"/>
    <s v="Shiny Iype"/>
    <x v="0"/>
    <s v="awaiting_upload"/>
    <b v="0"/>
  </r>
  <r>
    <d v="2026-03-16T16:56:39"/>
    <d v="2026-03-16T22:26:39"/>
    <d v="2026-03-25T03:35:26"/>
    <d v="2026-03-25T09:05:26"/>
    <d v="2026-03-22T09:45:41"/>
    <d v="2026-03-25T09:05:26"/>
    <x v="0"/>
    <n v="1480"/>
    <n v="4279.75"/>
    <x v="0"/>
    <n v="12829539"/>
    <s v="Jeffrey C Brackett, MD, FACC"/>
    <s v="Cardiology Associates Medical Group"/>
    <s v="Clinic"/>
    <s v="shiny.iype@cardioscribes.com"/>
    <x v="9"/>
    <s v="Ahmedabad"/>
    <s v="Go"/>
    <n v="55.49"/>
    <n v="100"/>
    <x v="1"/>
    <n v="2"/>
    <m/>
    <x v="29"/>
    <m/>
    <m/>
    <n v="1440"/>
    <s v="No"/>
    <n v="221"/>
    <s v="Normal"/>
    <s v="Achieved"/>
    <n v="0"/>
    <m/>
    <m/>
    <m/>
    <m/>
    <d v="2026-03-25T00:00:00"/>
    <s v="Week13"/>
    <x v="12"/>
    <s v="Go"/>
    <n v="100"/>
    <n v="0"/>
    <n v="0"/>
    <s v="Harsh"/>
    <s v="Ankit"/>
    <s v="Ankit"/>
    <s v="Minor"/>
    <s v="12829539Shiny Iype"/>
    <s v="Minor"/>
    <n v="0"/>
    <s v="Ahmedabad"/>
    <x v="0"/>
    <n v="1"/>
    <n v="2"/>
    <s v="Shiny Iype"/>
    <x v="0"/>
    <s v="awaiting_upload"/>
    <b v="0"/>
  </r>
  <r>
    <d v="2026-03-16T16:57:15"/>
    <d v="2026-03-16T22:27:15"/>
    <d v="2026-03-25T03:43:14"/>
    <d v="2026-03-25T09:13:14"/>
    <d v="2026-03-20T07:50:34"/>
    <d v="2026-03-25T09:13:14"/>
    <x v="0"/>
    <n v="365"/>
    <n v="7282.6666999999998"/>
    <x v="0"/>
    <n v="12829546"/>
    <s v="Jeffrey C Brackett, MD, FACC"/>
    <s v="Cardiology Associates Medical Group"/>
    <s v="Clinic"/>
    <s v="shiny.iype@cardioscribes.com"/>
    <x v="9"/>
    <s v="Ahmedabad"/>
    <s v="Go"/>
    <n v="44.23"/>
    <n v="99"/>
    <x v="6"/>
    <n v="1"/>
    <m/>
    <x v="29"/>
    <m/>
    <m/>
    <n v="1440"/>
    <s v="No"/>
    <n v="180"/>
    <s v="Normal"/>
    <s v="Achieved"/>
    <n v="0"/>
    <m/>
    <m/>
    <m/>
    <m/>
    <d v="2026-03-25T00:00:00"/>
    <s v="Week13"/>
    <x v="12"/>
    <s v="NoGo"/>
    <n v="97.739091114628081"/>
    <n v="1"/>
    <n v="1"/>
    <s v="Harsh"/>
    <s v="Ankit"/>
    <s v="Ankit"/>
    <s v="Major"/>
    <s v="12829546Shiny Iype"/>
    <s v="Major"/>
    <n v="1"/>
    <s v="Ahmedabad"/>
    <x v="1"/>
    <n v="1"/>
    <n v="1"/>
    <s v="Shiny Iype"/>
    <x v="0"/>
    <s v="awaiting_upload"/>
    <b v="1"/>
  </r>
  <r>
    <d v="2026-03-16T16:57:15"/>
    <d v="2026-03-16T22:27:15"/>
    <d v="2026-03-25T03:43:14"/>
    <d v="2026-03-25T09:13:14"/>
    <d v="2026-03-20T07:50:34"/>
    <d v="2026-03-25T09:13:14"/>
    <x v="0"/>
    <n v="365"/>
    <n v="7282.6666999999998"/>
    <x v="0"/>
    <n v="12829546"/>
    <s v="Jeffrey C Brackett, MD, FACC"/>
    <s v="Cardiology Associates Medical Group"/>
    <s v="Clinic"/>
    <s v="shiny.iype@cardioscribes.com"/>
    <x v="9"/>
    <s v="Ahmedabad"/>
    <s v="Go"/>
    <n v="44.23"/>
    <n v="99"/>
    <x v="1"/>
    <n v="7"/>
    <m/>
    <x v="29"/>
    <m/>
    <m/>
    <n v="1440"/>
    <s v="No"/>
    <n v="180"/>
    <s v="Normal"/>
    <s v="Achieved"/>
    <n v="0"/>
    <m/>
    <m/>
    <m/>
    <m/>
    <d v="2026-03-25T00:00:00"/>
    <s v="Week13"/>
    <x v="12"/>
    <s v="NoGo"/>
    <n v="97.739091114628081"/>
    <n v="0"/>
    <n v="1"/>
    <s v="Harsh"/>
    <s v="Ankit"/>
    <s v="Ankit"/>
    <s v="Minor"/>
    <s v="12829546Shiny Iype"/>
    <s v="Minor"/>
    <n v="0"/>
    <s v="Ahmedabad"/>
    <x v="0"/>
    <n v="1"/>
    <n v="7"/>
    <s v="Shiny Iype"/>
    <x v="0"/>
    <s v="awaiting_upload"/>
    <b v="0"/>
  </r>
  <r>
    <d v="2026-03-19T11:24:40"/>
    <d v="2026-03-19T16:54:40"/>
    <d v="2026-03-25T05:51:09"/>
    <d v="2026-03-25T11:21:09"/>
    <d v="2026-03-24T00:21:41"/>
    <d v="2026-03-25T11:21:09"/>
    <x v="0"/>
    <n v="853"/>
    <n v="2099.4666999999999"/>
    <x v="0"/>
    <n v="12830631"/>
    <s v="Kathi F Teixeira, MD"/>
    <s v="Auburn Community Hospital"/>
    <s v="Clinic"/>
    <s v="shiny.iype@cardioscribes.com"/>
    <x v="9"/>
    <s v="Ahmedabad"/>
    <s v="Go"/>
    <n v="72.75"/>
    <n v="99"/>
    <x v="2"/>
    <n v="1"/>
    <m/>
    <x v="11"/>
    <m/>
    <m/>
    <n v="720"/>
    <s v="No"/>
    <n v="251"/>
    <s v="Normal"/>
    <s v="Achieved"/>
    <n v="0"/>
    <m/>
    <m/>
    <m/>
    <m/>
    <d v="2026-03-25T00:00:00"/>
    <s v="Week13"/>
    <x v="6"/>
    <s v="Go"/>
    <n v="98.62542955326461"/>
    <n v="1"/>
    <n v="1"/>
    <s v="Ankit"/>
    <s v="Ankit"/>
    <s v="Ankit"/>
    <s v="Major"/>
    <s v="12830631Shiny Iype"/>
    <s v="Major"/>
    <n v="1"/>
    <s v="Ahmedabad"/>
    <x v="1"/>
    <n v="1"/>
    <n v="1"/>
    <s v="Shiny Iype"/>
    <x v="0"/>
    <s v="awaiting_upload"/>
    <b v="1"/>
  </r>
  <r>
    <d v="2026-03-19T11:24:40"/>
    <d v="2026-03-19T16:54:40"/>
    <d v="2026-03-25T05:51:09"/>
    <d v="2026-03-25T11:21:09"/>
    <d v="2026-03-24T00:21:41"/>
    <d v="2026-03-25T11:21:09"/>
    <x v="0"/>
    <n v="853"/>
    <n v="2099.4666999999999"/>
    <x v="0"/>
    <n v="12830631"/>
    <s v="Kathi F Teixeira, MD"/>
    <s v="Auburn Community Hospital"/>
    <s v="Clinic"/>
    <s v="shiny.iype@cardioscribes.com"/>
    <x v="9"/>
    <s v="Ahmedabad"/>
    <s v="Go"/>
    <n v="72.75"/>
    <n v="99"/>
    <x v="1"/>
    <n v="5"/>
    <m/>
    <x v="11"/>
    <m/>
    <m/>
    <n v="720"/>
    <s v="No"/>
    <n v="251"/>
    <s v="Normal"/>
    <s v="Achieved"/>
    <n v="0"/>
    <m/>
    <m/>
    <m/>
    <m/>
    <d v="2026-03-25T00:00:00"/>
    <s v="Week13"/>
    <x v="6"/>
    <s v="Go"/>
    <n v="98.62542955326461"/>
    <n v="0"/>
    <n v="1"/>
    <s v="Ankit"/>
    <s v="Ankit"/>
    <s v="Ankit"/>
    <s v="Minor"/>
    <s v="12830631Shiny Iype"/>
    <s v="Minor"/>
    <n v="0"/>
    <s v="Ahmedabad"/>
    <x v="0"/>
    <n v="1"/>
    <n v="5"/>
    <s v="Shiny Iype"/>
    <x v="0"/>
    <s v="awaiting_upload"/>
    <b v="0"/>
  </r>
  <r>
    <d v="2026-03-19T11:39:33"/>
    <d v="2026-03-19T17:09:33"/>
    <d v="2026-03-25T06:02:53"/>
    <d v="2026-03-25T11:32:53"/>
    <d v="2026-03-24T00:21:48"/>
    <d v="2026-03-25T11:32:53"/>
    <x v="0"/>
    <n v="662"/>
    <n v="2111.0832999999998"/>
    <x v="0"/>
    <n v="12830719"/>
    <s v="Craig Mansour, MD"/>
    <s v="Cardiology Associates Medical Group"/>
    <s v="Clinic"/>
    <s v="shiny.iype@cardioscribes.com"/>
    <x v="9"/>
    <s v="Ahmedabad"/>
    <s v="No Go"/>
    <n v="35.28"/>
    <n v="98"/>
    <x v="2"/>
    <n v="2"/>
    <m/>
    <x v="29"/>
    <m/>
    <m/>
    <n v="1440"/>
    <s v="No"/>
    <n v="204"/>
    <s v="Normal"/>
    <s v="Achieved"/>
    <n v="0"/>
    <m/>
    <m/>
    <m/>
    <m/>
    <d v="2026-03-25T00:00:00"/>
    <s v="Week13"/>
    <x v="12"/>
    <s v="NoGo"/>
    <n v="94.331065759637184"/>
    <n v="2"/>
    <n v="2"/>
    <s v="Harsh"/>
    <s v="Ankit"/>
    <s v="Ankit"/>
    <s v="Major"/>
    <s v="12830719Shiny Iype"/>
    <s v="Major"/>
    <n v="1"/>
    <s v="Ahmedabad"/>
    <x v="1"/>
    <n v="1"/>
    <n v="2"/>
    <s v="Shiny Iype"/>
    <x v="0"/>
    <s v="awaiting_upload"/>
    <b v="1"/>
  </r>
  <r>
    <d v="2026-03-19T11:39:33"/>
    <d v="2026-03-19T17:09:33"/>
    <d v="2026-03-25T06:02:53"/>
    <d v="2026-03-25T11:32:53"/>
    <d v="2026-03-24T00:21:48"/>
    <d v="2026-03-25T11:32:53"/>
    <x v="0"/>
    <n v="662"/>
    <n v="2111.0832999999998"/>
    <x v="0"/>
    <n v="12830719"/>
    <s v="Craig Mansour, MD"/>
    <s v="Cardiology Associates Medical Group"/>
    <s v="Clinic"/>
    <s v="shiny.iype@cardioscribes.com"/>
    <x v="9"/>
    <s v="Ahmedabad"/>
    <s v="No Go"/>
    <n v="35.28"/>
    <n v="98"/>
    <x v="1"/>
    <n v="5"/>
    <m/>
    <x v="29"/>
    <m/>
    <m/>
    <n v="1440"/>
    <s v="No"/>
    <n v="204"/>
    <s v="Normal"/>
    <s v="Achieved"/>
    <n v="0"/>
    <m/>
    <m/>
    <m/>
    <m/>
    <d v="2026-03-25T00:00:00"/>
    <s v="Week13"/>
    <x v="12"/>
    <s v="NoGo"/>
    <n v="94.331065759637184"/>
    <n v="0"/>
    <n v="2"/>
    <s v="Harsh"/>
    <s v="Ankit"/>
    <s v="Ankit"/>
    <s v="Minor"/>
    <s v="12830719Shiny Iype"/>
    <s v="Minor"/>
    <n v="0"/>
    <s v="Ahmedabad"/>
    <x v="0"/>
    <n v="1"/>
    <n v="5"/>
    <s v="Shiny Iype"/>
    <x v="0"/>
    <s v="awaiting_upload"/>
    <b v="0"/>
  </r>
  <r>
    <d v="2026-03-19T09:16:47"/>
    <d v="2026-03-19T14:46:47"/>
    <d v="2026-03-25T06:21:22"/>
    <d v="2026-03-25T11:51:22"/>
    <d v="2026-03-24T00:21:30"/>
    <d v="2026-03-25T11:51:22"/>
    <x v="0"/>
    <n v="1082"/>
    <n v="2129.8667"/>
    <x v="0"/>
    <n v="12830608"/>
    <s v="Mark Mankins, MD"/>
    <s v="Olney Hamiltion Hospital"/>
    <s v="Clinic"/>
    <s v="jobs4savitha@gmail.com"/>
    <x v="5"/>
    <s v="Trivandrum"/>
    <s v="Go"/>
    <n v="33.520000000000003"/>
    <n v="99"/>
    <x v="2"/>
    <n v="1"/>
    <m/>
    <x v="43"/>
    <m/>
    <m/>
    <n v="1440"/>
    <s v="No"/>
    <n v="188"/>
    <s v="Normal"/>
    <s v="Achieved"/>
    <n v="0"/>
    <m/>
    <m/>
    <m/>
    <m/>
    <d v="2026-03-25T00:00:00"/>
    <s v="Week13"/>
    <x v="20"/>
    <s v="NoGo"/>
    <n v="97.016706443914074"/>
    <n v="1"/>
    <n v="1"/>
    <s v="Aneesh"/>
    <s v="Aneesh"/>
    <s v="Aneesh"/>
    <s v="Major"/>
    <s v="12830608Savitha Arun"/>
    <s v="Major"/>
    <n v="1"/>
    <s v="Trivandrum"/>
    <x v="1"/>
    <n v="1"/>
    <n v="1"/>
    <s v="Gopal Rajith"/>
    <x v="1"/>
    <s v="awaiting_bb"/>
    <b v="1"/>
  </r>
  <r>
    <d v="2026-03-19T09:16:47"/>
    <d v="2026-03-19T14:46:47"/>
    <d v="2026-03-25T06:21:22"/>
    <d v="2026-03-25T11:51:22"/>
    <d v="2026-03-24T00:21:30"/>
    <d v="2026-03-25T11:51:22"/>
    <x v="0"/>
    <n v="1082"/>
    <n v="2129.8667"/>
    <x v="0"/>
    <n v="12830608"/>
    <s v="Mark Mankins, MD"/>
    <s v="Olney Hamiltion Hospital"/>
    <s v="Clinic"/>
    <s v="jobs4savitha@gmail.com"/>
    <x v="5"/>
    <s v="Trivandrum"/>
    <s v="Go"/>
    <n v="33.520000000000003"/>
    <n v="99"/>
    <x v="1"/>
    <n v="5"/>
    <m/>
    <x v="43"/>
    <m/>
    <m/>
    <n v="1440"/>
    <s v="No"/>
    <n v="188"/>
    <s v="Normal"/>
    <s v="Achieved"/>
    <n v="0"/>
    <m/>
    <m/>
    <m/>
    <m/>
    <d v="2026-03-25T00:00:00"/>
    <s v="Week13"/>
    <x v="20"/>
    <s v="NoGo"/>
    <n v="97.016706443914074"/>
    <n v="0"/>
    <n v="1"/>
    <s v="Aneesh"/>
    <s v="Aneesh"/>
    <s v="Aneesh"/>
    <s v="Minor"/>
    <s v="12830608Savitha Arun"/>
    <s v="Minor"/>
    <n v="0"/>
    <s v="Trivandrum"/>
    <x v="0"/>
    <n v="1"/>
    <n v="5"/>
    <s v="Gopal Rajith"/>
    <x v="1"/>
    <s v="awaiting_bb"/>
    <b v="0"/>
  </r>
  <r>
    <d v="2026-03-17T17:32:06"/>
    <d v="2026-03-17T23:02:06"/>
    <d v="2026-03-25T07:43:11"/>
    <d v="2026-03-25T13:13:11"/>
    <d v="2026-03-22T09:50:32"/>
    <d v="2026-03-25T13:13:11"/>
    <x v="0"/>
    <n v="383"/>
    <n v="4522.6499999999996"/>
    <x v="0"/>
    <n v="12830009"/>
    <s v="Jeffrey C Brackett, MD, FACC"/>
    <s v="Cardiology Associates Medical Group"/>
    <s v="Clinic"/>
    <s v="Tejasahm@gmail.com"/>
    <x v="7"/>
    <s v="Ahmedabad"/>
    <s v="Go"/>
    <n v="71.42"/>
    <n v="100"/>
    <x v="1"/>
    <n v="1"/>
    <m/>
    <x v="29"/>
    <m/>
    <m/>
    <n v="1440"/>
    <s v="No"/>
    <n v="250"/>
    <s v="Normal"/>
    <s v="Achieved"/>
    <n v="0"/>
    <m/>
    <m/>
    <m/>
    <m/>
    <d v="2026-03-25T00:00:00"/>
    <s v="Week13"/>
    <x v="12"/>
    <s v="Go"/>
    <n v="100"/>
    <n v="0"/>
    <n v="0"/>
    <s v="Harsh"/>
    <s v="Ankit"/>
    <s v="Ankit"/>
    <s v="Minor"/>
    <s v="12830009Tejas Patel"/>
    <s v="Minor"/>
    <n v="0"/>
    <s v="Ahmedabad"/>
    <x v="0"/>
    <n v="1"/>
    <n v="1"/>
    <s v="Tejas Patel"/>
    <x v="0"/>
    <s v="awaiting_upload"/>
    <b v="0"/>
  </r>
  <r>
    <d v="2026-03-19T17:26:35"/>
    <d v="2026-03-19T22:56:35"/>
    <d v="2026-03-25T08:05:32"/>
    <d v="2026-03-25T13:35:32"/>
    <d v="2026-03-24T00:21:54"/>
    <d v="2026-03-25T13:35:32"/>
    <x v="0"/>
    <n v="451"/>
    <n v="2233.6333"/>
    <x v="0"/>
    <n v="12830888"/>
    <s v="Jeffrey C Brackett, MD, FACC"/>
    <s v="Cardiology Associates Medical Group"/>
    <s v="Clinic"/>
    <s v="shiny.iype@cardioscribes.com"/>
    <x v="9"/>
    <s v="Ahmedabad"/>
    <s v="Go"/>
    <n v="50.68"/>
    <n v="100"/>
    <x v="1"/>
    <n v="4"/>
    <m/>
    <x v="29"/>
    <m/>
    <m/>
    <n v="1440"/>
    <s v="No"/>
    <n v="208"/>
    <s v="Normal"/>
    <s v="Achieved"/>
    <n v="0"/>
    <m/>
    <m/>
    <m/>
    <m/>
    <d v="2026-03-25T00:00:00"/>
    <s v="Week13"/>
    <x v="12"/>
    <s v="Go"/>
    <n v="100"/>
    <n v="0"/>
    <n v="0"/>
    <s v="Harsh"/>
    <s v="Ankit"/>
    <s v="Ankit"/>
    <s v="Minor"/>
    <s v="12830888Shiny Iype"/>
    <s v="Minor"/>
    <n v="0"/>
    <s v="Ahmedabad"/>
    <x v="0"/>
    <n v="1"/>
    <n v="4"/>
    <s v="Shiny Iype"/>
    <x v="0"/>
    <s v="awaiting_upload"/>
    <b v="0"/>
  </r>
  <r>
    <d v="2026-03-19T17:27:17"/>
    <d v="2026-03-19T22:57:17"/>
    <d v="2026-03-25T08:11:00"/>
    <d v="2026-03-25T13:41:00"/>
    <d v="2026-03-24T00:22:00"/>
    <d v="2026-03-25T13:41:00"/>
    <x v="0"/>
    <n v="303"/>
    <n v="2239"/>
    <x v="0"/>
    <n v="12830884"/>
    <s v="Jeffrey C Brackett, MD, FACC"/>
    <s v="Cardiology Associates Medical Group"/>
    <s v="Clinic"/>
    <s v="PratheepKumar.a@cardioscribes.com"/>
    <x v="6"/>
    <s v="Chennai"/>
    <s v="Go"/>
    <n v="57.29"/>
    <n v="100"/>
    <x v="1"/>
    <n v="1"/>
    <m/>
    <x v="29"/>
    <m/>
    <m/>
    <n v="1440"/>
    <s v="No"/>
    <n v="201"/>
    <s v="Normal"/>
    <s v="Achieved"/>
    <n v="0"/>
    <m/>
    <m/>
    <m/>
    <m/>
    <d v="2026-03-25T00:00:00"/>
    <s v="Week13"/>
    <x v="12"/>
    <s v="Go"/>
    <n v="100"/>
    <n v="0"/>
    <n v="0"/>
    <s v="Harsh"/>
    <s v="Aneesh"/>
    <s v="Aneesh"/>
    <s v="Minor"/>
    <s v="12830884Pratheep Kumar"/>
    <s v="Minor"/>
    <n v="0"/>
    <s v="Trivandrum"/>
    <x v="0"/>
    <n v="1"/>
    <n v="1"/>
    <s v="Pratheep Kumar"/>
    <x v="0"/>
    <s v="awaiting_upload"/>
    <b v="0"/>
  </r>
  <r>
    <d v="2026-03-19T17:27:49"/>
    <d v="2026-03-19T22:57:49"/>
    <d v="2026-03-25T08:19:05"/>
    <d v="2026-03-25T13:49:05"/>
    <d v="2026-03-24T00:22:16"/>
    <d v="2026-03-25T13:49:05"/>
    <x v="0"/>
    <n v="475"/>
    <n v="2246.8166999999999"/>
    <x v="0"/>
    <n v="12830880"/>
    <s v="Jeffrey C Brackett, MD, FACC"/>
    <s v="Cardiology Associates Medical Group"/>
    <s v="Clinic"/>
    <s v="PratheepKumar.a@cardioscribes.com"/>
    <x v="6"/>
    <s v="Chennai"/>
    <s v="Go"/>
    <n v="53.35"/>
    <n v="99"/>
    <x v="6"/>
    <n v="1"/>
    <m/>
    <x v="29"/>
    <m/>
    <m/>
    <n v="1440"/>
    <s v="No"/>
    <n v="196"/>
    <s v="Normal"/>
    <s v="Null"/>
    <n v="0"/>
    <m/>
    <m/>
    <m/>
    <m/>
    <d v="2026-03-25T00:00:00"/>
    <s v="Week13"/>
    <x v="12"/>
    <s v="NoGo"/>
    <n v="98.125585754451734"/>
    <n v="1"/>
    <n v="1"/>
    <s v="Harsh"/>
    <s v="Aneesh"/>
    <s v="Aneesh"/>
    <s v="Major"/>
    <s v="12830880Pratheep Kumar"/>
    <s v="Major"/>
    <n v="1"/>
    <s v="Trivandrum"/>
    <x v="1"/>
    <n v="1"/>
    <n v="1"/>
    <s v="Pratheep Kumar"/>
    <x v="0"/>
    <s v="awaiting_upload"/>
    <b v="1"/>
  </r>
  <r>
    <d v="2026-03-19T17:27:49"/>
    <d v="2026-03-19T22:57:49"/>
    <d v="2026-03-25T08:19:05"/>
    <d v="2026-03-25T13:49:05"/>
    <d v="2026-03-24T00:22:16"/>
    <d v="2026-03-25T13:49:05"/>
    <x v="0"/>
    <n v="475"/>
    <n v="2246.8166999999999"/>
    <x v="0"/>
    <n v="12830880"/>
    <s v="Jeffrey C Brackett, MD, FACC"/>
    <s v="Cardiology Associates Medical Group"/>
    <s v="Clinic"/>
    <s v="PratheepKumar.a@cardioscribes.com"/>
    <x v="6"/>
    <s v="Chennai"/>
    <s v="Go"/>
    <n v="53.35"/>
    <n v="99"/>
    <x v="1"/>
    <n v="1"/>
    <m/>
    <x v="29"/>
    <m/>
    <m/>
    <n v="1440"/>
    <s v="No"/>
    <n v="196"/>
    <s v="Normal"/>
    <s v="Null"/>
    <n v="0"/>
    <m/>
    <m/>
    <m/>
    <m/>
    <d v="2026-03-25T00:00:00"/>
    <s v="Week13"/>
    <x v="12"/>
    <s v="NoGo"/>
    <n v="98.125585754451734"/>
    <n v="0"/>
    <n v="1"/>
    <s v="Harsh"/>
    <s v="Aneesh"/>
    <s v="Aneesh"/>
    <s v="Minor"/>
    <s v="12830880Pratheep Kumar"/>
    <s v="Minor"/>
    <n v="0"/>
    <s v="Trivandrum"/>
    <x v="0"/>
    <n v="1"/>
    <n v="1"/>
    <s v="Pratheep Kumar"/>
    <x v="0"/>
    <s v="awaiting_upload"/>
    <b v="0"/>
  </r>
  <r>
    <d v="2026-03-20T09:07:09"/>
    <d v="2026-03-20T14:37:09"/>
    <d v="2026-03-25T17:27:35"/>
    <d v="2026-03-25T22:57:35"/>
    <d v="2026-03-25T21:51:51"/>
    <d v="2026-03-25T22:57:35"/>
    <x v="0"/>
    <n v="79"/>
    <n v="65.7333"/>
    <x v="0"/>
    <n v="12831012"/>
    <s v="Richard Field, III, M.D."/>
    <s v="Field Memorial Community Hospital"/>
    <s v="Clinic"/>
    <s v="jobs4savitha@gmail.com"/>
    <x v="5"/>
    <s v="Trivandrum"/>
    <s v="Go"/>
    <n v="9.1999999999999993"/>
    <n v="100"/>
    <x v="0"/>
    <n v="0"/>
    <m/>
    <x v="44"/>
    <m/>
    <m/>
    <n v="1440"/>
    <s v="No"/>
    <n v="56"/>
    <s v="Normal"/>
    <s v="Achieved"/>
    <n v="0"/>
    <m/>
    <m/>
    <m/>
    <m/>
    <d v="2026-03-25T00:00:00"/>
    <s v="Week13"/>
    <x v="21"/>
    <s v="Go"/>
    <n v="100"/>
    <n v="0"/>
    <n v="0"/>
    <s v="Aneesh"/>
    <s v="Aneesh"/>
    <s v="Aneesh"/>
    <s v=""/>
    <s v="12831012Savitha Arun"/>
    <s v=""/>
    <s v=""/>
    <s v="Trivandrum"/>
    <x v="0"/>
    <s v=""/>
    <n v="0"/>
    <s v="Sivasankari A"/>
    <x v="1"/>
    <s v="awaiting_upload"/>
    <b v="0"/>
  </r>
  <r>
    <d v="2026-03-17T19:22:43"/>
    <d v="2026-03-18T00:52:43"/>
    <d v="2026-03-25T17:51:38"/>
    <d v="2026-03-25T23:21:38"/>
    <d v="2026-03-25T08:03:39"/>
    <d v="2026-03-25T23:21:38"/>
    <x v="0"/>
    <n v="6358"/>
    <n v="917.98329999999999"/>
    <x v="0"/>
    <n v="12829934"/>
    <s v="Joseph Schwartzer, MD"/>
    <s v="Norfolk Community Service Board"/>
    <s v="Clinic"/>
    <s v="sivasankari.a@cardioscribes.com"/>
    <x v="3"/>
    <s v="Chennai"/>
    <s v="Go"/>
    <n v="127.92"/>
    <n v="100"/>
    <x v="0"/>
    <n v="0"/>
    <m/>
    <x v="19"/>
    <m/>
    <m/>
    <n v="1440"/>
    <s v="No"/>
    <n v="1431"/>
    <s v="Normal"/>
    <s v="Achieved"/>
    <n v="0"/>
    <m/>
    <m/>
    <m/>
    <m/>
    <d v="2026-03-25T00:00:00"/>
    <s v="Week13"/>
    <x v="8"/>
    <s v="Go"/>
    <n v="100"/>
    <n v="0"/>
    <n v="0"/>
    <s v="Aneesh"/>
    <s v="Aneesh"/>
    <s v="Aneesh"/>
    <s v=""/>
    <s v="12829934Sivasankari A"/>
    <s v=""/>
    <s v=""/>
    <s v="Trivandrum"/>
    <x v="0"/>
    <s v=""/>
    <n v="0"/>
    <s v="Sivasankari A"/>
    <x v="0"/>
    <s v="awaiting_upload"/>
    <b v="0"/>
  </r>
  <r>
    <d v="2026-03-19T17:22:18"/>
    <d v="2026-03-19T22:52:18"/>
    <d v="2026-03-25T18:12:58"/>
    <d v="2026-03-25T23:42:58"/>
    <d v="2026-03-25T08:03:56"/>
    <d v="2026-03-25T23:42:58"/>
    <x v="0"/>
    <n v="1262"/>
    <n v="939.03330000000005"/>
    <x v="0"/>
    <n v="12830754"/>
    <s v="Joseph Schwartzer, MD"/>
    <s v="Norfolk Community Service Board"/>
    <s v="Clinic"/>
    <s v="sivasankari.a@cardioscribes.com"/>
    <x v="3"/>
    <s v="Chennai"/>
    <s v="Go"/>
    <n v="137.66"/>
    <n v="100"/>
    <x v="0"/>
    <n v="0"/>
    <m/>
    <x v="19"/>
    <m/>
    <m/>
    <n v="1440"/>
    <s v="No"/>
    <n v="1078"/>
    <s v="Normal"/>
    <s v="Achieved"/>
    <n v="0"/>
    <m/>
    <m/>
    <m/>
    <m/>
    <d v="2026-03-25T00:00:00"/>
    <s v="Week13"/>
    <x v="8"/>
    <s v="Go"/>
    <n v="100"/>
    <n v="0"/>
    <n v="0"/>
    <s v="Aneesh"/>
    <s v="Aneesh"/>
    <s v="Aneesh"/>
    <s v=""/>
    <s v="12830754Sivasankari A"/>
    <s v=""/>
    <s v=""/>
    <s v="Trivandrum"/>
    <x v="0"/>
    <s v=""/>
    <n v="0"/>
    <s v="Sivasankari A"/>
    <x v="0"/>
    <s v="awaiting_upload"/>
    <b v="0"/>
  </r>
  <r>
    <d v="2026-03-19T15:58:55"/>
    <d v="2026-03-19T21:28:55"/>
    <d v="2026-03-25T18:19:22"/>
    <d v="2026-03-25T23:49:22"/>
    <d v="2026-03-25T21:51:17"/>
    <d v="2026-03-25T23:49:22"/>
    <x v="0"/>
    <n v="360"/>
    <n v="118.08329999999999"/>
    <x v="0"/>
    <n v="12830739"/>
    <s v="Jill N Jones, NP"/>
    <s v="Norfolk Community Service Board"/>
    <s v="Clinic"/>
    <s v="sivasankari.a@cardioscribes.com"/>
    <x v="3"/>
    <s v="Chennai"/>
    <s v="Go"/>
    <n v="87.94"/>
    <n v="100"/>
    <x v="0"/>
    <n v="0"/>
    <m/>
    <x v="21"/>
    <m/>
    <m/>
    <n v="1440"/>
    <s v="No"/>
    <n v="326"/>
    <s v="Normal"/>
    <s v="Achieved"/>
    <n v="0"/>
    <m/>
    <m/>
    <m/>
    <m/>
    <d v="2026-03-25T00:00:00"/>
    <s v="Week13"/>
    <x v="8"/>
    <s v="Go"/>
    <n v="100"/>
    <n v="0"/>
    <n v="0"/>
    <s v="Aneesh"/>
    <s v="Aneesh"/>
    <s v="Aneesh"/>
    <s v=""/>
    <s v="12830739Sivasankari A"/>
    <s v=""/>
    <s v=""/>
    <s v="Trivandrum"/>
    <x v="0"/>
    <s v=""/>
    <n v="0"/>
    <s v="Sivasankari A"/>
    <x v="0"/>
    <s v="awaiting_upload"/>
    <b v="0"/>
  </r>
  <r>
    <d v="2026-03-19T15:49:53"/>
    <d v="2026-03-19T21:19:53"/>
    <d v="2026-03-25T18:31:17"/>
    <d v="2026-03-26T00:01:17"/>
    <d v="2026-03-25T08:03:49"/>
    <d v="2026-03-26T00:01:17"/>
    <x v="0"/>
    <n v="703"/>
    <n v="957.46669999999995"/>
    <x v="0"/>
    <n v="12830737"/>
    <s v="Jill N Jones, NP"/>
    <s v="Norfolk Community Service Board"/>
    <s v="Clinic"/>
    <s v="sivasankari.a@cardioscribes.com"/>
    <x v="3"/>
    <s v="Chennai"/>
    <s v="Go"/>
    <n v="117.06"/>
    <n v="100"/>
    <x v="0"/>
    <n v="0"/>
    <m/>
    <x v="21"/>
    <m/>
    <m/>
    <n v="1440"/>
    <s v="No"/>
    <n v="556"/>
    <s v="Normal"/>
    <s v="Achieved"/>
    <n v="0"/>
    <m/>
    <m/>
    <m/>
    <m/>
    <d v="2026-03-26T00:00:00"/>
    <s v="Week13"/>
    <x v="8"/>
    <s v="Go"/>
    <n v="100"/>
    <n v="0"/>
    <n v="0"/>
    <s v="Aneesh"/>
    <s v="Aneesh"/>
    <s v="Aneesh"/>
    <s v=""/>
    <s v="12830737Sivasankari A"/>
    <s v=""/>
    <s v=""/>
    <s v="Trivandrum"/>
    <x v="0"/>
    <s v=""/>
    <n v="0"/>
    <s v="Sivasankari A"/>
    <x v="0"/>
    <s v="awaiting_upload"/>
    <b v="0"/>
  </r>
  <r>
    <d v="2026-03-19T18:45:30"/>
    <d v="2026-03-20T00:15:30"/>
    <d v="2026-03-26T04:30:41"/>
    <d v="2026-03-26T10:00:41"/>
    <d v="2026-03-25T21:51:32"/>
    <d v="2026-03-26T10:00:41"/>
    <x v="0"/>
    <n v="400"/>
    <n v="729.15"/>
    <x v="0"/>
    <n v="12830905"/>
    <s v="Julie Morantz, PA"/>
    <s v="Cardiology Associates Medical Group"/>
    <s v="Clinic"/>
    <s v="Tejasahm@gmail.com"/>
    <x v="7"/>
    <s v="Ahmedabad"/>
    <s v="Go"/>
    <n v="40.68"/>
    <n v="100"/>
    <x v="1"/>
    <n v="4"/>
    <m/>
    <x v="29"/>
    <m/>
    <m/>
    <n v="1440"/>
    <s v="No"/>
    <n v="218"/>
    <s v="Normal"/>
    <s v="Achieved"/>
    <n v="0"/>
    <m/>
    <m/>
    <m/>
    <m/>
    <d v="2026-03-26T00:00:00"/>
    <s v="Week13"/>
    <x v="12"/>
    <s v="Go"/>
    <n v="100"/>
    <n v="0"/>
    <n v="0"/>
    <s v="Harsh"/>
    <s v="Ankit"/>
    <s v="Ankit"/>
    <s v="Minor"/>
    <s v="12830905Tejas Patel"/>
    <s v="Minor"/>
    <n v="0"/>
    <s v="Ahmedabad"/>
    <x v="0"/>
    <n v="1"/>
    <n v="4"/>
    <s v="Tejas Patel"/>
    <x v="0"/>
    <s v="awaiting_upload"/>
    <b v="0"/>
  </r>
  <r>
    <d v="2026-03-20T08:42:20"/>
    <d v="2026-03-20T14:12:20"/>
    <d v="2026-03-26T04:47:05"/>
    <d v="2026-03-26T10:17:05"/>
    <d v="2026-03-25T08:04:08"/>
    <d v="2026-03-26T10:17:05"/>
    <x v="0"/>
    <n v="1131"/>
    <n v="1572.95"/>
    <x v="0"/>
    <n v="12831005"/>
    <s v="Ward Jankus, MD"/>
    <s v="Department Of Health Services - Wisconsin"/>
    <s v="JankusOrtho"/>
    <s v="Tejasahm@gmail.com"/>
    <x v="7"/>
    <s v="Ahmedabad"/>
    <s v="No Go"/>
    <n v="144.28"/>
    <n v="98"/>
    <x v="2"/>
    <n v="1"/>
    <m/>
    <x v="45"/>
    <m/>
    <m/>
    <n v="1440"/>
    <s v="No"/>
    <n v="623"/>
    <s v="Normal"/>
    <s v="Achieved"/>
    <n v="0"/>
    <m/>
    <m/>
    <m/>
    <m/>
    <d v="2026-03-26T00:00:00"/>
    <s v="Week13"/>
    <x v="3"/>
    <s v="Go"/>
    <n v="98.613806487385645"/>
    <n v="1"/>
    <n v="2"/>
    <s v="Harsh"/>
    <s v="Ankit"/>
    <s v="Ankit"/>
    <s v="Major"/>
    <s v="12831005Tejas Patel"/>
    <s v="Major"/>
    <n v="1"/>
    <s v="Ahmedabad"/>
    <x v="1"/>
    <n v="1"/>
    <n v="1"/>
    <s v="Tejas Patel"/>
    <x v="0"/>
    <s v="awaiting_upload"/>
    <b v="1"/>
  </r>
  <r>
    <d v="2026-03-20T08:42:20"/>
    <d v="2026-03-20T14:12:20"/>
    <d v="2026-03-26T04:47:05"/>
    <d v="2026-03-26T10:17:05"/>
    <d v="2026-03-25T08:04:08"/>
    <d v="2026-03-26T10:17:05"/>
    <x v="0"/>
    <n v="1131"/>
    <n v="1572.95"/>
    <x v="0"/>
    <n v="12831005"/>
    <s v="Ward Jankus, MD"/>
    <s v="Department Of Health Services - Wisconsin"/>
    <s v="JankusOrtho"/>
    <s v="Tejasahm@gmail.com"/>
    <x v="7"/>
    <s v="Ahmedabad"/>
    <s v="No Go"/>
    <n v="144.28"/>
    <n v="98"/>
    <x v="4"/>
    <n v="1"/>
    <m/>
    <x v="45"/>
    <m/>
    <m/>
    <n v="1440"/>
    <s v="No"/>
    <n v="623"/>
    <s v="Normal"/>
    <s v="Achieved"/>
    <n v="0"/>
    <m/>
    <m/>
    <m/>
    <m/>
    <d v="2026-03-26T00:00:00"/>
    <s v="Week13"/>
    <x v="3"/>
    <s v="Go"/>
    <n v="98.613806487385645"/>
    <n v="1"/>
    <n v="2"/>
    <s v="Harsh"/>
    <s v="Ankit"/>
    <s v="Ankit"/>
    <s v="Major"/>
    <s v="12831005Tejas Patel"/>
    <s v="Major"/>
    <n v="1"/>
    <s v="Ahmedabad"/>
    <x v="1"/>
    <n v="1"/>
    <n v="1"/>
    <s v="Tejas Patel"/>
    <x v="0"/>
    <s v="awaiting_upload"/>
    <b v="1"/>
  </r>
  <r>
    <d v="2026-03-20T08:42:20"/>
    <d v="2026-03-20T14:12:20"/>
    <d v="2026-03-26T04:47:05"/>
    <d v="2026-03-26T10:17:05"/>
    <d v="2026-03-25T08:04:08"/>
    <d v="2026-03-26T10:17:05"/>
    <x v="0"/>
    <n v="1131"/>
    <n v="1572.95"/>
    <x v="0"/>
    <n v="12831005"/>
    <s v="Ward Jankus, MD"/>
    <s v="Department Of Health Services - Wisconsin"/>
    <s v="JankusOrtho"/>
    <s v="Tejasahm@gmail.com"/>
    <x v="7"/>
    <s v="Ahmedabad"/>
    <s v="No Go"/>
    <n v="144.28"/>
    <n v="98"/>
    <x v="1"/>
    <n v="5"/>
    <m/>
    <x v="45"/>
    <m/>
    <m/>
    <n v="1440"/>
    <s v="No"/>
    <n v="623"/>
    <s v="Normal"/>
    <s v="Achieved"/>
    <n v="0"/>
    <m/>
    <m/>
    <m/>
    <m/>
    <d v="2026-03-26T00:00:00"/>
    <s v="Week13"/>
    <x v="3"/>
    <s v="Go"/>
    <n v="98.613806487385645"/>
    <n v="0"/>
    <n v="2"/>
    <s v="Harsh"/>
    <s v="Ankit"/>
    <s v="Ankit"/>
    <s v="Minor"/>
    <s v="12831005Tejas Patel"/>
    <s v="Minor"/>
    <n v="0"/>
    <s v="Ahmedabad"/>
    <x v="0"/>
    <n v="1"/>
    <n v="5"/>
    <s v="Tejas Patel"/>
    <x v="0"/>
    <s v="awaiting_upload"/>
    <b v="0"/>
  </r>
  <r>
    <d v="2026-03-22T14:33:51"/>
    <d v="2026-03-22T20:03:51"/>
    <d v="2026-03-26T05:12:01"/>
    <d v="2026-03-26T10:42:01"/>
    <d v="2026-03-25T08:04:34"/>
    <d v="2026-03-26T10:42:01"/>
    <x v="0"/>
    <n v="1482"/>
    <n v="1597.45"/>
    <x v="0"/>
    <n v="12831391"/>
    <s v="Jules J Barefoot, "/>
    <s v="MEDICAL RESOURCE CENTER"/>
    <s v="Clinic"/>
    <s v="Tejasahm@gmail.com"/>
    <x v="7"/>
    <s v="Ahmedabad"/>
    <s v="No Go"/>
    <n v="102.6"/>
    <n v="95"/>
    <x v="2"/>
    <n v="3"/>
    <m/>
    <x v="39"/>
    <m/>
    <m/>
    <n v="1440"/>
    <s v="No"/>
    <n v="791"/>
    <s v="Normal"/>
    <s v="Achieved"/>
    <n v="0"/>
    <m/>
    <m/>
    <m/>
    <m/>
    <d v="2026-03-26T00:00:00"/>
    <s v="Week13"/>
    <x v="17"/>
    <s v="NoGo"/>
    <n v="95.126705653021446"/>
    <n v="3"/>
    <n v="5"/>
    <s v="Harsh"/>
    <s v="Ankit"/>
    <s v="Ankit"/>
    <s v="Major"/>
    <s v="12831391Tejas Patel"/>
    <s v="Major"/>
    <n v="1"/>
    <s v="Ahmedabad"/>
    <x v="1"/>
    <n v="1"/>
    <n v="3"/>
    <s v="Tejas Patel"/>
    <x v="0"/>
    <s v="ready_for_review"/>
    <b v="1"/>
  </r>
  <r>
    <d v="2026-03-22T14:33:51"/>
    <d v="2026-03-22T20:03:51"/>
    <d v="2026-03-26T05:12:01"/>
    <d v="2026-03-26T10:42:01"/>
    <d v="2026-03-25T08:04:34"/>
    <d v="2026-03-26T10:42:01"/>
    <x v="0"/>
    <n v="1482"/>
    <n v="1597.45"/>
    <x v="0"/>
    <n v="12831391"/>
    <s v="Jules J Barefoot, "/>
    <s v="MEDICAL RESOURCE CENTER"/>
    <s v="Clinic"/>
    <s v="Tejasahm@gmail.com"/>
    <x v="7"/>
    <s v="Ahmedabad"/>
    <s v="No Go"/>
    <n v="102.6"/>
    <n v="95"/>
    <x v="4"/>
    <n v="1"/>
    <m/>
    <x v="39"/>
    <m/>
    <m/>
    <n v="1440"/>
    <s v="No"/>
    <n v="791"/>
    <s v="Normal"/>
    <s v="Achieved"/>
    <n v="0"/>
    <m/>
    <m/>
    <m/>
    <m/>
    <d v="2026-03-26T00:00:00"/>
    <s v="Week13"/>
    <x v="17"/>
    <s v="NoGo"/>
    <n v="95.126705653021446"/>
    <n v="1"/>
    <n v="5"/>
    <s v="Harsh"/>
    <s v="Ankit"/>
    <s v="Ankit"/>
    <s v="Major"/>
    <s v="12831391Tejas Patel"/>
    <s v="Major"/>
    <n v="1"/>
    <s v="Ahmedabad"/>
    <x v="1"/>
    <n v="1"/>
    <n v="1"/>
    <s v="Tejas Patel"/>
    <x v="0"/>
    <s v="ready_for_review"/>
    <b v="1"/>
  </r>
  <r>
    <d v="2026-03-22T14:33:51"/>
    <d v="2026-03-22T20:03:51"/>
    <d v="2026-03-26T05:12:01"/>
    <d v="2026-03-26T10:42:01"/>
    <d v="2026-03-25T08:04:34"/>
    <d v="2026-03-26T10:42:01"/>
    <x v="0"/>
    <n v="1482"/>
    <n v="1597.45"/>
    <x v="0"/>
    <n v="12831391"/>
    <s v="Jules J Barefoot, "/>
    <s v="MEDICAL RESOURCE CENTER"/>
    <s v="Clinic"/>
    <s v="Tejasahm@gmail.com"/>
    <x v="7"/>
    <s v="Ahmedabad"/>
    <s v="No Go"/>
    <n v="102.6"/>
    <n v="95"/>
    <x v="6"/>
    <n v="1"/>
    <m/>
    <x v="39"/>
    <m/>
    <m/>
    <n v="1440"/>
    <s v="No"/>
    <n v="791"/>
    <s v="Normal"/>
    <s v="Achieved"/>
    <n v="0"/>
    <m/>
    <m/>
    <m/>
    <m/>
    <d v="2026-03-26T00:00:00"/>
    <s v="Week13"/>
    <x v="17"/>
    <s v="NoGo"/>
    <n v="95.126705653021446"/>
    <n v="1"/>
    <n v="5"/>
    <s v="Harsh"/>
    <s v="Ankit"/>
    <s v="Ankit"/>
    <s v="Major"/>
    <s v="12831391Tejas Patel"/>
    <s v="Major"/>
    <n v="1"/>
    <s v="Ahmedabad"/>
    <x v="1"/>
    <n v="1"/>
    <n v="1"/>
    <s v="Tejas Patel"/>
    <x v="0"/>
    <s v="ready_for_review"/>
    <b v="1"/>
  </r>
  <r>
    <d v="2026-03-22T14:33:51"/>
    <d v="2026-03-22T20:03:51"/>
    <d v="2026-03-26T05:12:01"/>
    <d v="2026-03-26T10:42:01"/>
    <d v="2026-03-25T08:04:34"/>
    <d v="2026-03-26T10:42:01"/>
    <x v="0"/>
    <n v="1482"/>
    <n v="1597.45"/>
    <x v="0"/>
    <n v="12831391"/>
    <s v="Jules J Barefoot, "/>
    <s v="MEDICAL RESOURCE CENTER"/>
    <s v="Clinic"/>
    <s v="Tejasahm@gmail.com"/>
    <x v="7"/>
    <s v="Ahmedabad"/>
    <s v="No Go"/>
    <n v="102.6"/>
    <n v="95"/>
    <x v="1"/>
    <n v="7"/>
    <m/>
    <x v="39"/>
    <m/>
    <m/>
    <n v="1440"/>
    <s v="No"/>
    <n v="791"/>
    <s v="Normal"/>
    <s v="Achieved"/>
    <n v="0"/>
    <m/>
    <m/>
    <m/>
    <m/>
    <d v="2026-03-26T00:00:00"/>
    <s v="Week13"/>
    <x v="17"/>
    <s v="NoGo"/>
    <n v="95.126705653021446"/>
    <n v="0"/>
    <n v="5"/>
    <s v="Harsh"/>
    <s v="Ankit"/>
    <s v="Ankit"/>
    <s v="Minor"/>
    <s v="12831391Tejas Patel"/>
    <s v="Minor"/>
    <n v="0"/>
    <s v="Ahmedabad"/>
    <x v="0"/>
    <n v="1"/>
    <n v="7"/>
    <s v="Tejas Patel"/>
    <x v="0"/>
    <s v="ready_for_review"/>
    <b v="0"/>
  </r>
  <r>
    <d v="2026-03-19T20:25:49"/>
    <d v="2026-03-20T01:55:49"/>
    <d v="2026-03-26T18:10:20"/>
    <d v="2026-03-26T23:40:20"/>
    <d v="2026-03-26T10:43:13"/>
    <d v="2026-03-26T23:40:20"/>
    <x v="0"/>
    <n v="331"/>
    <n v="777.11670000000004"/>
    <x v="0"/>
    <n v="12830864"/>
    <s v="Fred V Lause, DPM"/>
    <s v="Fred V Lause, DPM"/>
    <s v="Clinic"/>
    <s v="shiny.iype@cardioscribes.com"/>
    <x v="9"/>
    <s v="Ahmedabad"/>
    <s v="No Go"/>
    <n v="30.03"/>
    <n v="97"/>
    <x v="2"/>
    <n v="1"/>
    <m/>
    <x v="41"/>
    <m/>
    <m/>
    <n v="1440"/>
    <s v="No"/>
    <n v="195"/>
    <s v="Normal"/>
    <s v="Achieved"/>
    <n v="0"/>
    <m/>
    <m/>
    <m/>
    <m/>
    <d v="2026-03-26T00:00:00"/>
    <s v="Week13"/>
    <x v="19"/>
    <s v="NoGo"/>
    <n v="90.009990009990005"/>
    <n v="1"/>
    <n v="3"/>
    <s v="Ankit"/>
    <s v="Ankit"/>
    <s v="Ankit"/>
    <s v="Major"/>
    <s v="12830864Shiny Iype"/>
    <s v="Major"/>
    <n v="1"/>
    <s v="Ahmedabad"/>
    <x v="1"/>
    <n v="1"/>
    <n v="1"/>
    <s v="Shiny Iype"/>
    <x v="0"/>
    <s v="awaiting_upload"/>
    <b v="1"/>
  </r>
  <r>
    <d v="2026-03-19T20:25:49"/>
    <d v="2026-03-20T01:55:49"/>
    <d v="2026-03-26T18:10:20"/>
    <d v="2026-03-26T23:40:20"/>
    <d v="2026-03-26T10:43:13"/>
    <d v="2026-03-26T23:40:20"/>
    <x v="0"/>
    <n v="331"/>
    <n v="777.11670000000004"/>
    <x v="0"/>
    <n v="12830864"/>
    <s v="Fred V Lause, DPM"/>
    <s v="Fred V Lause, DPM"/>
    <s v="Clinic"/>
    <s v="shiny.iype@cardioscribes.com"/>
    <x v="9"/>
    <s v="Ahmedabad"/>
    <s v="No Go"/>
    <n v="30.03"/>
    <n v="97"/>
    <x v="6"/>
    <n v="1"/>
    <m/>
    <x v="41"/>
    <m/>
    <m/>
    <n v="1440"/>
    <s v="No"/>
    <n v="195"/>
    <s v="Normal"/>
    <s v="Achieved"/>
    <n v="0"/>
    <m/>
    <m/>
    <m/>
    <m/>
    <d v="2026-03-26T00:00:00"/>
    <s v="Week13"/>
    <x v="19"/>
    <s v="NoGo"/>
    <n v="90.009990009990005"/>
    <n v="1"/>
    <n v="3"/>
    <s v="Ankit"/>
    <s v="Ankit"/>
    <s v="Ankit"/>
    <s v="Major"/>
    <s v="12830864Shiny Iype"/>
    <s v="Major"/>
    <n v="1"/>
    <s v="Ahmedabad"/>
    <x v="1"/>
    <n v="1"/>
    <n v="1"/>
    <s v="Shiny Iype"/>
    <x v="0"/>
    <s v="awaiting_upload"/>
    <b v="1"/>
  </r>
  <r>
    <d v="2026-03-19T20:25:49"/>
    <d v="2026-03-20T01:55:49"/>
    <d v="2026-03-26T18:10:20"/>
    <d v="2026-03-26T23:40:20"/>
    <d v="2026-03-26T10:43:13"/>
    <d v="2026-03-26T23:40:20"/>
    <x v="0"/>
    <n v="331"/>
    <n v="777.11670000000004"/>
    <x v="0"/>
    <n v="12830864"/>
    <s v="Fred V Lause, DPM"/>
    <s v="Fred V Lause, DPM"/>
    <s v="Clinic"/>
    <s v="shiny.iype@cardioscribes.com"/>
    <x v="9"/>
    <s v="Ahmedabad"/>
    <s v="No Go"/>
    <n v="30.03"/>
    <n v="97"/>
    <x v="5"/>
    <n v="1"/>
    <m/>
    <x v="41"/>
    <m/>
    <m/>
    <n v="1440"/>
    <s v="No"/>
    <n v="195"/>
    <s v="Normal"/>
    <s v="Achieved"/>
    <n v="0"/>
    <m/>
    <m/>
    <m/>
    <m/>
    <d v="2026-03-26T00:00:00"/>
    <s v="Week13"/>
    <x v="19"/>
    <s v="NoGo"/>
    <n v="90.009990009990005"/>
    <n v="1"/>
    <n v="3"/>
    <s v="Ankit"/>
    <s v="Ankit"/>
    <s v="Ankit"/>
    <s v="Major"/>
    <s v="12830864Shiny Iype"/>
    <s v="Major"/>
    <n v="1"/>
    <s v="Ahmedabad"/>
    <x v="1"/>
    <n v="1"/>
    <n v="1"/>
    <s v="Shiny Iype"/>
    <x v="0"/>
    <s v="awaiting_upload"/>
    <b v="1"/>
  </r>
  <r>
    <d v="2026-03-19T20:25:49"/>
    <d v="2026-03-20T01:55:49"/>
    <d v="2026-03-26T18:10:20"/>
    <d v="2026-03-26T23:40:20"/>
    <d v="2026-03-26T10:43:13"/>
    <d v="2026-03-26T23:40:20"/>
    <x v="0"/>
    <n v="331"/>
    <n v="777.11670000000004"/>
    <x v="0"/>
    <n v="12830864"/>
    <s v="Fred V Lause, DPM"/>
    <s v="Fred V Lause, DPM"/>
    <s v="Clinic"/>
    <s v="shiny.iype@cardioscribes.com"/>
    <x v="9"/>
    <s v="Ahmedabad"/>
    <s v="No Go"/>
    <n v="30.03"/>
    <n v="97"/>
    <x v="1"/>
    <n v="4"/>
    <m/>
    <x v="41"/>
    <m/>
    <m/>
    <n v="1440"/>
    <s v="No"/>
    <n v="195"/>
    <s v="Normal"/>
    <s v="Achieved"/>
    <n v="0"/>
    <m/>
    <m/>
    <m/>
    <m/>
    <d v="2026-03-26T00:00:00"/>
    <s v="Week13"/>
    <x v="19"/>
    <s v="NoGo"/>
    <n v="90.009990009990005"/>
    <n v="0"/>
    <n v="3"/>
    <s v="Ankit"/>
    <s v="Ankit"/>
    <s v="Ankit"/>
    <s v="Minor"/>
    <s v="12830864Shiny Iype"/>
    <s v="Minor"/>
    <n v="0"/>
    <s v="Ahmedabad"/>
    <x v="0"/>
    <n v="1"/>
    <n v="4"/>
    <s v="Shiny Iype"/>
    <x v="0"/>
    <s v="awaiting_upload"/>
    <b v="0"/>
  </r>
  <r>
    <d v="2026-03-18T15:40:13"/>
    <d v="2026-03-18T21:10:13"/>
    <d v="2026-03-26T18:14:18"/>
    <d v="2026-03-26T23:44:18"/>
    <d v="2026-03-25T21:51:05"/>
    <d v="2026-03-26T23:44:18"/>
    <x v="0"/>
    <n v="228"/>
    <n v="1553.2166999999999"/>
    <x v="0"/>
    <n v="12830321"/>
    <s v="Robert Sogomonian, MD"/>
    <s v="Cardiology Associates Medical Group"/>
    <s v="Clinic"/>
    <s v="PratheepKumar.a@cardioscribes.com"/>
    <x v="6"/>
    <s v="Chennai"/>
    <s v="Go"/>
    <n v="25.6"/>
    <n v="100"/>
    <x v="1"/>
    <n v="2"/>
    <m/>
    <x v="29"/>
    <m/>
    <m/>
    <n v="1440"/>
    <s v="No"/>
    <n v="159"/>
    <s v="Normal"/>
    <s v="Achieved"/>
    <n v="0"/>
    <m/>
    <m/>
    <m/>
    <m/>
    <d v="2026-03-26T00:00:00"/>
    <s v="Week13"/>
    <x v="12"/>
    <s v="Go"/>
    <n v="100"/>
    <n v="0"/>
    <n v="0"/>
    <s v="Harsh"/>
    <s v="Aneesh"/>
    <s v="Aneesh"/>
    <s v="Minor"/>
    <s v="12830321Pratheep Kumar"/>
    <s v="Minor"/>
    <n v="0"/>
    <s v="Trivandrum"/>
    <x v="0"/>
    <n v="1"/>
    <n v="2"/>
    <s v="Pratheep Kumar"/>
    <x v="0"/>
    <s v="awaiting_upload"/>
    <b v="0"/>
  </r>
  <r>
    <d v="2026-03-20T10:15:53"/>
    <d v="2026-03-20T15:45:53"/>
    <d v="2026-03-26T18:31:39"/>
    <d v="2026-03-27T00:01:39"/>
    <d v="2026-03-25T08:04:18"/>
    <d v="2026-03-27T00:01:39"/>
    <x v="0"/>
    <n v="1025"/>
    <n v="2397.35"/>
    <x v="0"/>
    <n v="12831054"/>
    <s v="Scott Trippe, Psy.D."/>
    <s v="Department Of Health Services - Wisconsin"/>
    <s v="Clinic"/>
    <s v="shiny.iype@cardioscribes.com"/>
    <x v="9"/>
    <s v="Ahmedabad"/>
    <s v="No Go"/>
    <n v="101.58"/>
    <n v="96"/>
    <x v="2"/>
    <n v="1"/>
    <m/>
    <x v="6"/>
    <m/>
    <m/>
    <n v="1440"/>
    <s v="No"/>
    <n v="506"/>
    <s v="Normal"/>
    <s v="Achieved"/>
    <n v="0"/>
    <m/>
    <m/>
    <m/>
    <m/>
    <d v="2026-03-27T00:00:00"/>
    <s v="Week13"/>
    <x v="3"/>
    <s v="NoGo"/>
    <n v="96.062216971844848"/>
    <n v="1"/>
    <n v="4"/>
    <s v="Harsh"/>
    <s v="Ankit"/>
    <s v="Ankit"/>
    <s v="Major"/>
    <s v="12831054Shiny Iype"/>
    <s v="Major"/>
    <n v="1"/>
    <s v="Ahmedabad"/>
    <x v="1"/>
    <n v="1"/>
    <n v="1"/>
    <s v="Shiny Iype"/>
    <x v="0"/>
    <s v="awaiting_bb"/>
    <b v="1"/>
  </r>
  <r>
    <d v="2026-03-20T10:15:53"/>
    <d v="2026-03-20T15:45:53"/>
    <d v="2026-03-26T18:31:39"/>
    <d v="2026-03-27T00:01:39"/>
    <d v="2026-03-25T08:04:18"/>
    <d v="2026-03-27T00:01:39"/>
    <x v="0"/>
    <n v="1025"/>
    <n v="2397.35"/>
    <x v="0"/>
    <n v="12831054"/>
    <s v="Scott Trippe, Psy.D."/>
    <s v="Department Of Health Services - Wisconsin"/>
    <s v="Clinic"/>
    <s v="shiny.iype@cardioscribes.com"/>
    <x v="9"/>
    <s v="Ahmedabad"/>
    <s v="No Go"/>
    <n v="101.58"/>
    <n v="96"/>
    <x v="4"/>
    <n v="1"/>
    <m/>
    <x v="6"/>
    <m/>
    <m/>
    <n v="1440"/>
    <s v="No"/>
    <n v="506"/>
    <s v="Normal"/>
    <s v="Achieved"/>
    <n v="0"/>
    <m/>
    <m/>
    <m/>
    <m/>
    <d v="2026-03-27T00:00:00"/>
    <s v="Week13"/>
    <x v="3"/>
    <s v="NoGo"/>
    <n v="96.062216971844848"/>
    <n v="1"/>
    <n v="4"/>
    <s v="Harsh"/>
    <s v="Ankit"/>
    <s v="Ankit"/>
    <s v="Major"/>
    <s v="12831054Shiny Iype"/>
    <s v="Major"/>
    <n v="1"/>
    <s v="Ahmedabad"/>
    <x v="1"/>
    <n v="1"/>
    <n v="1"/>
    <s v="Shiny Iype"/>
    <x v="0"/>
    <s v="awaiting_bb"/>
    <b v="1"/>
  </r>
  <r>
    <d v="2026-03-20T10:15:53"/>
    <d v="2026-03-20T15:45:53"/>
    <d v="2026-03-26T18:31:39"/>
    <d v="2026-03-27T00:01:39"/>
    <d v="2026-03-25T08:04:18"/>
    <d v="2026-03-27T00:01:39"/>
    <x v="0"/>
    <n v="1025"/>
    <n v="2397.35"/>
    <x v="0"/>
    <n v="12831054"/>
    <s v="Scott Trippe, Psy.D."/>
    <s v="Department Of Health Services - Wisconsin"/>
    <s v="Clinic"/>
    <s v="shiny.iype@cardioscribes.com"/>
    <x v="9"/>
    <s v="Ahmedabad"/>
    <s v="No Go"/>
    <n v="101.58"/>
    <n v="96"/>
    <x v="6"/>
    <n v="2"/>
    <m/>
    <x v="6"/>
    <m/>
    <m/>
    <n v="1440"/>
    <s v="No"/>
    <n v="506"/>
    <s v="Normal"/>
    <s v="Achieved"/>
    <n v="0"/>
    <m/>
    <m/>
    <m/>
    <m/>
    <d v="2026-03-27T00:00:00"/>
    <s v="Week13"/>
    <x v="3"/>
    <s v="NoGo"/>
    <n v="96.062216971844848"/>
    <n v="2"/>
    <n v="4"/>
    <s v="Harsh"/>
    <s v="Ankit"/>
    <s v="Ankit"/>
    <s v="Major"/>
    <s v="12831054Shiny Iype"/>
    <s v="Major"/>
    <n v="1"/>
    <s v="Ahmedabad"/>
    <x v="1"/>
    <n v="1"/>
    <n v="2"/>
    <s v="Shiny Iype"/>
    <x v="0"/>
    <s v="awaiting_bb"/>
    <b v="1"/>
  </r>
  <r>
    <d v="2026-03-20T10:15:53"/>
    <d v="2026-03-20T15:45:53"/>
    <d v="2026-03-26T18:31:39"/>
    <d v="2026-03-27T00:01:39"/>
    <d v="2026-03-25T08:04:18"/>
    <d v="2026-03-27T00:01:39"/>
    <x v="0"/>
    <n v="1025"/>
    <n v="2397.35"/>
    <x v="0"/>
    <n v="12831054"/>
    <s v="Scott Trippe, Psy.D."/>
    <s v="Department Of Health Services - Wisconsin"/>
    <s v="Clinic"/>
    <s v="shiny.iype@cardioscribes.com"/>
    <x v="9"/>
    <s v="Ahmedabad"/>
    <s v="No Go"/>
    <n v="101.58"/>
    <n v="96"/>
    <x v="1"/>
    <n v="18"/>
    <m/>
    <x v="6"/>
    <m/>
    <m/>
    <n v="1440"/>
    <s v="No"/>
    <n v="506"/>
    <s v="Normal"/>
    <s v="Achieved"/>
    <n v="0"/>
    <m/>
    <m/>
    <m/>
    <m/>
    <d v="2026-03-27T00:00:00"/>
    <s v="Week13"/>
    <x v="3"/>
    <s v="NoGo"/>
    <n v="96.062216971844848"/>
    <n v="0"/>
    <n v="4"/>
    <s v="Harsh"/>
    <s v="Ankit"/>
    <s v="Ankit"/>
    <s v="Minor"/>
    <s v="12831054Shiny Iype"/>
    <s v="Minor"/>
    <n v="0"/>
    <s v="Ahmedabad"/>
    <x v="0"/>
    <n v="1"/>
    <n v="18"/>
    <s v="Shiny Iype"/>
    <x v="0"/>
    <s v="awaiting_bb"/>
    <b v="0"/>
  </r>
  <r>
    <d v="2026-03-16T16:55:44"/>
    <d v="2026-03-16T22:25:44"/>
    <d v="2026-03-27T05:40:52"/>
    <d v="2026-03-27T11:10:52"/>
    <d v="2026-03-25T21:50:57"/>
    <d v="2026-03-27T11:10:52"/>
    <x v="0"/>
    <n v="1451"/>
    <n v="2239.9167000000002"/>
    <x v="0"/>
    <n v="12829472"/>
    <s v="Jeffrey C Brackett, MD, FACC"/>
    <s v="Cardiology Associates Medical Group"/>
    <s v="Clinic"/>
    <s v="shiny.iype@cardioscribes.com"/>
    <x v="9"/>
    <s v="Ahmedabad"/>
    <s v="Go"/>
    <n v="46.55"/>
    <n v="100"/>
    <x v="1"/>
    <n v="4"/>
    <m/>
    <x v="29"/>
    <m/>
    <m/>
    <n v="1440"/>
    <s v="No"/>
    <n v="175"/>
    <s v="Normal"/>
    <s v="Achieved"/>
    <n v="0"/>
    <m/>
    <m/>
    <m/>
    <m/>
    <d v="2026-03-27T00:00:00"/>
    <s v="Week13"/>
    <x v="12"/>
    <s v="Go"/>
    <n v="100"/>
    <n v="0"/>
    <n v="0"/>
    <s v="Harsh"/>
    <s v="Ankit"/>
    <s v="Ankit"/>
    <s v="Minor"/>
    <s v="12829472Shiny Iype"/>
    <s v="Minor"/>
    <n v="0"/>
    <s v="Ahmedabad"/>
    <x v="0"/>
    <n v="1"/>
    <n v="4"/>
    <s v="Shiny Iype"/>
    <x v="0"/>
    <s v="awaiting_upload"/>
    <b v="0"/>
  </r>
  <r>
    <d v="2026-03-22T10:27:19"/>
    <d v="2026-03-22T15:57:19"/>
    <d v="2026-03-27T05:58:48"/>
    <d v="2026-03-27T11:28:48"/>
    <d v="2026-03-25T21:52:03"/>
    <d v="2026-03-27T11:28:48"/>
    <x v="0"/>
    <n v="790"/>
    <n v="2256.75"/>
    <x v="0"/>
    <n v="12831367"/>
    <s v="Scott Trippe, Psy.D."/>
    <s v="Department Of Health Services - Wisconsin"/>
    <s v="Clinic"/>
    <s v="PratheepKumar.a@cardioscribes.com"/>
    <x v="6"/>
    <s v="Chennai"/>
    <s v="Go"/>
    <n v="82.37"/>
    <n v="100"/>
    <x v="1"/>
    <n v="3"/>
    <m/>
    <x v="6"/>
    <m/>
    <m/>
    <n v="1440"/>
    <s v="No"/>
    <n v="383"/>
    <s v="Normal"/>
    <s v="Achieved"/>
    <n v="0"/>
    <m/>
    <m/>
    <m/>
    <m/>
    <d v="2026-03-27T00:00:00"/>
    <s v="Week13"/>
    <x v="3"/>
    <s v="Go"/>
    <n v="100"/>
    <n v="0"/>
    <n v="0"/>
    <s v="Harsh"/>
    <s v="Aneesh"/>
    <s v="Aneesh"/>
    <s v="Minor"/>
    <s v="12831367Pratheep Kumar"/>
    <s v="Minor"/>
    <n v="0"/>
    <s v="Trivandrum"/>
    <x v="0"/>
    <n v="1"/>
    <n v="3"/>
    <s v="Pratheep Kumar"/>
    <x v="0"/>
    <s v="awaiting_upload"/>
    <b v="0"/>
  </r>
  <r>
    <d v="2026-03-20T23:34:08"/>
    <d v="2026-03-21T05:04:08"/>
    <d v="2026-03-27T06:41:27"/>
    <d v="2026-03-27T12:11:27"/>
    <d v="2026-03-25T08:04:26"/>
    <d v="2026-03-27T12:11:27"/>
    <x v="0"/>
    <n v="2587"/>
    <n v="3127.0167000000001"/>
    <x v="0"/>
    <n v="12831266"/>
    <s v="Kelly Sullivan, DO"/>
    <s v="Norfolk Community Service Board"/>
    <s v="Clinic"/>
    <s v="sivasankari.a@cardioscribes.com"/>
    <x v="3"/>
    <s v="Chennai"/>
    <s v="Go"/>
    <n v="194.68"/>
    <n v="100"/>
    <x v="1"/>
    <n v="4"/>
    <m/>
    <x v="23"/>
    <m/>
    <m/>
    <n v="1440"/>
    <s v="No"/>
    <n v="1023"/>
    <s v="Normal"/>
    <s v="Achieved"/>
    <n v="0"/>
    <m/>
    <m/>
    <m/>
    <m/>
    <d v="2026-03-27T00:00:00"/>
    <s v="Week13"/>
    <x v="8"/>
    <s v="Go"/>
    <n v="100"/>
    <n v="0"/>
    <n v="0"/>
    <s v="Aneesh"/>
    <s v="Aneesh"/>
    <s v="Aneesh"/>
    <s v="Minor"/>
    <s v="12831266Sivasankari A"/>
    <s v="Minor"/>
    <n v="0"/>
    <s v="Trivandrum"/>
    <x v="0"/>
    <n v="1"/>
    <n v="4"/>
    <s v="Sivasankari A"/>
    <x v="0"/>
    <s v="awaiting_upload"/>
    <b v="0"/>
  </r>
  <r>
    <d v="2026-03-16T18:24:33"/>
    <d v="2026-03-16T23:54:33"/>
    <d v="2026-03-29T06:24:05"/>
    <d v="2026-03-29T11:54:05"/>
    <d v="2026-03-26T10:42:25"/>
    <d v="2026-03-29T11:54:05"/>
    <x v="0"/>
    <n v="1433"/>
    <n v="4391.6666999999998"/>
    <x v="0"/>
    <n v="12829528"/>
    <s v="Melissa Murillo, PA"/>
    <s v="Cardiology Associates Medical Group"/>
    <s v="Clinic"/>
    <s v="shiny.iype@cardioscribes.com"/>
    <x v="9"/>
    <s v="Ahmedabad"/>
    <s v="Go"/>
    <n v="37.69"/>
    <n v="99"/>
    <x v="2"/>
    <n v="1"/>
    <m/>
    <x v="29"/>
    <m/>
    <m/>
    <n v="1440"/>
    <s v="No"/>
    <n v="176"/>
    <s v="Normal"/>
    <s v="Achieved"/>
    <n v="0"/>
    <m/>
    <m/>
    <m/>
    <m/>
    <d v="2026-03-29T00:00:00"/>
    <s v="Week14"/>
    <x v="12"/>
    <s v="NoGo"/>
    <n v="97.34677633324489"/>
    <n v="1"/>
    <n v="1"/>
    <s v="Harsh"/>
    <s v="Ankit"/>
    <s v="Ankit"/>
    <s v="Major"/>
    <s v="12829528Shiny Iype"/>
    <s v="Major"/>
    <n v="1"/>
    <s v="Ahmedabad"/>
    <x v="1"/>
    <n v="1"/>
    <n v="1"/>
    <s v="Shiny Iype"/>
    <x v="0"/>
    <s v="awaiting_upload"/>
    <b v="1"/>
  </r>
  <r>
    <d v="2026-03-16T18:24:33"/>
    <d v="2026-03-16T23:54:33"/>
    <d v="2026-03-29T06:24:05"/>
    <d v="2026-03-29T11:54:05"/>
    <d v="2026-03-26T10:42:25"/>
    <d v="2026-03-29T11:54:05"/>
    <x v="0"/>
    <n v="1433"/>
    <n v="4391.6666999999998"/>
    <x v="0"/>
    <n v="12829528"/>
    <s v="Melissa Murillo, PA"/>
    <s v="Cardiology Associates Medical Group"/>
    <s v="Clinic"/>
    <s v="shiny.iype@cardioscribes.com"/>
    <x v="9"/>
    <s v="Ahmedabad"/>
    <s v="Go"/>
    <n v="37.69"/>
    <n v="99"/>
    <x v="1"/>
    <n v="1"/>
    <m/>
    <x v="29"/>
    <m/>
    <m/>
    <n v="1440"/>
    <s v="No"/>
    <n v="176"/>
    <s v="Normal"/>
    <s v="Achieved"/>
    <n v="0"/>
    <m/>
    <m/>
    <m/>
    <m/>
    <d v="2026-03-29T00:00:00"/>
    <s v="Week14"/>
    <x v="12"/>
    <s v="NoGo"/>
    <n v="97.34677633324489"/>
    <n v="0"/>
    <n v="1"/>
    <s v="Harsh"/>
    <s v="Ankit"/>
    <s v="Ankit"/>
    <s v="Minor"/>
    <s v="12829528Shiny Iype"/>
    <s v="Minor"/>
    <n v="0"/>
    <s v="Ahmedabad"/>
    <x v="0"/>
    <n v="1"/>
    <n v="1"/>
    <s v="Shiny Iype"/>
    <x v="0"/>
    <s v="awaiting_upload"/>
    <b v="0"/>
  </r>
  <r>
    <d v="2026-03-18T17:12:01"/>
    <d v="2026-03-18T22:42:01"/>
    <d v="2026-03-29T06:35:35"/>
    <d v="2026-03-29T12:05:35"/>
    <d v="2026-03-26T10:42:35"/>
    <d v="2026-03-29T12:05:35"/>
    <x v="0"/>
    <n v="678"/>
    <n v="4403"/>
    <x v="0"/>
    <n v="12830403"/>
    <s v="Craig Mansour, MD"/>
    <s v="Cardiology Associates Medical Group"/>
    <s v="Clinic"/>
    <s v="shiny.iype@cardioscribes.com"/>
    <x v="9"/>
    <s v="Ahmedabad"/>
    <s v="No Go"/>
    <n v="30.58"/>
    <n v="93"/>
    <x v="2"/>
    <n v="2"/>
    <m/>
    <x v="29"/>
    <m/>
    <m/>
    <n v="1440"/>
    <s v="No"/>
    <n v="151"/>
    <s v="Normal"/>
    <s v="Achieved"/>
    <n v="0"/>
    <m/>
    <m/>
    <m/>
    <m/>
    <d v="2026-03-29T00:00:00"/>
    <s v="Week14"/>
    <x v="12"/>
    <s v="NoGo"/>
    <n v="77.109221713538261"/>
    <n v="2"/>
    <n v="7"/>
    <s v="Harsh"/>
    <s v="Ankit"/>
    <s v="Ankit"/>
    <s v="Major"/>
    <s v="12830403Shiny Iype"/>
    <s v="Major"/>
    <n v="1"/>
    <s v="Ahmedabad"/>
    <x v="1"/>
    <n v="1"/>
    <n v="2"/>
    <s v="Shiny Iype"/>
    <x v="0"/>
    <s v="awaiting_upload"/>
    <b v="1"/>
  </r>
  <r>
    <d v="2026-03-18T17:12:01"/>
    <d v="2026-03-18T22:42:01"/>
    <d v="2026-03-29T06:35:35"/>
    <d v="2026-03-29T12:05:35"/>
    <d v="2026-03-26T10:42:35"/>
    <d v="2026-03-29T12:05:35"/>
    <x v="0"/>
    <n v="678"/>
    <n v="4403"/>
    <x v="0"/>
    <n v="12830403"/>
    <s v="Craig Mansour, MD"/>
    <s v="Cardiology Associates Medical Group"/>
    <s v="Clinic"/>
    <s v="shiny.iype@cardioscribes.com"/>
    <x v="9"/>
    <s v="Ahmedabad"/>
    <s v="No Go"/>
    <n v="30.58"/>
    <n v="93"/>
    <x v="6"/>
    <n v="5"/>
    <m/>
    <x v="29"/>
    <m/>
    <m/>
    <n v="1440"/>
    <s v="No"/>
    <n v="151"/>
    <s v="Normal"/>
    <s v="Achieved"/>
    <n v="0"/>
    <m/>
    <m/>
    <m/>
    <m/>
    <d v="2026-03-29T00:00:00"/>
    <s v="Week14"/>
    <x v="12"/>
    <s v="NoGo"/>
    <n v="77.109221713538261"/>
    <n v="5"/>
    <n v="7"/>
    <s v="Harsh"/>
    <s v="Ankit"/>
    <s v="Ankit"/>
    <s v="Major"/>
    <s v="12830403Shiny Iype"/>
    <s v="Major"/>
    <n v="1"/>
    <s v="Ahmedabad"/>
    <x v="1"/>
    <n v="1"/>
    <n v="5"/>
    <s v="Shiny Iype"/>
    <x v="0"/>
    <s v="awaiting_upload"/>
    <b v="1"/>
  </r>
  <r>
    <d v="2026-03-18T17:12:01"/>
    <d v="2026-03-18T22:42:01"/>
    <d v="2026-03-29T06:35:35"/>
    <d v="2026-03-29T12:05:35"/>
    <d v="2026-03-26T10:42:35"/>
    <d v="2026-03-29T12:05:35"/>
    <x v="0"/>
    <n v="678"/>
    <n v="4403"/>
    <x v="0"/>
    <n v="12830403"/>
    <s v="Craig Mansour, MD"/>
    <s v="Cardiology Associates Medical Group"/>
    <s v="Clinic"/>
    <s v="shiny.iype@cardioscribes.com"/>
    <x v="9"/>
    <s v="Ahmedabad"/>
    <s v="No Go"/>
    <n v="30.58"/>
    <n v="93"/>
    <x v="1"/>
    <n v="8"/>
    <m/>
    <x v="29"/>
    <m/>
    <m/>
    <n v="1440"/>
    <s v="No"/>
    <n v="151"/>
    <s v="Normal"/>
    <s v="Achieved"/>
    <n v="0"/>
    <m/>
    <m/>
    <m/>
    <m/>
    <d v="2026-03-29T00:00:00"/>
    <s v="Week14"/>
    <x v="12"/>
    <s v="NoGo"/>
    <n v="77.109221713538261"/>
    <n v="0"/>
    <n v="7"/>
    <s v="Harsh"/>
    <s v="Ankit"/>
    <s v="Ankit"/>
    <s v="Minor"/>
    <s v="12830403Shiny Iype"/>
    <s v="Minor"/>
    <n v="0"/>
    <s v="Ahmedabad"/>
    <x v="0"/>
    <n v="1"/>
    <n v="8"/>
    <s v="Shiny Iype"/>
    <x v="0"/>
    <s v="awaiting_upload"/>
    <b v="0"/>
  </r>
  <r>
    <d v="2026-03-20T16:55:15"/>
    <d v="2026-03-20T22:25:15"/>
    <d v="2026-03-29T06:39:58"/>
    <d v="2026-03-29T12:09:58"/>
    <d v="2026-03-26T10:43:59"/>
    <d v="2026-03-29T12:09:58"/>
    <x v="0"/>
    <n v="817"/>
    <n v="4405.9832999999999"/>
    <x v="0"/>
    <n v="12831219"/>
    <s v="Robert Sogomonian, MD"/>
    <s v="Cardiology Associates Medical Group"/>
    <s v="Clinic"/>
    <s v="PratheepKumar.a@cardioscribes.com"/>
    <x v="6"/>
    <s v="Chennai"/>
    <s v="Go"/>
    <n v="30.15"/>
    <n v="100"/>
    <x v="0"/>
    <n v="0"/>
    <m/>
    <x v="29"/>
    <m/>
    <m/>
    <n v="1440"/>
    <s v="No"/>
    <n v="152"/>
    <s v="Normal"/>
    <s v="Achieved"/>
    <n v="0"/>
    <m/>
    <m/>
    <m/>
    <m/>
    <d v="2026-03-29T00:00:00"/>
    <s v="Week14"/>
    <x v="12"/>
    <s v="Go"/>
    <n v="100"/>
    <n v="0"/>
    <n v="0"/>
    <s v="Harsh"/>
    <s v="Aneesh"/>
    <s v="Aneesh"/>
    <s v=""/>
    <s v="12831219Pratheep Kumar"/>
    <s v=""/>
    <s v=""/>
    <s v="Trivandrum"/>
    <x v="0"/>
    <s v=""/>
    <n v="0"/>
    <s v="Pratheep Kumar"/>
    <x v="0"/>
    <s v="awaiting_upload"/>
    <b v="0"/>
  </r>
  <r>
    <d v="2026-03-25T16:12:10"/>
    <d v="2026-03-25T21:42:10"/>
    <d v="2026-03-29T06:59:09"/>
    <d v="2026-03-29T12:29:09"/>
    <d v="2026-03-28T07:09:45"/>
    <d v="2026-03-29T12:29:09"/>
    <x v="0"/>
    <n v="1134"/>
    <n v="1759.4"/>
    <x v="0"/>
    <n v="12832444"/>
    <s v="Thomas S Lehmann, PHD"/>
    <s v="Department Of Health Services - Wisconsin"/>
    <s v="Clinic"/>
    <s v="chintul.s@mediscribes.com"/>
    <x v="8"/>
    <s v="Ahmedabad"/>
    <s v="Go"/>
    <n v="172.89"/>
    <n v="99"/>
    <x v="5"/>
    <n v="1"/>
    <m/>
    <x v="6"/>
    <m/>
    <m/>
    <n v="1440"/>
    <s v="No"/>
    <n v="879"/>
    <s v="Normal"/>
    <s v="Achieved"/>
    <n v="0"/>
    <m/>
    <m/>
    <m/>
    <m/>
    <d v="2026-03-29T00:00:00"/>
    <s v="Week14"/>
    <x v="3"/>
    <s v="Go"/>
    <n v="99.421597547573597"/>
    <n v="1"/>
    <n v="1"/>
    <s v="Harsh"/>
    <s v="Ankit"/>
    <s v="Ankit"/>
    <s v="Major"/>
    <s v="12832444Chintul Sutaria"/>
    <s v="Major"/>
    <n v="1"/>
    <s v="Ahmedabad"/>
    <x v="1"/>
    <n v="1"/>
    <n v="1"/>
    <s v="Chintul Sutaria"/>
    <x v="0"/>
    <s v="awaiting_upload"/>
    <b v="1"/>
  </r>
  <r>
    <d v="2026-03-25T16:12:10"/>
    <d v="2026-03-25T21:42:10"/>
    <d v="2026-03-29T06:59:09"/>
    <d v="2026-03-29T12:29:09"/>
    <d v="2026-03-28T07:09:45"/>
    <d v="2026-03-29T12:29:09"/>
    <x v="0"/>
    <n v="1134"/>
    <n v="1759.4"/>
    <x v="0"/>
    <n v="12832444"/>
    <s v="Thomas S Lehmann, PHD"/>
    <s v="Department Of Health Services - Wisconsin"/>
    <s v="Clinic"/>
    <s v="chintul.s@mediscribes.com"/>
    <x v="8"/>
    <s v="Ahmedabad"/>
    <s v="Go"/>
    <n v="172.89"/>
    <n v="99"/>
    <x v="1"/>
    <n v="4"/>
    <m/>
    <x v="6"/>
    <m/>
    <m/>
    <n v="1440"/>
    <s v="No"/>
    <n v="879"/>
    <s v="Normal"/>
    <s v="Achieved"/>
    <n v="0"/>
    <m/>
    <m/>
    <m/>
    <m/>
    <d v="2026-03-29T00:00:00"/>
    <s v="Week14"/>
    <x v="3"/>
    <s v="Go"/>
    <n v="99.421597547573597"/>
    <n v="0"/>
    <n v="1"/>
    <s v="Harsh"/>
    <s v="Ankit"/>
    <s v="Ankit"/>
    <s v="Minor"/>
    <s v="12832444Chintul Sutaria"/>
    <s v="Minor"/>
    <n v="0"/>
    <s v="Ahmedabad"/>
    <x v="0"/>
    <n v="1"/>
    <n v="4"/>
    <s v="Chintul Sutaria"/>
    <x v="0"/>
    <s v="awaiting_upload"/>
    <b v="0"/>
  </r>
  <r>
    <d v="2026-03-19T17:27:04"/>
    <d v="2026-03-19T22:57:04"/>
    <d v="2026-03-29T12:45:49"/>
    <d v="2026-03-29T18:15:49"/>
    <d v="2026-03-26T10:43:21"/>
    <d v="2026-03-29T18:15:49"/>
    <x v="0"/>
    <n v="5043"/>
    <n v="4772.4666999999999"/>
    <x v="0"/>
    <n v="12830890"/>
    <s v="Jeffrey C Brackett, MD, FACC"/>
    <s v="Cardiology Associates Medical Group"/>
    <s v="Clinic"/>
    <s v="shiny.iype@cardioscribes.com"/>
    <x v="9"/>
    <s v="Ahmedabad"/>
    <s v="No Go"/>
    <n v="36.340000000000003"/>
    <n v="98"/>
    <x v="2"/>
    <n v="1"/>
    <m/>
    <x v="29"/>
    <m/>
    <m/>
    <n v="1440"/>
    <s v="No"/>
    <n v="128"/>
    <s v="Normal"/>
    <s v="Achieved"/>
    <n v="0"/>
    <m/>
    <m/>
    <m/>
    <m/>
    <d v="2026-03-29T00:00:00"/>
    <s v="Week14"/>
    <x v="12"/>
    <s v="NoGo"/>
    <n v="94.496422674738582"/>
    <n v="1"/>
    <n v="2"/>
    <s v="Harsh"/>
    <s v="Ankit"/>
    <s v="Ankit"/>
    <s v="Major"/>
    <s v="12830890Shiny Iype"/>
    <s v="Major"/>
    <n v="1"/>
    <s v="Ahmedabad"/>
    <x v="1"/>
    <n v="1"/>
    <n v="1"/>
    <s v="Shiny Iype"/>
    <x v="0"/>
    <s v="awaiting_upload"/>
    <b v="1"/>
  </r>
  <r>
    <d v="2026-03-19T17:27:04"/>
    <d v="2026-03-19T22:57:04"/>
    <d v="2026-03-29T12:45:49"/>
    <d v="2026-03-29T18:15:49"/>
    <d v="2026-03-26T10:43:21"/>
    <d v="2026-03-29T18:15:49"/>
    <x v="0"/>
    <n v="5043"/>
    <n v="4772.4666999999999"/>
    <x v="0"/>
    <n v="12830890"/>
    <s v="Jeffrey C Brackett, MD, FACC"/>
    <s v="Cardiology Associates Medical Group"/>
    <s v="Clinic"/>
    <s v="shiny.iype@cardioscribes.com"/>
    <x v="9"/>
    <s v="Ahmedabad"/>
    <s v="No Go"/>
    <n v="36.340000000000003"/>
    <n v="98"/>
    <x v="6"/>
    <n v="1"/>
    <m/>
    <x v="29"/>
    <m/>
    <m/>
    <n v="1440"/>
    <s v="No"/>
    <n v="128"/>
    <s v="Normal"/>
    <s v="Achieved"/>
    <n v="0"/>
    <m/>
    <m/>
    <m/>
    <m/>
    <d v="2026-03-29T00:00:00"/>
    <s v="Week14"/>
    <x v="12"/>
    <s v="NoGo"/>
    <n v="94.496422674738582"/>
    <n v="1"/>
    <n v="2"/>
    <s v="Harsh"/>
    <s v="Ankit"/>
    <s v="Ankit"/>
    <s v="Major"/>
    <s v="12830890Shiny Iype"/>
    <s v="Major"/>
    <n v="1"/>
    <s v="Ahmedabad"/>
    <x v="1"/>
    <n v="1"/>
    <n v="1"/>
    <s v="Shiny Iype"/>
    <x v="0"/>
    <s v="awaiting_upload"/>
    <b v="1"/>
  </r>
  <r>
    <d v="2026-03-19T17:27:04"/>
    <d v="2026-03-19T22:57:04"/>
    <d v="2026-03-29T12:45:49"/>
    <d v="2026-03-29T18:15:49"/>
    <d v="2026-03-26T10:43:21"/>
    <d v="2026-03-29T18:15:49"/>
    <x v="0"/>
    <n v="5043"/>
    <n v="4772.4666999999999"/>
    <x v="0"/>
    <n v="12830890"/>
    <s v="Jeffrey C Brackett, MD, FACC"/>
    <s v="Cardiology Associates Medical Group"/>
    <s v="Clinic"/>
    <s v="shiny.iype@cardioscribes.com"/>
    <x v="9"/>
    <s v="Ahmedabad"/>
    <s v="No Go"/>
    <n v="36.340000000000003"/>
    <n v="98"/>
    <x v="1"/>
    <n v="4"/>
    <m/>
    <x v="29"/>
    <m/>
    <m/>
    <n v="1440"/>
    <s v="No"/>
    <n v="128"/>
    <s v="Normal"/>
    <s v="Achieved"/>
    <n v="0"/>
    <m/>
    <m/>
    <m/>
    <m/>
    <d v="2026-03-29T00:00:00"/>
    <s v="Week14"/>
    <x v="12"/>
    <s v="NoGo"/>
    <n v="94.496422674738582"/>
    <n v="0"/>
    <n v="2"/>
    <s v="Harsh"/>
    <s v="Ankit"/>
    <s v="Ankit"/>
    <s v="Minor"/>
    <s v="12830890Shiny Iype"/>
    <s v="Minor"/>
    <n v="0"/>
    <s v="Ahmedabad"/>
    <x v="0"/>
    <n v="1"/>
    <n v="4"/>
    <s v="Shiny Iype"/>
    <x v="0"/>
    <s v="awaiting_upload"/>
    <b v="0"/>
  </r>
  <r>
    <d v="2026-03-18T17:14:58"/>
    <d v="2026-03-18T22:44:58"/>
    <d v="2026-03-29T12:55:43"/>
    <d v="2026-03-29T18:25:43"/>
    <d v="2026-03-26T10:42:40"/>
    <d v="2026-03-29T18:25:43"/>
    <x v="0"/>
    <n v="563"/>
    <n v="4783.05"/>
    <x v="0"/>
    <n v="12830411"/>
    <s v="Craig Mansour, MD"/>
    <s v="Cardiology Associates Medical Group"/>
    <s v="Clinic"/>
    <s v="shiny.iype@cardioscribes.com"/>
    <x v="9"/>
    <s v="Ahmedabad"/>
    <s v="No Go"/>
    <n v="26.98"/>
    <n v="95"/>
    <x v="2"/>
    <n v="1"/>
    <m/>
    <x v="29"/>
    <m/>
    <m/>
    <n v="1440"/>
    <s v="No"/>
    <n v="140"/>
    <s v="Normal"/>
    <s v="Achieved"/>
    <n v="0"/>
    <m/>
    <m/>
    <m/>
    <m/>
    <d v="2026-03-29T00:00:00"/>
    <s v="Week14"/>
    <x v="12"/>
    <s v="NoGo"/>
    <n v="81.467753891771679"/>
    <n v="1"/>
    <n v="5"/>
    <s v="Harsh"/>
    <s v="Ankit"/>
    <s v="Ankit"/>
    <s v="Major"/>
    <s v="12830411Shiny Iype"/>
    <s v="Major"/>
    <n v="1"/>
    <s v="Ahmedabad"/>
    <x v="1"/>
    <n v="1"/>
    <n v="1"/>
    <s v="Shiny Iype"/>
    <x v="0"/>
    <s v="awaiting_upload"/>
    <b v="1"/>
  </r>
  <r>
    <d v="2026-03-18T17:14:58"/>
    <d v="2026-03-18T22:44:58"/>
    <d v="2026-03-29T12:55:43"/>
    <d v="2026-03-29T18:25:43"/>
    <d v="2026-03-26T10:42:40"/>
    <d v="2026-03-29T18:25:43"/>
    <x v="0"/>
    <n v="563"/>
    <n v="4783.05"/>
    <x v="0"/>
    <n v="12830411"/>
    <s v="Craig Mansour, MD"/>
    <s v="Cardiology Associates Medical Group"/>
    <s v="Clinic"/>
    <s v="shiny.iype@cardioscribes.com"/>
    <x v="9"/>
    <s v="Ahmedabad"/>
    <s v="No Go"/>
    <n v="26.98"/>
    <n v="95"/>
    <x v="6"/>
    <n v="4"/>
    <m/>
    <x v="29"/>
    <m/>
    <m/>
    <n v="1440"/>
    <s v="No"/>
    <n v="140"/>
    <s v="Normal"/>
    <s v="Achieved"/>
    <n v="0"/>
    <m/>
    <m/>
    <m/>
    <m/>
    <d v="2026-03-29T00:00:00"/>
    <s v="Week14"/>
    <x v="12"/>
    <s v="NoGo"/>
    <n v="81.467753891771679"/>
    <n v="4"/>
    <n v="5"/>
    <s v="Harsh"/>
    <s v="Ankit"/>
    <s v="Ankit"/>
    <s v="Major"/>
    <s v="12830411Shiny Iype"/>
    <s v="Major"/>
    <n v="1"/>
    <s v="Ahmedabad"/>
    <x v="1"/>
    <n v="1"/>
    <n v="4"/>
    <s v="Shiny Iype"/>
    <x v="0"/>
    <s v="awaiting_upload"/>
    <b v="1"/>
  </r>
  <r>
    <d v="2026-03-18T17:14:58"/>
    <d v="2026-03-18T22:44:58"/>
    <d v="2026-03-29T12:55:43"/>
    <d v="2026-03-29T18:25:43"/>
    <d v="2026-03-26T10:42:40"/>
    <d v="2026-03-29T18:25:43"/>
    <x v="0"/>
    <n v="563"/>
    <n v="4783.05"/>
    <x v="0"/>
    <n v="12830411"/>
    <s v="Craig Mansour, MD"/>
    <s v="Cardiology Associates Medical Group"/>
    <s v="Clinic"/>
    <s v="shiny.iype@cardioscribes.com"/>
    <x v="9"/>
    <s v="Ahmedabad"/>
    <s v="No Go"/>
    <n v="26.98"/>
    <n v="95"/>
    <x v="1"/>
    <n v="2"/>
    <m/>
    <x v="29"/>
    <m/>
    <m/>
    <n v="1440"/>
    <s v="No"/>
    <n v="140"/>
    <s v="Normal"/>
    <s v="Achieved"/>
    <n v="0"/>
    <m/>
    <m/>
    <m/>
    <m/>
    <d v="2026-03-29T00:00:00"/>
    <s v="Week14"/>
    <x v="12"/>
    <s v="NoGo"/>
    <n v="81.467753891771679"/>
    <n v="0"/>
    <n v="5"/>
    <s v="Harsh"/>
    <s v="Ankit"/>
    <s v="Ankit"/>
    <s v="Minor"/>
    <s v="12830411Shiny Iype"/>
    <s v="Minor"/>
    <n v="0"/>
    <s v="Ahmedabad"/>
    <x v="0"/>
    <n v="1"/>
    <n v="2"/>
    <s v="Shiny Iype"/>
    <x v="0"/>
    <s v="awaiting_upload"/>
    <b v="0"/>
  </r>
  <r>
    <d v="2026-03-20T19:20:20"/>
    <d v="2026-03-21T00:50:20"/>
    <d v="2026-03-29T12:58:52"/>
    <d v="2026-03-29T18:28:52"/>
    <d v="2026-03-26T10:43:43"/>
    <d v="2026-03-29T18:28:52"/>
    <x v="0"/>
    <n v="164"/>
    <n v="4785.1499999999996"/>
    <x v="0"/>
    <n v="12831186"/>
    <s v="Adel M Sidky, MD FACC"/>
    <s v="Adel M Sidky, MD FACC"/>
    <s v="Clinic"/>
    <s v="jobs4savitha@gmail.com"/>
    <x v="5"/>
    <s v="Trivandrum"/>
    <s v="Go"/>
    <n v="17.12"/>
    <n v="100"/>
    <x v="0"/>
    <n v="0"/>
    <m/>
    <x v="46"/>
    <m/>
    <m/>
    <n v="1440"/>
    <s v="No"/>
    <n v="94"/>
    <s v="Normal"/>
    <s v="Achieved"/>
    <n v="0"/>
    <m/>
    <m/>
    <m/>
    <m/>
    <d v="2026-03-29T00:00:00"/>
    <s v="Week14"/>
    <x v="14"/>
    <s v="Go"/>
    <n v="100"/>
    <n v="0"/>
    <n v="0"/>
    <s v="Aneesh"/>
    <s v="Aneesh"/>
    <s v="Aneesh"/>
    <s v=""/>
    <s v="12831186Savitha Arun"/>
    <s v=""/>
    <s v=""/>
    <s v="Trivandrum"/>
    <x v="0"/>
    <s v=""/>
    <n v="0"/>
    <s v="Sandeep S"/>
    <x v="1"/>
    <s v="awaiting_upload"/>
    <b v="0"/>
  </r>
  <r>
    <d v="2026-03-23T11:29:02"/>
    <d v="2026-03-23T16:59:02"/>
    <d v="2026-03-29T14:09:40"/>
    <d v="2026-03-29T19:39:40"/>
    <d v="2026-03-28T07:09:03"/>
    <d v="2026-03-29T19:39:40"/>
    <x v="0"/>
    <n v="17351"/>
    <n v="2190.6167"/>
    <x v="0"/>
    <n v="12831539"/>
    <s v="Joan R Nuttall, Ph.D"/>
    <s v="Department Of Health Services - Wisconsin"/>
    <s v="Clinic"/>
    <s v="chintul.s@mediscribes.com"/>
    <x v="8"/>
    <s v="Ahmedabad"/>
    <s v="Go"/>
    <n v="143.41999999999999"/>
    <n v="99"/>
    <x v="2"/>
    <n v="1"/>
    <m/>
    <x v="6"/>
    <m/>
    <m/>
    <n v="1440"/>
    <s v="No"/>
    <n v="1190"/>
    <s v="Normal"/>
    <s v="Achieved"/>
    <n v="0"/>
    <m/>
    <m/>
    <m/>
    <m/>
    <d v="2026-03-29T00:00:00"/>
    <s v="Week14"/>
    <x v="3"/>
    <s v="Go"/>
    <n v="99.302747176126061"/>
    <n v="1"/>
    <n v="1"/>
    <s v="Harsh"/>
    <s v="Ankit"/>
    <s v="Ankit"/>
    <s v="Major"/>
    <s v="12831539Chintul Sutaria"/>
    <s v="Major"/>
    <n v="1"/>
    <s v="Ahmedabad"/>
    <x v="0"/>
    <n v="1"/>
    <n v="1"/>
    <s v="Chintul Sutaria"/>
    <x v="0"/>
    <s v="awaiting_upload"/>
    <b v="0"/>
  </r>
  <r>
    <d v="2026-03-24T08:14:57"/>
    <d v="2026-03-24T13:44:57"/>
    <d v="2026-03-29T14:26:37"/>
    <d v="2026-03-29T19:56:37"/>
    <d v="2026-03-28T07:09:11"/>
    <d v="2026-03-29T19:56:37"/>
    <x v="0"/>
    <n v="1000"/>
    <n v="2207.4333000000001"/>
    <x v="0"/>
    <n v="12831858"/>
    <s v="Mark Mankins, MD"/>
    <s v="Olney Hamiltion Hospital"/>
    <s v="Hospital"/>
    <s v="chintul.s@mediscribes.com"/>
    <x v="8"/>
    <s v="Ahmedabad"/>
    <s v="No Go"/>
    <n v="68.8"/>
    <n v="98"/>
    <x v="2"/>
    <n v="2"/>
    <m/>
    <x v="47"/>
    <m/>
    <m/>
    <n v="240"/>
    <s v="No"/>
    <n v="628"/>
    <s v="STAT"/>
    <s v="Achieved"/>
    <n v="1"/>
    <m/>
    <m/>
    <m/>
    <m/>
    <d v="2026-03-29T00:00:00"/>
    <s v="Week14"/>
    <x v="20"/>
    <s v="NoGo"/>
    <n v="97.093023255813961"/>
    <n v="2"/>
    <n v="2"/>
    <s v="Aneesh"/>
    <s v="Ankit"/>
    <s v="Aneesh"/>
    <s v="Major"/>
    <s v="12831858Chintul Sutaria"/>
    <s v="Major"/>
    <n v="1"/>
    <s v="Ahmedabad"/>
    <x v="1"/>
    <n v="1"/>
    <n v="2"/>
    <s v="Vijay Babu"/>
    <x v="1"/>
    <s v="awaiting_upload"/>
    <b v="1"/>
  </r>
  <r>
    <d v="2026-03-24T08:14:57"/>
    <d v="2026-03-24T13:44:57"/>
    <d v="2026-03-29T14:26:37"/>
    <d v="2026-03-29T19:56:37"/>
    <d v="2026-03-28T07:09:11"/>
    <d v="2026-03-29T19:56:37"/>
    <x v="0"/>
    <n v="1000"/>
    <n v="2207.4333000000001"/>
    <x v="0"/>
    <n v="12831858"/>
    <s v="Mark Mankins, MD"/>
    <s v="Olney Hamiltion Hospital"/>
    <s v="Hospital"/>
    <s v="chintul.s@mediscribes.com"/>
    <x v="8"/>
    <s v="Ahmedabad"/>
    <s v="No Go"/>
    <n v="68.8"/>
    <n v="98"/>
    <x v="1"/>
    <n v="8"/>
    <m/>
    <x v="47"/>
    <m/>
    <m/>
    <n v="240"/>
    <s v="No"/>
    <n v="628"/>
    <s v="STAT"/>
    <s v="Achieved"/>
    <n v="1"/>
    <m/>
    <m/>
    <m/>
    <m/>
    <d v="2026-03-29T00:00:00"/>
    <s v="Week14"/>
    <x v="20"/>
    <s v="NoGo"/>
    <n v="97.093023255813961"/>
    <n v="0"/>
    <n v="2"/>
    <s v="Aneesh"/>
    <s v="Ankit"/>
    <s v="Aneesh"/>
    <s v="Minor"/>
    <s v="12831858Chintul Sutaria"/>
    <s v="Minor"/>
    <n v="0"/>
    <s v="Ahmedabad"/>
    <x v="0"/>
    <n v="1"/>
    <n v="8"/>
    <s v="Vijay Babu"/>
    <x v="1"/>
    <s v="awaiting_upload"/>
    <b v="0"/>
  </r>
  <r>
    <d v="2026-03-19T19:26:55"/>
    <d v="2026-03-20T00:56:55"/>
    <d v="2026-03-29T14:51:08"/>
    <d v="2026-03-29T20:21:08"/>
    <d v="2026-03-26T10:43:08"/>
    <d v="2026-03-29T20:21:08"/>
    <x v="0"/>
    <n v="187"/>
    <n v="4898"/>
    <x v="0"/>
    <n v="12830817"/>
    <s v="Adel M Sidky, MD FACC"/>
    <s v="Adel M Sidky, MD FACC"/>
    <s v="Clinic"/>
    <s v="jobs4savitha@gmail.com"/>
    <x v="5"/>
    <s v="Trivandrum"/>
    <s v="Go"/>
    <n v="10.23"/>
    <n v="100"/>
    <x v="0"/>
    <n v="0"/>
    <m/>
    <x v="35"/>
    <m/>
    <m/>
    <n v="1440"/>
    <s v="No"/>
    <n v="89"/>
    <s v="Normal"/>
    <s v="Achieved"/>
    <n v="0"/>
    <m/>
    <m/>
    <m/>
    <m/>
    <d v="2026-03-29T00:00:00"/>
    <s v="Week14"/>
    <x v="14"/>
    <s v="Go"/>
    <n v="100"/>
    <n v="0"/>
    <n v="0"/>
    <s v="Aneesh"/>
    <s v="Aneesh"/>
    <s v="Aneesh"/>
    <s v=""/>
    <s v="12830817Savitha Arun"/>
    <s v=""/>
    <s v=""/>
    <s v="Trivandrum"/>
    <x v="0"/>
    <s v=""/>
    <n v="0"/>
    <s v="Nitheesh C"/>
    <x v="0"/>
    <s v="awaiting_upload"/>
    <b v="0"/>
  </r>
  <r>
    <d v="2026-03-20T13:23:03"/>
    <d v="2026-03-20T18:53:03"/>
    <d v="2026-03-29T15:01:37"/>
    <d v="2026-03-29T20:31:37"/>
    <d v="2026-03-26T10:43:37"/>
    <d v="2026-03-29T20:31:37"/>
    <x v="0"/>
    <n v="617"/>
    <n v="4908"/>
    <x v="0"/>
    <n v="12831090"/>
    <s v="Sylvester G Ramirez, MD"/>
    <s v="Peterson Regional Medical Center"/>
    <s v="Clinic"/>
    <s v="jobs4savitha@gmail.com"/>
    <x v="5"/>
    <s v="Trivandrum"/>
    <s v="No Go"/>
    <n v="39.32"/>
    <n v="98"/>
    <x v="2"/>
    <n v="2"/>
    <m/>
    <x v="11"/>
    <m/>
    <m/>
    <n v="1440"/>
    <s v="No"/>
    <n v="248"/>
    <s v="Normal"/>
    <s v="Achieved"/>
    <n v="5"/>
    <m/>
    <m/>
    <m/>
    <m/>
    <d v="2026-03-29T00:00:00"/>
    <s v="Week14"/>
    <x v="4"/>
    <s v="NoGo"/>
    <n v="94.913530010172934"/>
    <n v="2"/>
    <n v="2"/>
    <s v="Aneesh"/>
    <s v="Aneesh"/>
    <s v="Aneesh"/>
    <s v="Major"/>
    <s v="12831090Savitha Arun"/>
    <s v="Major"/>
    <n v="1"/>
    <s v="Trivandrum"/>
    <x v="1"/>
    <n v="1"/>
    <n v="2"/>
    <s v="Sandeep S"/>
    <x v="1"/>
    <s v="awaiting_bb"/>
    <b v="1"/>
  </r>
  <r>
    <d v="2026-03-20T13:23:03"/>
    <d v="2026-03-20T18:53:03"/>
    <d v="2026-03-29T15:01:37"/>
    <d v="2026-03-29T20:31:37"/>
    <d v="2026-03-26T10:43:37"/>
    <d v="2026-03-29T20:31:37"/>
    <x v="0"/>
    <n v="617"/>
    <n v="4908"/>
    <x v="0"/>
    <n v="12831090"/>
    <s v="Sylvester G Ramirez, MD"/>
    <s v="Peterson Regional Medical Center"/>
    <s v="Clinic"/>
    <s v="jobs4savitha@gmail.com"/>
    <x v="5"/>
    <s v="Trivandrum"/>
    <s v="No Go"/>
    <n v="39.32"/>
    <n v="98"/>
    <x v="1"/>
    <n v="3"/>
    <m/>
    <x v="11"/>
    <m/>
    <m/>
    <n v="1440"/>
    <s v="No"/>
    <n v="248"/>
    <s v="Normal"/>
    <s v="Achieved"/>
    <n v="5"/>
    <m/>
    <m/>
    <m/>
    <m/>
    <d v="2026-03-29T00:00:00"/>
    <s v="Week14"/>
    <x v="4"/>
    <s v="NoGo"/>
    <n v="94.913530010172934"/>
    <n v="0"/>
    <n v="2"/>
    <s v="Aneesh"/>
    <s v="Aneesh"/>
    <s v="Aneesh"/>
    <s v="Minor"/>
    <s v="12831090Savitha Arun"/>
    <s v="Minor"/>
    <n v="0"/>
    <s v="Trivandrum"/>
    <x v="0"/>
    <n v="1"/>
    <n v="3"/>
    <s v="Sandeep S"/>
    <x v="1"/>
    <s v="awaiting_bb"/>
    <b v="0"/>
  </r>
  <r>
    <d v="2026-03-20T14:10:30"/>
    <d v="2026-03-20T19:40:30"/>
    <d v="2026-03-29T15:09:16"/>
    <d v="2026-03-29T20:39:16"/>
    <d v="2026-03-25T21:52:17"/>
    <d v="2026-03-29T20:39:16"/>
    <x v="0"/>
    <n v="1893"/>
    <n v="5686.9832999999999"/>
    <x v="0"/>
    <n v="12831130"/>
    <s v="Brian Allen, DO"/>
    <s v="Department Of Health Services - Wisconsin"/>
    <s v="Clinic"/>
    <s v="Tejasahm@gmail.com"/>
    <x v="7"/>
    <s v="Ahmedabad"/>
    <s v="Go"/>
    <n v="65.77"/>
    <n v="100"/>
    <x v="0"/>
    <n v="0"/>
    <m/>
    <x v="31"/>
    <m/>
    <m/>
    <n v="1440"/>
    <s v="No"/>
    <n v="353"/>
    <s v="Normal"/>
    <s v="Achieved"/>
    <n v="0"/>
    <m/>
    <m/>
    <m/>
    <m/>
    <d v="2026-03-29T00:00:00"/>
    <s v="Week14"/>
    <x v="3"/>
    <s v="Go"/>
    <n v="100"/>
    <n v="0"/>
    <n v="0"/>
    <s v="Harsh"/>
    <s v="Ankit"/>
    <s v="Ankit"/>
    <s v=""/>
    <s v="12831130Tejas Patel"/>
    <s v=""/>
    <s v=""/>
    <s v="Ahmedabad"/>
    <x v="0"/>
    <s v=""/>
    <n v="0"/>
    <s v="Tejas Patel"/>
    <x v="0"/>
    <s v="awaiting_upload"/>
    <b v="0"/>
  </r>
  <r>
    <d v="2026-03-24T13:19:52"/>
    <d v="2026-03-24T18:49:52"/>
    <d v="2026-03-29T15:20:43"/>
    <d v="2026-03-29T20:50:43"/>
    <d v="2026-03-28T07:09:26"/>
    <d v="2026-03-29T20:50:43"/>
    <x v="0"/>
    <n v="658"/>
    <n v="2261.2833000000001"/>
    <x v="0"/>
    <n v="12831951"/>
    <s v="David Radovich, Psy.D"/>
    <s v="Department Of Health Services - Wisconsin"/>
    <s v="Clinic"/>
    <s v="chintul.s@mediscribes.com"/>
    <x v="8"/>
    <s v="Ahmedabad"/>
    <s v="Go"/>
    <n v="84.48"/>
    <n v="100"/>
    <x v="1"/>
    <n v="1"/>
    <m/>
    <x v="6"/>
    <m/>
    <m/>
    <n v="1440"/>
    <s v="No"/>
    <n v="460"/>
    <s v="Normal"/>
    <s v="Achieved"/>
    <n v="1"/>
    <m/>
    <m/>
    <m/>
    <m/>
    <d v="2026-03-29T00:00:00"/>
    <s v="Week14"/>
    <x v="3"/>
    <s v="Go"/>
    <n v="100"/>
    <n v="0"/>
    <n v="0"/>
    <s v="Harsh"/>
    <s v="Ankit"/>
    <s v="Ankit"/>
    <s v="Minor"/>
    <s v="12831951Chintul Sutaria"/>
    <s v="Minor"/>
    <n v="0"/>
    <s v="Ahmedabad"/>
    <x v="0"/>
    <n v="1"/>
    <n v="1"/>
    <s v="Snehal patel"/>
    <x v="1"/>
    <s v="awaiting_upload"/>
    <b v="0"/>
  </r>
  <r>
    <d v="2026-03-20T19:20:30"/>
    <d v="2026-03-21T00:50:30"/>
    <d v="2026-03-29T15:31:36"/>
    <d v="2026-03-29T21:01:36"/>
    <d v="2026-03-26T10:43:53"/>
    <d v="2026-03-29T21:01:36"/>
    <x v="0"/>
    <n v="945"/>
    <n v="4937.7166999999999"/>
    <x v="0"/>
    <n v="12831188"/>
    <s v="Adel M Sidky, MD FACC"/>
    <s v="Adel M Sidky, MD FACC"/>
    <s v="Clinic"/>
    <s v="jobs4savitha@gmail.com"/>
    <x v="5"/>
    <s v="Trivandrum"/>
    <s v="No Go"/>
    <n v="58.65"/>
    <n v="97"/>
    <x v="2"/>
    <n v="3"/>
    <m/>
    <x v="30"/>
    <m/>
    <m/>
    <n v="1440"/>
    <s v="No"/>
    <n v="365"/>
    <s v="Normal"/>
    <s v="Achieved"/>
    <n v="0"/>
    <m/>
    <m/>
    <m/>
    <m/>
    <d v="2026-03-29T00:00:00"/>
    <s v="Week14"/>
    <x v="14"/>
    <s v="NoGo"/>
    <n v="94.884910485933503"/>
    <n v="3"/>
    <n v="3"/>
    <s v="Aneesh"/>
    <s v="Aneesh"/>
    <s v="Aneesh"/>
    <s v="Major"/>
    <s v="12831188Savitha Arun"/>
    <s v="Major"/>
    <n v="1"/>
    <s v="Trivandrum"/>
    <x v="1"/>
    <n v="1"/>
    <n v="3"/>
    <s v="Sandeep S"/>
    <x v="1"/>
    <s v="awaiting_upload"/>
    <b v="1"/>
  </r>
  <r>
    <d v="2026-03-20T19:20:30"/>
    <d v="2026-03-21T00:50:30"/>
    <d v="2026-03-29T15:31:36"/>
    <d v="2026-03-29T21:01:36"/>
    <d v="2026-03-26T10:43:53"/>
    <d v="2026-03-29T21:01:36"/>
    <x v="0"/>
    <n v="945"/>
    <n v="4937.7166999999999"/>
    <x v="0"/>
    <n v="12831188"/>
    <s v="Adel M Sidky, MD FACC"/>
    <s v="Adel M Sidky, MD FACC"/>
    <s v="Clinic"/>
    <s v="jobs4savitha@gmail.com"/>
    <x v="5"/>
    <s v="Trivandrum"/>
    <s v="No Go"/>
    <n v="58.65"/>
    <n v="97"/>
    <x v="1"/>
    <n v="1"/>
    <m/>
    <x v="30"/>
    <m/>
    <m/>
    <n v="1440"/>
    <s v="No"/>
    <n v="365"/>
    <s v="Normal"/>
    <s v="Achieved"/>
    <n v="0"/>
    <m/>
    <m/>
    <m/>
    <m/>
    <d v="2026-03-29T00:00:00"/>
    <s v="Week14"/>
    <x v="14"/>
    <s v="NoGo"/>
    <n v="94.884910485933503"/>
    <n v="0"/>
    <n v="3"/>
    <s v="Aneesh"/>
    <s v="Aneesh"/>
    <s v="Aneesh"/>
    <s v="Minor"/>
    <s v="12831188Savitha Arun"/>
    <s v="Minor"/>
    <n v="0"/>
    <s v="Trivandrum"/>
    <x v="0"/>
    <n v="1"/>
    <n v="1"/>
    <s v="Sandeep S"/>
    <x v="1"/>
    <s v="awaiting_upload"/>
    <b v="0"/>
  </r>
  <r>
    <d v="2026-03-19T16:46:41"/>
    <d v="2026-03-19T22:16:41"/>
    <d v="2026-03-29T17:48:14"/>
    <d v="2026-03-29T23:18:14"/>
    <d v="2026-03-26T10:42:52"/>
    <d v="2026-03-29T23:18:14"/>
    <x v="0"/>
    <n v="257"/>
    <n v="5075.3666999999996"/>
    <x v="0"/>
    <n v="12830770"/>
    <s v="Mark Mankins, MD"/>
    <s v="Olney Hamiltion Hospital"/>
    <s v="Clinic"/>
    <s v="jobs4savitha@gmail.com"/>
    <x v="5"/>
    <s v="Trivandrum"/>
    <s v="Go"/>
    <n v="25.23"/>
    <n v="100"/>
    <x v="1"/>
    <n v="5"/>
    <m/>
    <x v="43"/>
    <m/>
    <m/>
    <n v="1440"/>
    <s v="No"/>
    <n v="164"/>
    <s v="Normal"/>
    <s v="Achieved"/>
    <n v="0"/>
    <m/>
    <m/>
    <m/>
    <m/>
    <d v="2026-03-29T00:00:00"/>
    <s v="Week14"/>
    <x v="20"/>
    <s v="Go"/>
    <n v="100"/>
    <n v="0"/>
    <n v="0"/>
    <s v="Aneesh"/>
    <s v="Aneesh"/>
    <s v="Aneesh"/>
    <s v="Minor"/>
    <s v="12830770Savitha Arun"/>
    <s v="Minor"/>
    <n v="0"/>
    <s v="Trivandrum"/>
    <x v="0"/>
    <n v="1"/>
    <n v="5"/>
    <s v="Devi Balu"/>
    <x v="1"/>
    <s v="awaiting_upload"/>
    <b v="0"/>
  </r>
  <r>
    <d v="2026-03-24T12:01:09"/>
    <d v="2026-03-24T17:31:09"/>
    <d v="2026-03-29T17:54:25"/>
    <d v="2026-03-29T23:24:25"/>
    <d v="2026-03-28T07:09:35"/>
    <d v="2026-03-29T23:24:25"/>
    <x v="0"/>
    <n v="362"/>
    <n v="2414.8332999999998"/>
    <x v="0"/>
    <n v="12831916"/>
    <s v="Jill N Jones, NP"/>
    <s v="Norfolk Community Service Board"/>
    <s v="Clinic"/>
    <s v="sivasankari.a@cardioscribes.com"/>
    <x v="3"/>
    <s v="Chennai"/>
    <s v="Go"/>
    <n v="101.34"/>
    <n v="100"/>
    <x v="0"/>
    <n v="0"/>
    <m/>
    <x v="21"/>
    <m/>
    <m/>
    <n v="1440"/>
    <s v="No"/>
    <n v="419"/>
    <s v="Normal"/>
    <s v="Achieved"/>
    <n v="0"/>
    <m/>
    <m/>
    <m/>
    <m/>
    <d v="2026-03-29T00:00:00"/>
    <s v="Week14"/>
    <x v="8"/>
    <s v="Go"/>
    <n v="100"/>
    <n v="0"/>
    <n v="0"/>
    <s v="Aneesh"/>
    <s v="Aneesh"/>
    <s v="Aneesh"/>
    <s v=""/>
    <s v="12831916Sivasankari A"/>
    <s v=""/>
    <s v=""/>
    <s v="Trivandrum"/>
    <x v="0"/>
    <s v=""/>
    <n v="0"/>
    <s v="Sivasankari A"/>
    <x v="0"/>
    <s v="awaiting_upload"/>
    <b v="0"/>
  </r>
  <r>
    <d v="2026-03-23T12:58:29"/>
    <d v="2026-03-23T18:28:29"/>
    <d v="2026-03-29T18:05:03"/>
    <d v="2026-03-29T23:35:03"/>
    <d v="2026-03-28T07:09:17"/>
    <d v="2026-03-29T23:35:03"/>
    <x v="0"/>
    <n v="1644"/>
    <n v="2425.7667000000001"/>
    <x v="0"/>
    <n v="12831559"/>
    <s v="Joan R Nuttall, Ph.D"/>
    <s v="Department Of Health Services - Wisconsin"/>
    <s v="Clinic"/>
    <s v="chintul.s@mediscribes.com"/>
    <x v="8"/>
    <s v="Ahmedabad"/>
    <s v="Go"/>
    <n v="88.17"/>
    <n v="100"/>
    <x v="0"/>
    <n v="0"/>
    <m/>
    <x v="6"/>
    <m/>
    <m/>
    <n v="1440"/>
    <s v="No"/>
    <n v="816"/>
    <s v="Normal"/>
    <s v="Achieved"/>
    <n v="0"/>
    <m/>
    <m/>
    <m/>
    <m/>
    <d v="2026-03-29T00:00:00"/>
    <s v="Week14"/>
    <x v="3"/>
    <s v="Go"/>
    <n v="100"/>
    <n v="0"/>
    <n v="0"/>
    <s v="Harsh"/>
    <s v="Ankit"/>
    <s v="Ankit"/>
    <s v=""/>
    <s v="12831559Chintul Sutaria"/>
    <s v=""/>
    <s v=""/>
    <s v="Ahmedabad"/>
    <x v="0"/>
    <s v=""/>
    <n v="0"/>
    <s v="Chintul Sutaria"/>
    <x v="0"/>
    <s v="awaiting_upload"/>
    <b v="0"/>
  </r>
  <r>
    <d v="2026-03-19T17:28:51"/>
    <d v="2026-03-19T22:58:51"/>
    <d v="2026-03-29T18:09:01"/>
    <d v="2026-03-29T23:39:01"/>
    <d v="2026-03-26T10:43:27"/>
    <d v="2026-03-29T23:39:01"/>
    <x v="0"/>
    <n v="219"/>
    <n v="5095.5667000000003"/>
    <x v="0"/>
    <n v="12830892"/>
    <s v="Jeffrey C Brackett, MD, FACC"/>
    <s v="Cardiology Associates Medical Group"/>
    <s v="Clinic"/>
    <s v="PratheepKumar.a@cardioscribes.com"/>
    <x v="6"/>
    <s v="Chennai"/>
    <s v="Go"/>
    <n v="42.18"/>
    <n v="99"/>
    <x v="2"/>
    <n v="1"/>
    <m/>
    <x v="29"/>
    <m/>
    <m/>
    <n v="1440"/>
    <s v="No"/>
    <n v="141"/>
    <s v="Normal"/>
    <s v="Achieved"/>
    <n v="0"/>
    <m/>
    <m/>
    <m/>
    <m/>
    <d v="2026-03-29T00:00:00"/>
    <s v="Week14"/>
    <x v="12"/>
    <s v="NoGo"/>
    <n v="97.629208155523941"/>
    <n v="1"/>
    <n v="1"/>
    <s v="Harsh"/>
    <s v="Aneesh"/>
    <s v="Aneesh"/>
    <s v="Major"/>
    <s v="12830892Pratheep Kumar"/>
    <s v="Major"/>
    <n v="1"/>
    <s v="Trivandrum"/>
    <x v="1"/>
    <n v="1"/>
    <n v="1"/>
    <s v="Pratheep Kumar"/>
    <x v="0"/>
    <s v="awaiting_upload"/>
    <b v="1"/>
  </r>
  <r>
    <d v="2026-03-19T17:28:51"/>
    <d v="2026-03-19T22:58:51"/>
    <d v="2026-03-29T18:09:01"/>
    <d v="2026-03-29T23:39:01"/>
    <d v="2026-03-26T10:43:27"/>
    <d v="2026-03-29T23:39:01"/>
    <x v="0"/>
    <n v="219"/>
    <n v="5095.5667000000003"/>
    <x v="0"/>
    <n v="12830892"/>
    <s v="Jeffrey C Brackett, MD, FACC"/>
    <s v="Cardiology Associates Medical Group"/>
    <s v="Clinic"/>
    <s v="PratheepKumar.a@cardioscribes.com"/>
    <x v="6"/>
    <s v="Chennai"/>
    <s v="Go"/>
    <n v="42.18"/>
    <n v="99"/>
    <x v="1"/>
    <n v="3"/>
    <m/>
    <x v="29"/>
    <m/>
    <m/>
    <n v="1440"/>
    <s v="No"/>
    <n v="141"/>
    <s v="Normal"/>
    <s v="Achieved"/>
    <n v="0"/>
    <m/>
    <m/>
    <m/>
    <m/>
    <d v="2026-03-29T00:00:00"/>
    <s v="Week14"/>
    <x v="12"/>
    <s v="NoGo"/>
    <n v="97.629208155523941"/>
    <n v="0"/>
    <n v="1"/>
    <s v="Harsh"/>
    <s v="Aneesh"/>
    <s v="Aneesh"/>
    <s v="Minor"/>
    <s v="12830892Pratheep Kumar"/>
    <s v="Minor"/>
    <n v="0"/>
    <s v="Trivandrum"/>
    <x v="0"/>
    <n v="1"/>
    <n v="3"/>
    <s v="Pratheep Kumar"/>
    <x v="0"/>
    <s v="awaiting_upload"/>
    <b v="0"/>
  </r>
  <r>
    <d v="2026-03-19T17:29:49"/>
    <d v="2026-03-19T22:59:49"/>
    <d v="2026-03-29T18:12:45"/>
    <d v="2026-03-29T23:42:45"/>
    <d v="2026-03-26T10:43:32"/>
    <d v="2026-03-29T23:42:45"/>
    <x v="0"/>
    <n v="219"/>
    <n v="5099.2166999999999"/>
    <x v="0"/>
    <n v="12830878"/>
    <s v="Jeffrey C Brackett, MD, FACC"/>
    <s v="Cardiology Associates Medical Group"/>
    <s v="Clinic"/>
    <s v="PratheepKumar.a@cardioscribes.com"/>
    <x v="6"/>
    <s v="Chennai"/>
    <s v="Go"/>
    <n v="45.05"/>
    <n v="100"/>
    <x v="1"/>
    <n v="1"/>
    <m/>
    <x v="29"/>
    <m/>
    <m/>
    <n v="1440"/>
    <s v="No"/>
    <n v="159"/>
    <s v="Normal"/>
    <s v="Achieved"/>
    <n v="0"/>
    <m/>
    <m/>
    <m/>
    <m/>
    <d v="2026-03-29T00:00:00"/>
    <s v="Week14"/>
    <x v="12"/>
    <s v="Go"/>
    <n v="100"/>
    <n v="0"/>
    <n v="0"/>
    <s v="Harsh"/>
    <s v="Aneesh"/>
    <s v="Aneesh"/>
    <s v="Minor"/>
    <s v="12830878Pratheep Kumar"/>
    <s v="Minor"/>
    <n v="0"/>
    <s v="Trivandrum"/>
    <x v="0"/>
    <n v="1"/>
    <n v="1"/>
    <s v="Pratheep Kumar"/>
    <x v="0"/>
    <s v="awaiting_upload"/>
    <b v="0"/>
  </r>
  <r>
    <d v="2026-03-26T12:12:52"/>
    <d v="2026-03-26T17:42:52"/>
    <d v="2026-03-29T18:19:24"/>
    <d v="2026-03-29T23:49:24"/>
    <d v="2026-03-28T07:10:03"/>
    <d v="2026-03-29T23:49:24"/>
    <x v="0"/>
    <n v="387"/>
    <n v="2439.35"/>
    <x v="0"/>
    <n v="12832704"/>
    <s v="Jill N Jones, NP"/>
    <s v="Norfolk Community Service Board"/>
    <s v="Clinic"/>
    <s v="sivasankari.a@cardioscribes.com"/>
    <x v="3"/>
    <s v="Chennai"/>
    <s v="Go"/>
    <n v="104.06"/>
    <n v="100"/>
    <x v="0"/>
    <n v="0"/>
    <m/>
    <x v="21"/>
    <m/>
    <m/>
    <n v="1440"/>
    <s v="No"/>
    <n v="451"/>
    <s v="Normal"/>
    <s v="Achieved"/>
    <n v="0"/>
    <m/>
    <m/>
    <m/>
    <m/>
    <d v="2026-03-29T00:00:00"/>
    <s v="Week14"/>
    <x v="8"/>
    <s v="Go"/>
    <n v="100"/>
    <n v="0"/>
    <n v="0"/>
    <s v="Aneesh"/>
    <s v="Aneesh"/>
    <s v="Aneesh"/>
    <s v=""/>
    <s v="12832704Sivasankari A"/>
    <s v=""/>
    <s v=""/>
    <s v="Trivandrum"/>
    <x v="0"/>
    <s v=""/>
    <n v="0"/>
    <s v="Sivasankari A"/>
    <x v="0"/>
    <s v="awaiting_upload"/>
    <b v="0"/>
  </r>
  <r>
    <d v="2026-03-25T15:12:59"/>
    <d v="2026-03-25T20:42:59"/>
    <d v="2026-03-29T18:26:07"/>
    <d v="2026-03-29T23:56:07"/>
    <d v="2026-03-28T07:09:54"/>
    <d v="2026-03-29T23:56:07"/>
    <x v="0"/>
    <n v="392"/>
    <n v="2446.2166999999999"/>
    <x v="0"/>
    <n v="12832393"/>
    <s v="Jill N Jones, NP"/>
    <s v="Norfolk Community Service Board"/>
    <s v="Clinic"/>
    <s v="sivasankari.a@cardioscribes.com"/>
    <x v="3"/>
    <s v="Chennai"/>
    <s v="Go"/>
    <n v="102.26"/>
    <n v="100"/>
    <x v="0"/>
    <n v="0"/>
    <m/>
    <x v="21"/>
    <m/>
    <m/>
    <n v="1440"/>
    <s v="No"/>
    <n v="428"/>
    <s v="Normal"/>
    <s v="Achieved"/>
    <n v="0"/>
    <m/>
    <m/>
    <m/>
    <m/>
    <d v="2026-03-29T00:00:00"/>
    <s v="Week14"/>
    <x v="8"/>
    <s v="Go"/>
    <n v="100"/>
    <n v="0"/>
    <n v="0"/>
    <s v="Aneesh"/>
    <s v="Aneesh"/>
    <s v="Aneesh"/>
    <s v=""/>
    <s v="12832393Sivasankari A"/>
    <s v=""/>
    <s v=""/>
    <s v="Trivandrum"/>
    <x v="0"/>
    <s v=""/>
    <n v="0"/>
    <s v="Sivasankari A"/>
    <x v="0"/>
    <s v="awaiting_upload"/>
    <b v="0"/>
  </r>
  <r>
    <d v="2026-03-24T21:40:31"/>
    <d v="2026-03-25T03:10:31"/>
    <d v="2026-03-29T18:31:10"/>
    <d v="2026-03-30T00:01:10"/>
    <d v="2026-03-28T07:10:19"/>
    <d v="2026-03-30T00:01:10"/>
    <x v="0"/>
    <n v="293"/>
    <n v="2450.85"/>
    <x v="0"/>
    <n v="12832163"/>
    <s v="Jill N Jones, NP"/>
    <s v="Norfolk Community Service Board"/>
    <s v="Clinic"/>
    <s v="sivasankari.a@cardioscribes.com"/>
    <x v="3"/>
    <s v="Chennai"/>
    <s v="Go"/>
    <n v="88.29"/>
    <n v="100"/>
    <x v="0"/>
    <n v="0"/>
    <m/>
    <x v="21"/>
    <m/>
    <m/>
    <n v="1440"/>
    <s v="No"/>
    <n v="337"/>
    <s v="Normal"/>
    <s v="Achieved"/>
    <n v="0"/>
    <m/>
    <m/>
    <m/>
    <m/>
    <d v="2026-03-30T00:00:00"/>
    <s v="Week14"/>
    <x v="8"/>
    <s v="Go"/>
    <n v="100"/>
    <n v="0"/>
    <n v="0"/>
    <s v="Aneesh"/>
    <s v="Aneesh"/>
    <s v="Aneesh"/>
    <s v=""/>
    <s v="12832163Sivasankari A"/>
    <s v=""/>
    <s v=""/>
    <s v="Trivandrum"/>
    <x v="0"/>
    <s v=""/>
    <n v="0"/>
    <s v="Sivasankari A"/>
    <x v="0"/>
    <s v="awaiting_upload"/>
    <b v="0"/>
  </r>
  <r>
    <d v="2026-03-19T18:46:41"/>
    <d v="2026-03-20T00:16:41"/>
    <d v="2026-03-30T11:49:19"/>
    <d v="2026-03-30T17:19:19"/>
    <d v="2026-03-25T21:51:42"/>
    <d v="2026-03-30T17:19:19"/>
    <x v="0"/>
    <n v="3157"/>
    <n v="6927.6166999999996"/>
    <x v="0"/>
    <n v="12830909"/>
    <s v="Julie Morantz, PA"/>
    <s v="Cardiology Associates Medical Group"/>
    <s v="Clinic"/>
    <s v="Tejasahm@gmail.com"/>
    <x v="7"/>
    <s v="Ahmedabad"/>
    <s v="No Go"/>
    <n v="52.57"/>
    <n v="98"/>
    <x v="2"/>
    <n v="1"/>
    <m/>
    <x v="29"/>
    <m/>
    <m/>
    <n v="1440"/>
    <s v="No"/>
    <n v="280"/>
    <s v="Normal"/>
    <s v="Achieved"/>
    <n v="0"/>
    <m/>
    <m/>
    <m/>
    <m/>
    <d v="2026-03-30T00:00:00"/>
    <s v="Week14"/>
    <x v="12"/>
    <s v="NoGo"/>
    <n v="96.19554879208674"/>
    <n v="1"/>
    <n v="2"/>
    <s v="Harsh"/>
    <s v="Ankit"/>
    <s v="Ankit"/>
    <s v="Major"/>
    <s v="12830909Tejas Patel"/>
    <s v="Major"/>
    <n v="1"/>
    <s v="Ahmedabad"/>
    <x v="1"/>
    <n v="1"/>
    <n v="1"/>
    <s v="Tejas Patel"/>
    <x v="0"/>
    <s v="awaiting_upload"/>
    <b v="1"/>
  </r>
  <r>
    <d v="2026-03-19T18:46:41"/>
    <d v="2026-03-20T00:16:41"/>
    <d v="2026-03-30T11:49:19"/>
    <d v="2026-03-30T17:19:19"/>
    <d v="2026-03-25T21:51:42"/>
    <d v="2026-03-30T17:19:19"/>
    <x v="0"/>
    <n v="3157"/>
    <n v="6927.6166999999996"/>
    <x v="0"/>
    <n v="12830909"/>
    <s v="Julie Morantz, PA"/>
    <s v="Cardiology Associates Medical Group"/>
    <s v="Clinic"/>
    <s v="Tejasahm@gmail.com"/>
    <x v="7"/>
    <s v="Ahmedabad"/>
    <s v="No Go"/>
    <n v="52.57"/>
    <n v="98"/>
    <x v="4"/>
    <n v="1"/>
    <m/>
    <x v="29"/>
    <m/>
    <m/>
    <n v="1440"/>
    <s v="No"/>
    <n v="280"/>
    <s v="Normal"/>
    <s v="Achieved"/>
    <n v="0"/>
    <m/>
    <m/>
    <m/>
    <m/>
    <d v="2026-03-30T00:00:00"/>
    <s v="Week14"/>
    <x v="12"/>
    <s v="NoGo"/>
    <n v="96.19554879208674"/>
    <n v="1"/>
    <n v="2"/>
    <s v="Harsh"/>
    <s v="Ankit"/>
    <s v="Ankit"/>
    <s v="Major"/>
    <s v="12830909Tejas Patel"/>
    <s v="Major"/>
    <n v="1"/>
    <s v="Ahmedabad"/>
    <x v="1"/>
    <n v="1"/>
    <n v="1"/>
    <s v="Tejas Patel"/>
    <x v="0"/>
    <s v="awaiting_upload"/>
    <b v="1"/>
  </r>
  <r>
    <d v="2026-03-19T18:46:41"/>
    <d v="2026-03-20T00:16:41"/>
    <d v="2026-03-30T11:49:19"/>
    <d v="2026-03-30T17:19:19"/>
    <d v="2026-03-25T21:51:42"/>
    <d v="2026-03-30T17:19:19"/>
    <x v="0"/>
    <n v="3157"/>
    <n v="6927.6166999999996"/>
    <x v="0"/>
    <n v="12830909"/>
    <s v="Julie Morantz, PA"/>
    <s v="Cardiology Associates Medical Group"/>
    <s v="Clinic"/>
    <s v="Tejasahm@gmail.com"/>
    <x v="7"/>
    <s v="Ahmedabad"/>
    <s v="No Go"/>
    <n v="52.57"/>
    <n v="98"/>
    <x v="1"/>
    <n v="2"/>
    <m/>
    <x v="29"/>
    <m/>
    <m/>
    <n v="1440"/>
    <s v="No"/>
    <n v="280"/>
    <s v="Normal"/>
    <s v="Achieved"/>
    <n v="0"/>
    <m/>
    <m/>
    <m/>
    <m/>
    <d v="2026-03-30T00:00:00"/>
    <s v="Week14"/>
    <x v="12"/>
    <s v="NoGo"/>
    <n v="96.19554879208674"/>
    <n v="0"/>
    <n v="2"/>
    <s v="Harsh"/>
    <s v="Ankit"/>
    <s v="Ankit"/>
    <s v="Minor"/>
    <s v="12830909Tejas Patel"/>
    <s v="Minor"/>
    <n v="0"/>
    <s v="Ahmedabad"/>
    <x v="0"/>
    <n v="1"/>
    <n v="2"/>
    <s v="Tejas Patel"/>
    <x v="0"/>
    <s v="awaiting_upload"/>
    <b v="0"/>
  </r>
  <r>
    <d v="2026-03-24T14:44:32"/>
    <d v="2026-03-24T20:14:32"/>
    <d v="2026-03-30T12:08:27"/>
    <d v="2026-03-30T17:38:27"/>
    <d v="2026-03-30T00:02:18"/>
    <d v="2026-03-30T17:38:27"/>
    <x v="0"/>
    <n v="909"/>
    <n v="1056.1500000000001"/>
    <x v="0"/>
    <n v="12832009"/>
    <s v="Richard Field, III, M.D."/>
    <s v="Field Memorial Community Hospital"/>
    <s v="Clinic"/>
    <s v="sivasankari.a@cardioscribes.com"/>
    <x v="3"/>
    <s v="Chennai"/>
    <s v="Go"/>
    <n v="21.25"/>
    <n v="100"/>
    <x v="0"/>
    <n v="0"/>
    <m/>
    <x v="48"/>
    <m/>
    <m/>
    <n v="1440"/>
    <s v="No"/>
    <n v="77"/>
    <s v="Normal"/>
    <s v="Achieved"/>
    <n v="0"/>
    <m/>
    <m/>
    <m/>
    <m/>
    <d v="2026-03-30T00:00:00"/>
    <s v="Week14"/>
    <x v="21"/>
    <s v="Go"/>
    <n v="100"/>
    <n v="0"/>
    <n v="0"/>
    <s v="Aneesh"/>
    <s v="Aneesh"/>
    <s v="Aneesh"/>
    <s v=""/>
    <s v="12832009Sivasankari A"/>
    <s v=""/>
    <s v=""/>
    <s v="Trivandrum"/>
    <x v="0"/>
    <s v=""/>
    <n v="0"/>
    <s v="Sivasankari A"/>
    <x v="0"/>
    <s v="awaiting_upload"/>
    <b v="0"/>
  </r>
  <r>
    <d v="2026-03-23T15:50:09"/>
    <d v="2026-03-23T21:20:09"/>
    <d v="2026-03-30T12:10:42"/>
    <d v="2026-03-30T17:40:42"/>
    <d v="2026-03-30T00:02:01"/>
    <d v="2026-03-30T17:40:42"/>
    <x v="0"/>
    <n v="125"/>
    <n v="1058.6832999999999"/>
    <x v="0"/>
    <n v="12831603"/>
    <s v="Mark Cassol, M.D."/>
    <s v="Cassol Eye"/>
    <s v="Clinic"/>
    <s v="chintul.s@mediscribes.com"/>
    <x v="8"/>
    <s v="Ahmedabad"/>
    <s v="Go"/>
    <n v="15.12"/>
    <n v="100"/>
    <x v="0"/>
    <n v="0"/>
    <m/>
    <x v="49"/>
    <m/>
    <m/>
    <n v="1440"/>
    <s v="No"/>
    <n v="82"/>
    <s v="Normal"/>
    <s v="Achieved"/>
    <n v="0"/>
    <m/>
    <m/>
    <m/>
    <m/>
    <d v="2026-03-30T00:00:00"/>
    <s v="Week14"/>
    <x v="22"/>
    <s v="Go"/>
    <n v="100"/>
    <n v="0"/>
    <n v="0"/>
    <s v="Harsh"/>
    <s v="Ankit"/>
    <s v="Harsh"/>
    <s v=""/>
    <s v="12831603Chintul Sutaria"/>
    <s v=""/>
    <s v=""/>
    <s v="Ahmedabad"/>
    <x v="0"/>
    <s v=""/>
    <n v="0"/>
    <s v="Parineeta Patel"/>
    <x v="1"/>
    <s v="awaiting_upload"/>
    <b v="0"/>
  </r>
  <r>
    <d v="2026-03-26T11:13:37"/>
    <d v="2026-03-26T16:43:37"/>
    <d v="2026-03-30T12:12:46"/>
    <d v="2026-03-30T17:42:46"/>
    <d v="2026-03-30T00:02:39"/>
    <d v="2026-03-30T17:42:46"/>
    <x v="0"/>
    <n v="104"/>
    <n v="1060.1167"/>
    <x v="0"/>
    <n v="12832705"/>
    <s v="MATTIE BENNETT, DMD"/>
    <s v="Regional Medical Center Anniston"/>
    <s v="Clinic"/>
    <s v="gopalrajith@gmail.com"/>
    <x v="4"/>
    <s v="Trivandrum"/>
    <s v="Go"/>
    <n v="17.52"/>
    <n v="100"/>
    <x v="0"/>
    <n v="0"/>
    <m/>
    <x v="28"/>
    <m/>
    <m/>
    <n v="720"/>
    <s v="No"/>
    <n v="86"/>
    <s v="Normal"/>
    <s v="Achieved"/>
    <n v="0"/>
    <m/>
    <m/>
    <m/>
    <m/>
    <d v="2026-03-30T00:00:00"/>
    <s v="Week14"/>
    <x v="10"/>
    <s v="Go"/>
    <n v="100"/>
    <n v="0"/>
    <n v="0"/>
    <s v="Ankit"/>
    <s v="Aneesh"/>
    <s v="Aneesh"/>
    <s v=""/>
    <s v="12832705Gopal Rajith"/>
    <s v=""/>
    <s v=""/>
    <s v="Trivandrum"/>
    <x v="0"/>
    <s v=""/>
    <n v="0"/>
    <s v="Gopal Rajith"/>
    <x v="0"/>
    <s v="awaiting_upload"/>
    <b v="0"/>
  </r>
  <r>
    <d v="2026-03-19T09:05:40"/>
    <d v="2026-03-19T14:35:40"/>
    <d v="2026-03-30T12:21:52"/>
    <d v="2026-03-30T17:51:52"/>
    <d v="2026-03-26T10:42:46"/>
    <d v="2026-03-30T17:51:52"/>
    <x v="0"/>
    <n v="2331"/>
    <n v="6189.1"/>
    <x v="0"/>
    <n v="12830607"/>
    <s v="Mark Mankins, MD"/>
    <s v="Olney Hamiltion Hospital"/>
    <s v="Clinic"/>
    <s v="jobs4savitha@gmail.com"/>
    <x v="5"/>
    <s v="Trivandrum"/>
    <s v="Go"/>
    <n v="35.880000000000003"/>
    <n v="100"/>
    <x v="1"/>
    <n v="1"/>
    <m/>
    <x v="43"/>
    <m/>
    <m/>
    <n v="1440"/>
    <s v="No"/>
    <n v="219"/>
    <s v="Normal"/>
    <s v="Achieved"/>
    <n v="0"/>
    <m/>
    <m/>
    <m/>
    <m/>
    <d v="2026-03-30T00:00:00"/>
    <s v="Week14"/>
    <x v="20"/>
    <s v="Go"/>
    <n v="100"/>
    <n v="0"/>
    <n v="0"/>
    <s v="Aneesh"/>
    <s v="Aneesh"/>
    <s v="Aneesh"/>
    <s v="Minor"/>
    <s v="12830607Savitha Arun"/>
    <s v="Minor"/>
    <n v="0"/>
    <s v="Trivandrum"/>
    <x v="0"/>
    <n v="1"/>
    <n v="1"/>
    <s v="Gopal Rajith"/>
    <x v="1"/>
    <s v="awaiting_upload"/>
    <b v="0"/>
  </r>
  <r>
    <d v="2026-03-19T16:57:06"/>
    <d v="2026-03-19T22:27:06"/>
    <d v="2026-03-30T12:27:13"/>
    <d v="2026-03-30T17:57:13"/>
    <d v="2026-03-26T10:42:59"/>
    <d v="2026-03-30T17:57:13"/>
    <x v="0"/>
    <n v="294"/>
    <n v="6194.2332999999999"/>
    <x v="0"/>
    <n v="12830772"/>
    <s v="Mark Mankins, MD"/>
    <s v="Olney Hamiltion Hospital"/>
    <s v="Clinic"/>
    <s v="jobs4savitha@gmail.com"/>
    <x v="5"/>
    <s v="Trivandrum"/>
    <s v="Go"/>
    <n v="29.49"/>
    <n v="99"/>
    <x v="2"/>
    <n v="1"/>
    <m/>
    <x v="43"/>
    <m/>
    <m/>
    <n v="1440"/>
    <s v="No"/>
    <n v="183"/>
    <s v="Normal"/>
    <s v="Achieved"/>
    <n v="0"/>
    <m/>
    <m/>
    <m/>
    <m/>
    <d v="2026-03-30T00:00:00"/>
    <s v="Week14"/>
    <x v="20"/>
    <s v="NoGo"/>
    <n v="96.609020006781961"/>
    <n v="1"/>
    <n v="1"/>
    <s v="Aneesh"/>
    <s v="Aneesh"/>
    <s v="Aneesh"/>
    <s v="Major"/>
    <s v="12830772Savitha Arun"/>
    <s v="Major"/>
    <n v="1"/>
    <s v="Trivandrum"/>
    <x v="1"/>
    <n v="1"/>
    <n v="1"/>
    <s v="Devi Balu"/>
    <x v="1"/>
    <s v="awaiting_upload"/>
    <b v="1"/>
  </r>
  <r>
    <d v="2026-03-19T16:57:06"/>
    <d v="2026-03-19T22:27:06"/>
    <d v="2026-03-30T12:27:13"/>
    <d v="2026-03-30T17:57:13"/>
    <d v="2026-03-26T10:42:59"/>
    <d v="2026-03-30T17:57:13"/>
    <x v="0"/>
    <n v="294"/>
    <n v="6194.2332999999999"/>
    <x v="0"/>
    <n v="12830772"/>
    <s v="Mark Mankins, MD"/>
    <s v="Olney Hamiltion Hospital"/>
    <s v="Clinic"/>
    <s v="jobs4savitha@gmail.com"/>
    <x v="5"/>
    <s v="Trivandrum"/>
    <s v="Go"/>
    <n v="29.49"/>
    <n v="99"/>
    <x v="1"/>
    <n v="4"/>
    <m/>
    <x v="43"/>
    <m/>
    <m/>
    <n v="1440"/>
    <s v="No"/>
    <n v="183"/>
    <s v="Normal"/>
    <s v="Achieved"/>
    <n v="0"/>
    <m/>
    <m/>
    <m/>
    <m/>
    <d v="2026-03-30T00:00:00"/>
    <s v="Week14"/>
    <x v="20"/>
    <s v="NoGo"/>
    <n v="96.609020006781961"/>
    <n v="0"/>
    <n v="1"/>
    <s v="Aneesh"/>
    <s v="Aneesh"/>
    <s v="Aneesh"/>
    <s v="Minor"/>
    <s v="12830772Savitha Arun"/>
    <s v="Minor"/>
    <n v="0"/>
    <s v="Trivandrum"/>
    <x v="0"/>
    <n v="1"/>
    <n v="4"/>
    <s v="Devi Balu"/>
    <x v="1"/>
    <s v="awaiting_upload"/>
    <b v="0"/>
  </r>
  <r>
    <d v="2026-03-24T21:34:58"/>
    <d v="2026-03-25T03:04:58"/>
    <d v="2026-03-30T12:40:31"/>
    <d v="2026-03-30T18:10:31"/>
    <d v="2026-03-28T07:10:12"/>
    <d v="2026-03-30T18:10:31"/>
    <x v="0"/>
    <n v="626"/>
    <n v="3540.3166999999999"/>
    <x v="0"/>
    <n v="12832160"/>
    <s v="Fred V Lause, DPM"/>
    <s v="Fred V Lause, DPM"/>
    <s v="Clinic"/>
    <s v="chintul.s@mediscribes.com"/>
    <x v="8"/>
    <s v="Ahmedabad"/>
    <s v="Go"/>
    <n v="60.92"/>
    <n v="100"/>
    <x v="1"/>
    <n v="5"/>
    <m/>
    <x v="41"/>
    <m/>
    <m/>
    <n v="1440"/>
    <s v="No"/>
    <n v="345"/>
    <s v="Normal"/>
    <s v="Achieved"/>
    <n v="1"/>
    <m/>
    <m/>
    <m/>
    <m/>
    <d v="2026-03-30T00:00:00"/>
    <s v="Week14"/>
    <x v="19"/>
    <s v="Go"/>
    <n v="100"/>
    <n v="0"/>
    <n v="0"/>
    <s v="Ankit"/>
    <s v="Ankit"/>
    <s v="Ankit"/>
    <s v="Minor"/>
    <s v="12832160Chintul Sutaria"/>
    <s v="Minor"/>
    <n v="0"/>
    <s v="Ahmedabad"/>
    <x v="0"/>
    <n v="1"/>
    <n v="5"/>
    <s v="Nimesh Bhavsar"/>
    <x v="1"/>
    <s v="awaiting_upload"/>
    <b v="0"/>
  </r>
  <r>
    <d v="2026-03-24T08:43:26"/>
    <d v="2026-03-24T14:13:26"/>
    <d v="2026-03-30T12:49:55"/>
    <d v="2026-03-30T18:19:55"/>
    <d v="2026-03-30T00:02:07"/>
    <d v="2026-03-30T18:19:55"/>
    <x v="0"/>
    <n v="509"/>
    <n v="1097.8"/>
    <x v="0"/>
    <n v="12831908"/>
    <s v="Austin Christensen, MD"/>
    <s v="Harmon Medical And Rehabilitation Hospital"/>
    <s v="Clinic"/>
    <s v="gopalrajith@gmail.com"/>
    <x v="4"/>
    <s v="Trivandrum"/>
    <s v="Go"/>
    <n v="67.599999999999994"/>
    <n v="100"/>
    <x v="0"/>
    <n v="0"/>
    <m/>
    <x v="2"/>
    <m/>
    <m/>
    <n v="1440"/>
    <s v="No"/>
    <n v="214"/>
    <s v="Normal"/>
    <s v="Achieved"/>
    <n v="0"/>
    <m/>
    <m/>
    <m/>
    <m/>
    <d v="2026-03-30T00:00:00"/>
    <s v="Week14"/>
    <x v="2"/>
    <s v="Go"/>
    <n v="100"/>
    <n v="0"/>
    <n v="0"/>
    <s v="Aneesh"/>
    <s v="Aneesh"/>
    <s v="Aneesh"/>
    <s v=""/>
    <s v="12831908Gopal Rajith"/>
    <s v=""/>
    <s v=""/>
    <s v="Trivandrum"/>
    <x v="0"/>
    <s v=""/>
    <n v="0"/>
    <s v="Gopal Rajith"/>
    <x v="0"/>
    <s v="awaiting_upload"/>
    <b v="0"/>
  </r>
  <r>
    <d v="2026-03-26T13:03:56"/>
    <d v="2026-03-26T18:33:56"/>
    <d v="2026-03-30T12:56:56"/>
    <d v="2026-03-30T18:26:56"/>
    <d v="2026-03-30T00:02:45"/>
    <d v="2026-03-30T18:26:56"/>
    <x v="0"/>
    <n v="95"/>
    <n v="1104.1832999999999"/>
    <x v="0"/>
    <n v="12832737"/>
    <s v="PANKAJ KASHYAP, MD"/>
    <s v="Stringfellow Memorial Hospital"/>
    <s v="Clinic"/>
    <s v="gopalrajith@gmail.com"/>
    <x v="4"/>
    <s v="Trivandrum"/>
    <s v="Go"/>
    <n v="14.38"/>
    <n v="100"/>
    <x v="0"/>
    <n v="0"/>
    <m/>
    <x v="11"/>
    <m/>
    <m/>
    <n v="720"/>
    <s v="No"/>
    <n v="80"/>
    <s v="Normal"/>
    <s v="Achieved"/>
    <n v="0"/>
    <m/>
    <m/>
    <m/>
    <m/>
    <d v="2026-03-30T00:00:00"/>
    <s v="Week14"/>
    <x v="15"/>
    <s v="Go"/>
    <n v="100"/>
    <n v="0"/>
    <n v="0"/>
    <s v="Ankit"/>
    <s v="Aneesh"/>
    <s v="Aneesh"/>
    <s v=""/>
    <s v="12832737Gopal Rajith"/>
    <s v=""/>
    <s v=""/>
    <s v="Trivandrum"/>
    <x v="0"/>
    <s v=""/>
    <n v="0"/>
    <s v="Gopal Rajith"/>
    <x v="0"/>
    <s v="awaiting_qa"/>
    <b v="0"/>
  </r>
  <r>
    <d v="2026-03-25T12:55:40"/>
    <d v="2026-03-25T18:25:40"/>
    <d v="2026-03-30T13:02:30"/>
    <d v="2026-03-30T18:32:30"/>
    <d v="2026-03-30T00:02:23"/>
    <d v="2026-03-30T18:32:30"/>
    <x v="0"/>
    <n v="309"/>
    <n v="1110.1167"/>
    <x v="0"/>
    <n v="12832291"/>
    <s v="FERNANDO NUSSENBAUM, MD"/>
    <s v="Sterling Surgical Hospital"/>
    <s v="Clinic"/>
    <s v="chintul.s@mediscribes.com"/>
    <x v="8"/>
    <s v="Ahmedabad"/>
    <s v="Go"/>
    <n v="39.15"/>
    <n v="100"/>
    <x v="0"/>
    <n v="0"/>
    <m/>
    <x v="11"/>
    <m/>
    <m/>
    <n v="360"/>
    <s v="No"/>
    <n v="153"/>
    <s v="Normal"/>
    <s v="Achieved"/>
    <n v="0"/>
    <m/>
    <m/>
    <m/>
    <m/>
    <d v="2026-03-30T00:00:00"/>
    <s v="Week14"/>
    <x v="5"/>
    <s v="Go"/>
    <n v="100"/>
    <n v="0"/>
    <n v="0"/>
    <s v="Ankit"/>
    <s v="Ankit"/>
    <s v="Aneesh"/>
    <s v=""/>
    <s v="12832291Chintul Sutaria"/>
    <s v=""/>
    <s v=""/>
    <s v="Ahmedabad"/>
    <x v="0"/>
    <s v=""/>
    <n v="0"/>
    <s v="Vijay Babu"/>
    <x v="1"/>
    <s v="awaiting_upload"/>
    <b v="0"/>
  </r>
  <r>
    <d v="2026-03-26T07:38:41"/>
    <d v="2026-03-26T13:08:41"/>
    <d v="2026-03-30T15:01:53"/>
    <d v="2026-03-30T20:31:53"/>
    <d v="2026-03-30T20:31:43"/>
    <d v="2026-03-30T20:31:53"/>
    <x v="0"/>
    <n v="6"/>
    <n v="0.16669999999999999"/>
    <x v="0"/>
    <n v="12832650"/>
    <s v="ROHIT GHANSHYAMBHAI PATEL, MD"/>
    <s v="Regional Medical Center Anniston"/>
    <s v="Clinic"/>
    <s v="gopalrajith@gmail.com"/>
    <x v="4"/>
    <s v="Trivandrum"/>
    <s v="Go"/>
    <n v="0.6"/>
    <n v="100"/>
    <x v="0"/>
    <n v="0"/>
    <m/>
    <x v="40"/>
    <m/>
    <m/>
    <n v="1440"/>
    <s v="No"/>
    <n v="0"/>
    <s v="Normal"/>
    <s v="Achieved"/>
    <n v="0"/>
    <m/>
    <m/>
    <m/>
    <m/>
    <d v="2026-03-30T00:00:00"/>
    <s v="Week14"/>
    <x v="10"/>
    <s v="Go"/>
    <n v="100"/>
    <n v="0"/>
    <n v="0"/>
    <s v="Ankit"/>
    <s v="Aneesh"/>
    <s v="Aneesh"/>
    <s v=""/>
    <s v="12832650Gopal Rajith"/>
    <s v=""/>
    <s v=""/>
    <s v="Trivandrum"/>
    <x v="0"/>
    <s v=""/>
    <n v="0"/>
    <s v="Gopal Rajith"/>
    <x v="0"/>
    <s v="awaiting_upload"/>
    <b v="0"/>
  </r>
  <r>
    <d v="2026-03-26T13:39:10"/>
    <d v="2026-03-26T19:09:10"/>
    <d v="2026-03-30T18:15:42"/>
    <d v="2026-03-30T23:45:42"/>
    <d v="2026-03-30T20:32:25"/>
    <d v="2026-03-30T23:45:42"/>
    <x v="0"/>
    <n v="1717"/>
    <n v="193.2833"/>
    <x v="0"/>
    <n v="12832756"/>
    <s v="Marc W Zylstra, PHD"/>
    <s v="Department Of Health Services - Wisconsin"/>
    <s v="Clinic"/>
    <s v="chintul.s@mediscribes.com"/>
    <x v="8"/>
    <s v="Ahmedabad"/>
    <s v="Go"/>
    <n v="258.22000000000003"/>
    <n v="100"/>
    <x v="1"/>
    <n v="3"/>
    <m/>
    <x v="6"/>
    <m/>
    <m/>
    <n v="1440"/>
    <s v="No"/>
    <n v="1644"/>
    <s v="Normal"/>
    <s v="Achieved"/>
    <n v="0"/>
    <m/>
    <m/>
    <m/>
    <m/>
    <d v="2026-03-30T00:00:00"/>
    <s v="Week14"/>
    <x v="3"/>
    <s v="Go"/>
    <n v="100"/>
    <n v="0"/>
    <n v="0"/>
    <s v="Harsh"/>
    <s v="Ankit"/>
    <s v="Ankit"/>
    <s v="Minor"/>
    <s v="12832756Chintul Sutaria"/>
    <s v="Minor"/>
    <n v="0"/>
    <s v="Ahmedabad"/>
    <x v="0"/>
    <n v="1"/>
    <n v="3"/>
    <s v="Chintul Sutaria"/>
    <x v="0"/>
    <s v="awaiting_upload"/>
    <b v="0"/>
  </r>
  <r>
    <d v="2026-03-27T07:38:31"/>
    <d v="2026-03-27T13:08:31"/>
    <d v="2026-03-30T18:20:26"/>
    <d v="2026-03-30T23:50:26"/>
    <d v="2026-03-30T00:02:51"/>
    <d v="2026-03-30T23:50:26"/>
    <x v="0"/>
    <n v="267"/>
    <n v="1427.5833"/>
    <x v="0"/>
    <n v="12832988"/>
    <s v="ROHIT GHANSHYAMBHAI PATEL, MD"/>
    <s v="Regional Medical Center Anniston"/>
    <s v="Clinic"/>
    <s v="gopalrajith@gmail.com"/>
    <x v="4"/>
    <s v="Trivandrum"/>
    <s v="Go"/>
    <n v="26.06"/>
    <n v="100"/>
    <x v="0"/>
    <n v="0"/>
    <m/>
    <x v="40"/>
    <m/>
    <m/>
    <n v="1440"/>
    <s v="No"/>
    <n v="108"/>
    <s v="Normal"/>
    <s v="Null"/>
    <n v="1"/>
    <m/>
    <m/>
    <m/>
    <m/>
    <d v="2026-03-30T00:00:00"/>
    <s v="Week14"/>
    <x v="10"/>
    <s v="Go"/>
    <n v="100"/>
    <n v="0"/>
    <n v="0"/>
    <s v="Ankit"/>
    <s v="Aneesh"/>
    <s v="Aneesh"/>
    <s v=""/>
    <s v="12832988Gopal Rajith"/>
    <s v=""/>
    <s v=""/>
    <s v="Trivandrum"/>
    <x v="0"/>
    <s v=""/>
    <n v="0"/>
    <s v="Gopal Rajith"/>
    <x v="0"/>
    <s v="awaiting_upload"/>
    <b v="0"/>
  </r>
  <r>
    <d v="2026-03-27T07:40:37"/>
    <d v="2026-03-27T13:10:37"/>
    <d v="2026-03-30T18:22:37"/>
    <d v="2026-03-30T23:52:37"/>
    <d v="2026-03-30T00:02:56"/>
    <d v="2026-03-30T23:52:37"/>
    <x v="0"/>
    <n v="119"/>
    <n v="1429.6832999999999"/>
    <x v="0"/>
    <n v="12832989"/>
    <s v="ROHIT GHANSHYAMBHAI PATEL, MD"/>
    <s v="Regional Medical Center Anniston"/>
    <s v="Clinic"/>
    <s v="gopalrajith@gmail.com"/>
    <x v="4"/>
    <s v="Trivandrum"/>
    <s v="Go"/>
    <n v="25.17"/>
    <n v="100"/>
    <x v="0"/>
    <n v="0"/>
    <m/>
    <x v="40"/>
    <m/>
    <m/>
    <n v="1440"/>
    <s v="No"/>
    <n v="99"/>
    <s v="Normal"/>
    <s v="Null"/>
    <n v="0"/>
    <m/>
    <m/>
    <m/>
    <m/>
    <d v="2026-03-30T00:00:00"/>
    <s v="Week14"/>
    <x v="10"/>
    <s v="Go"/>
    <n v="100"/>
    <n v="0"/>
    <n v="0"/>
    <s v="Ankit"/>
    <s v="Aneesh"/>
    <s v="Aneesh"/>
    <s v=""/>
    <s v="12832989Gopal Rajith"/>
    <s v=""/>
    <s v=""/>
    <s v="Trivandrum"/>
    <x v="0"/>
    <s v=""/>
    <n v="0"/>
    <s v="Gopal Rajith"/>
    <x v="0"/>
    <s v="awaiting_upload"/>
    <b v="0"/>
  </r>
  <r>
    <d v="2026-03-25T08:10:01"/>
    <d v="2026-03-25T13:40:01"/>
    <d v="2026-03-30T18:29:08"/>
    <d v="2026-03-30T23:59:08"/>
    <d v="2026-03-30T00:02:28"/>
    <d v="2026-03-30T23:59:08"/>
    <x v="0"/>
    <n v="1810"/>
    <n v="1436.6667"/>
    <x v="0"/>
    <n v="12832252"/>
    <s v="Austin Christensen, MD"/>
    <s v="Harmon Medical And Rehabilitation Hospital"/>
    <s v="Clinic"/>
    <s v="gopalrajith@gmail.com"/>
    <x v="4"/>
    <s v="Trivandrum"/>
    <s v="Go"/>
    <n v="74.28"/>
    <n v="100"/>
    <x v="1"/>
    <n v="1"/>
    <m/>
    <x v="2"/>
    <m/>
    <m/>
    <n v="1440"/>
    <s v="No"/>
    <n v="225"/>
    <s v="Normal"/>
    <s v="Achieved"/>
    <n v="0"/>
    <m/>
    <m/>
    <m/>
    <m/>
    <d v="2026-03-30T00:00:00"/>
    <s v="Week14"/>
    <x v="2"/>
    <s v="Go"/>
    <n v="100"/>
    <n v="0"/>
    <n v="0"/>
    <s v="Aneesh"/>
    <s v="Aneesh"/>
    <s v="Aneesh"/>
    <s v="Minor"/>
    <s v="12832252Gopal Rajith"/>
    <s v="Minor"/>
    <n v="0"/>
    <s v="Trivandrum"/>
    <x v="0"/>
    <n v="1"/>
    <n v="1"/>
    <s v="Gopal Rajith"/>
    <x v="0"/>
    <s v="awaiting_upload"/>
    <b v="0"/>
  </r>
  <r>
    <d v="2026-03-25T15:58:50"/>
    <d v="2026-03-25T21:28:50"/>
    <d v="2026-03-30T18:37:52"/>
    <d v="2026-03-31T00:07:52"/>
    <d v="2026-03-30T00:02:34"/>
    <d v="2026-03-31T00:07:52"/>
    <x v="0"/>
    <n v="2895"/>
    <n v="1445.3"/>
    <x v="0"/>
    <n v="12832478"/>
    <s v="Jonathan Dukes, MD"/>
    <s v="Cardiology Associates Medical Group"/>
    <s v="Clinic"/>
    <s v="chintul.s@mediscribes.com"/>
    <x v="8"/>
    <s v="Ahmedabad"/>
    <s v="Go"/>
    <n v="29.32"/>
    <n v="99"/>
    <x v="2"/>
    <n v="1"/>
    <m/>
    <x v="29"/>
    <m/>
    <m/>
    <n v="1440"/>
    <s v="No"/>
    <n v="123"/>
    <s v="Normal"/>
    <s v="Achieved"/>
    <n v="4"/>
    <m/>
    <m/>
    <m/>
    <m/>
    <d v="2026-03-31T00:00:00"/>
    <s v="Week14"/>
    <x v="12"/>
    <s v="NoGo"/>
    <n v="96.589358799454303"/>
    <n v="1"/>
    <n v="1"/>
    <s v="Harsh"/>
    <s v="Ankit"/>
    <s v="Ankit"/>
    <s v="Major"/>
    <s v="12832478Chintul Sutaria"/>
    <s v="Major"/>
    <n v="1"/>
    <s v="Ahmedabad"/>
    <x v="1"/>
    <n v="1"/>
    <n v="1"/>
    <s v="Nimesh Bhavsar"/>
    <x v="1"/>
    <s v="awaiting_upload"/>
    <b v="1"/>
  </r>
  <r>
    <d v="2026-03-25T15:58:50"/>
    <d v="2026-03-25T21:28:50"/>
    <d v="2026-03-30T18:37:52"/>
    <d v="2026-03-31T00:07:52"/>
    <d v="2026-03-30T00:02:34"/>
    <d v="2026-03-31T00:07:52"/>
    <x v="0"/>
    <n v="2895"/>
    <n v="1445.3"/>
    <x v="0"/>
    <n v="12832478"/>
    <s v="Jonathan Dukes, MD"/>
    <s v="Cardiology Associates Medical Group"/>
    <s v="Clinic"/>
    <s v="chintul.s@mediscribes.com"/>
    <x v="8"/>
    <s v="Ahmedabad"/>
    <s v="Go"/>
    <n v="29.32"/>
    <n v="99"/>
    <x v="1"/>
    <n v="1"/>
    <m/>
    <x v="29"/>
    <m/>
    <m/>
    <n v="1440"/>
    <s v="No"/>
    <n v="123"/>
    <s v="Normal"/>
    <s v="Achieved"/>
    <n v="4"/>
    <m/>
    <m/>
    <m/>
    <m/>
    <d v="2026-03-31T00:00:00"/>
    <s v="Week14"/>
    <x v="12"/>
    <s v="NoGo"/>
    <n v="96.589358799454303"/>
    <n v="0"/>
    <n v="1"/>
    <s v="Harsh"/>
    <s v="Ankit"/>
    <s v="Ankit"/>
    <s v="Minor"/>
    <s v="12832478Chintul Sutaria"/>
    <s v="Minor"/>
    <n v="0"/>
    <s v="Ahmedabad"/>
    <x v="0"/>
    <n v="1"/>
    <n v="1"/>
    <s v="Nimesh Bhavsar"/>
    <x v="1"/>
    <s v="awaiting_upload"/>
    <b v="0"/>
  </r>
  <r>
    <d v="2026-03-27T23:16:25"/>
    <d v="2026-03-28T04:46:25"/>
    <d v="2026-03-31T11:01:39"/>
    <d v="2026-03-31T16:31:39"/>
    <d v="2026-03-30T20:32:07"/>
    <d v="2026-03-31T16:31:39"/>
    <x v="0"/>
    <n v="1530"/>
    <n v="1199.5333000000001"/>
    <x v="0"/>
    <n v="12833275"/>
    <s v="Marianne Wudarsky, MD, PhD"/>
    <s v="The Klingberg Family Centers"/>
    <s v="Clinic"/>
    <s v="chintul.s@mediscribes.com"/>
    <x v="8"/>
    <s v="Ahmedabad"/>
    <s v="Go"/>
    <n v="57.98"/>
    <n v="100"/>
    <x v="1"/>
    <n v="5"/>
    <m/>
    <x v="50"/>
    <m/>
    <m/>
    <n v="1440"/>
    <s v="No"/>
    <n v="982"/>
    <s v="Normal"/>
    <s v="Achieved"/>
    <n v="0"/>
    <m/>
    <m/>
    <m/>
    <m/>
    <d v="2026-03-31T00:00:00"/>
    <s v="Week14"/>
    <x v="23"/>
    <s v="Go"/>
    <n v="100"/>
    <n v="0"/>
    <n v="0"/>
    <s v="Harsh"/>
    <s v="Ankit"/>
    <s v="Harsh"/>
    <s v="Minor"/>
    <s v="12833275Chintul Sutaria"/>
    <s v="Minor"/>
    <n v="0"/>
    <s v="Ahmedabad"/>
    <x v="0"/>
    <n v="1"/>
    <n v="5"/>
    <s v="Parineeta Patel"/>
    <x v="1"/>
    <s v="awaiting_upload"/>
    <b v="0"/>
  </r>
  <r>
    <d v="2026-03-23T17:27:52"/>
    <d v="2026-03-23T22:57:52"/>
    <d v="2026-03-31T11:30:21"/>
    <d v="2026-03-31T17:00:21"/>
    <d v="2026-03-30T20:31:18"/>
    <d v="2026-03-31T17:00:21"/>
    <x v="0"/>
    <n v="1643"/>
    <n v="1229.05"/>
    <x v="0"/>
    <n v="12831673"/>
    <s v="Joseph Roe, PsyD"/>
    <s v="Department Of Health Services - Wisconsin"/>
    <s v="Clinic"/>
    <s v="chintul.s@mediscribes.com"/>
    <x v="8"/>
    <s v="Ahmedabad"/>
    <s v="Go"/>
    <n v="113.34"/>
    <n v="99"/>
    <x v="6"/>
    <n v="1"/>
    <m/>
    <x v="6"/>
    <m/>
    <m/>
    <n v="1440"/>
    <s v="No"/>
    <n v="1240"/>
    <s v="Normal"/>
    <s v="Achieved"/>
    <n v="0"/>
    <m/>
    <m/>
    <m/>
    <m/>
    <d v="2026-03-31T00:00:00"/>
    <s v="Week14"/>
    <x v="3"/>
    <s v="Go"/>
    <n v="99.117698958884773"/>
    <n v="1"/>
    <n v="1"/>
    <s v="Harsh"/>
    <s v="Ankit"/>
    <s v="Ankit"/>
    <s v="Major"/>
    <s v="12831673Chintul Sutaria"/>
    <s v="Major"/>
    <n v="1"/>
    <s v="Ahmedabad"/>
    <x v="1"/>
    <n v="1"/>
    <n v="1"/>
    <s v="Chintul Sutaria"/>
    <x v="0"/>
    <s v="awaiting_upload"/>
    <b v="1"/>
  </r>
  <r>
    <d v="2026-03-23T17:27:52"/>
    <d v="2026-03-23T22:57:52"/>
    <d v="2026-03-31T11:30:21"/>
    <d v="2026-03-31T17:00:21"/>
    <d v="2026-03-30T20:31:18"/>
    <d v="2026-03-31T17:00:21"/>
    <x v="0"/>
    <n v="1643"/>
    <n v="1229.05"/>
    <x v="0"/>
    <n v="12831673"/>
    <s v="Joseph Roe, PsyD"/>
    <s v="Department Of Health Services - Wisconsin"/>
    <s v="Clinic"/>
    <s v="chintul.s@mediscribes.com"/>
    <x v="8"/>
    <s v="Ahmedabad"/>
    <s v="Go"/>
    <n v="113.34"/>
    <n v="99"/>
    <x v="1"/>
    <n v="5"/>
    <m/>
    <x v="6"/>
    <m/>
    <m/>
    <n v="1440"/>
    <s v="No"/>
    <n v="1240"/>
    <s v="Normal"/>
    <s v="Achieved"/>
    <n v="0"/>
    <m/>
    <m/>
    <m/>
    <m/>
    <d v="2026-03-31T00:00:00"/>
    <s v="Week14"/>
    <x v="3"/>
    <s v="Go"/>
    <n v="99.117698958884773"/>
    <n v="0"/>
    <n v="1"/>
    <s v="Harsh"/>
    <s v="Ankit"/>
    <s v="Ankit"/>
    <s v="Minor"/>
    <s v="12831673Chintul Sutaria"/>
    <s v="Minor"/>
    <n v="0"/>
    <s v="Ahmedabad"/>
    <x v="0"/>
    <n v="1"/>
    <n v="5"/>
    <s v="Chintul Sutaria"/>
    <x v="0"/>
    <s v="awaiting_upload"/>
    <b v="0"/>
  </r>
  <r>
    <d v="2026-03-26T12:58:10"/>
    <d v="2026-03-26T18:28:10"/>
    <d v="2026-03-31T12:32:09"/>
    <d v="2026-03-31T18:02:09"/>
    <d v="2026-03-31T16:32:22"/>
    <d v="2026-03-31T18:02:09"/>
    <x v="0"/>
    <n v="409"/>
    <n v="89.783299999999997"/>
    <x v="0"/>
    <n v="12832718"/>
    <s v="MAHOMED YAZEED SALAME, MD"/>
    <s v="Regional Medical Center Anniston"/>
    <s v="Clinic"/>
    <s v="gopalrajith@gmail.com"/>
    <x v="4"/>
    <s v="Trivandrum"/>
    <s v="Go"/>
    <n v="10.85"/>
    <n v="100"/>
    <x v="1"/>
    <n v="1"/>
    <m/>
    <x v="51"/>
    <m/>
    <m/>
    <n v="360"/>
    <s v="No"/>
    <n v="30"/>
    <s v="Normal"/>
    <s v="Achieved"/>
    <n v="1"/>
    <m/>
    <m/>
    <m/>
    <m/>
    <d v="2026-03-31T00:00:00"/>
    <s v="Week14"/>
    <x v="10"/>
    <s v="Go"/>
    <n v="100"/>
    <n v="0"/>
    <n v="0"/>
    <s v="Ankit"/>
    <s v="Aneesh"/>
    <s v="Aneesh"/>
    <s v="Minor"/>
    <s v="12832718Gopal Rajith"/>
    <s v="Minor"/>
    <n v="0"/>
    <s v="Trivandrum"/>
    <x v="0"/>
    <n v="1"/>
    <n v="1"/>
    <s v="Gopal Rajith"/>
    <x v="0"/>
    <s v="awaiting_upload"/>
    <b v="0"/>
  </r>
  <r>
    <d v="2026-03-26T12:56:44"/>
    <d v="2026-03-26T18:26:44"/>
    <d v="2026-03-31T12:33:27"/>
    <d v="2026-03-31T18:03:27"/>
    <d v="2026-03-31T16:32:16"/>
    <d v="2026-03-31T18:03:27"/>
    <x v="0"/>
    <n v="64"/>
    <n v="91.183300000000003"/>
    <x v="0"/>
    <n v="12832722"/>
    <s v="MAHOMED YAZEED SALAME, MD"/>
    <s v="Regional Medical Center Anniston"/>
    <s v="Clinic"/>
    <s v="gopalrajith@gmail.com"/>
    <x v="4"/>
    <s v="Trivandrum"/>
    <s v="Go"/>
    <n v="11.68"/>
    <n v="100"/>
    <x v="0"/>
    <n v="0"/>
    <m/>
    <x v="51"/>
    <m/>
    <m/>
    <n v="360"/>
    <s v="No"/>
    <n v="37"/>
    <s v="Normal"/>
    <s v="Achieved"/>
    <n v="1"/>
    <m/>
    <m/>
    <m/>
    <m/>
    <d v="2026-03-31T00:00:00"/>
    <s v="Week14"/>
    <x v="10"/>
    <s v="Go"/>
    <n v="100"/>
    <n v="0"/>
    <n v="0"/>
    <s v="Ankit"/>
    <s v="Aneesh"/>
    <s v="Aneesh"/>
    <s v=""/>
    <s v="12832722Gopal Rajith"/>
    <s v=""/>
    <s v=""/>
    <s v="Trivandrum"/>
    <x v="0"/>
    <s v=""/>
    <n v="0"/>
    <s v="Gopal Rajith"/>
    <x v="0"/>
    <s v="awaiting_upload"/>
    <b v="0"/>
  </r>
  <r>
    <d v="2026-03-26T12:59:56"/>
    <d v="2026-03-26T18:29:56"/>
    <d v="2026-03-31T12:35:28"/>
    <d v="2026-03-31T18:05:28"/>
    <d v="2026-03-31T16:32:27"/>
    <d v="2026-03-31T18:05:28"/>
    <x v="0"/>
    <n v="108"/>
    <n v="93.0167"/>
    <x v="0"/>
    <n v="12832727"/>
    <s v="MAHOMED YAZEED SALAME, MD"/>
    <s v="Regional Medical Center Anniston"/>
    <s v="Clinic"/>
    <s v="gopalrajith@gmail.com"/>
    <x v="4"/>
    <s v="Trivandrum"/>
    <s v="Go"/>
    <n v="13.51"/>
    <n v="100"/>
    <x v="0"/>
    <n v="0"/>
    <m/>
    <x v="51"/>
    <m/>
    <m/>
    <n v="360"/>
    <s v="No"/>
    <n v="51"/>
    <s v="Normal"/>
    <s v="Achieved"/>
    <n v="1"/>
    <m/>
    <m/>
    <m/>
    <m/>
    <d v="2026-03-31T00:00:00"/>
    <s v="Week14"/>
    <x v="10"/>
    <s v="Go"/>
    <n v="100"/>
    <n v="0"/>
    <n v="0"/>
    <s v="Ankit"/>
    <s v="Aneesh"/>
    <s v="Aneesh"/>
    <s v=""/>
    <s v="12832727Gopal Rajith"/>
    <s v=""/>
    <s v=""/>
    <s v="Trivandrum"/>
    <x v="0"/>
    <s v=""/>
    <n v="0"/>
    <s v="Gopal Rajith"/>
    <x v="0"/>
    <s v="awaiting_upload"/>
    <b v="0"/>
  </r>
  <r>
    <d v="2026-03-26T08:47:52"/>
    <d v="2026-03-26T14:17:52"/>
    <d v="2026-03-31T12:37:11"/>
    <d v="2026-03-31T18:07:11"/>
    <d v="2026-03-31T16:32:33"/>
    <d v="2026-03-31T18:07:11"/>
    <x v="0"/>
    <n v="90"/>
    <n v="94.633300000000006"/>
    <x v="0"/>
    <n v="12832665"/>
    <s v="MATTIE BENNETT, DMD"/>
    <s v="Regional Medical Center Anniston"/>
    <s v="Clinic"/>
    <s v="gopalrajith@gmail.com"/>
    <x v="4"/>
    <s v="Trivandrum"/>
    <s v="Go"/>
    <n v="15.45"/>
    <n v="99"/>
    <x v="2"/>
    <n v="1"/>
    <m/>
    <x v="28"/>
    <m/>
    <m/>
    <n v="720"/>
    <s v="No"/>
    <n v="73"/>
    <s v="Normal"/>
    <s v="Achieved"/>
    <n v="0"/>
    <m/>
    <m/>
    <m/>
    <m/>
    <d v="2026-03-31T00:00:00"/>
    <s v="Week14"/>
    <x v="10"/>
    <s v="NoGo"/>
    <n v="93.527508090614887"/>
    <n v="1"/>
    <n v="1"/>
    <s v="Ankit"/>
    <s v="Aneesh"/>
    <s v="Aneesh"/>
    <s v="Major"/>
    <s v="12832665Gopal Rajith"/>
    <s v="Major"/>
    <n v="1"/>
    <s v="Trivandrum"/>
    <x v="0"/>
    <n v="1"/>
    <n v="1"/>
    <s v="Gopal Rajith"/>
    <x v="0"/>
    <s v="awaiting_upload"/>
    <b v="0"/>
  </r>
  <r>
    <d v="2026-03-29T19:34:45"/>
    <d v="2026-03-30T01:04:45"/>
    <d v="2026-04-01T10:52:31"/>
    <d v="2026-04-01T16:22:31"/>
    <d v="2026-03-31T16:32:51"/>
    <d v="2026-04-01T16:22:31"/>
    <x v="0"/>
    <n v="537"/>
    <n v="1429.6667"/>
    <x v="0"/>
    <n v="12833381"/>
    <s v="Fred V Lause, DPM"/>
    <s v="Fred V Lause, DPM"/>
    <s v="Clinic"/>
    <s v="chintul.s@mediscribes.com"/>
    <x v="8"/>
    <s v="Ahmedabad"/>
    <s v="Go"/>
    <n v="35.08"/>
    <n v="99"/>
    <x v="2"/>
    <n v="1"/>
    <m/>
    <x v="41"/>
    <m/>
    <m/>
    <n v="1440"/>
    <s v="No"/>
    <n v="174"/>
    <s v="Normal"/>
    <s v="Achieved"/>
    <n v="0"/>
    <m/>
    <m/>
    <m/>
    <m/>
    <d v="2026-04-01T00:00:00"/>
    <s v="Week14"/>
    <x v="19"/>
    <s v="NoGo"/>
    <n v="97.149372862029651"/>
    <n v="1"/>
    <n v="1"/>
    <s v="Ankit"/>
    <s v="Ankit"/>
    <s v="Ankit"/>
    <s v="Major"/>
    <s v="12833381Chintul Sutaria"/>
    <s v="Major"/>
    <n v="1"/>
    <s v="Ahmedabad"/>
    <x v="1"/>
    <n v="1"/>
    <n v="1"/>
    <s v="Shiny Iype"/>
    <x v="1"/>
    <s v="awaiting_upload"/>
    <b v="1"/>
  </r>
  <r>
    <d v="2026-03-29T19:34:45"/>
    <d v="2026-03-30T01:04:45"/>
    <d v="2026-04-01T10:52:31"/>
    <d v="2026-04-01T16:22:31"/>
    <d v="2026-03-31T16:32:51"/>
    <d v="2026-04-01T16:22:31"/>
    <x v="0"/>
    <n v="537"/>
    <n v="1429.6667"/>
    <x v="0"/>
    <n v="12833381"/>
    <s v="Fred V Lause, DPM"/>
    <s v="Fred V Lause, DPM"/>
    <s v="Clinic"/>
    <s v="chintul.s@mediscribes.com"/>
    <x v="8"/>
    <s v="Ahmedabad"/>
    <s v="Go"/>
    <n v="35.08"/>
    <n v="99"/>
    <x v="1"/>
    <n v="2"/>
    <m/>
    <x v="41"/>
    <m/>
    <m/>
    <n v="1440"/>
    <s v="No"/>
    <n v="174"/>
    <s v="Normal"/>
    <s v="Achieved"/>
    <n v="0"/>
    <m/>
    <m/>
    <m/>
    <m/>
    <d v="2026-04-01T00:00:00"/>
    <s v="Week14"/>
    <x v="19"/>
    <s v="NoGo"/>
    <n v="97.149372862029651"/>
    <n v="0"/>
    <n v="1"/>
    <s v="Ankit"/>
    <s v="Ankit"/>
    <s v="Ankit"/>
    <s v="Minor"/>
    <s v="12833381Chintul Sutaria"/>
    <s v="Minor"/>
    <n v="0"/>
    <s v="Ahmedabad"/>
    <x v="0"/>
    <n v="1"/>
    <n v="2"/>
    <s v="Shiny Iype"/>
    <x v="1"/>
    <s v="awaiting_upload"/>
    <b v="0"/>
  </r>
  <r>
    <d v="2026-03-25T21:15:24"/>
    <d v="2026-03-26T02:45:24"/>
    <d v="2026-04-01T11:18:44"/>
    <d v="2026-04-01T16:48:44"/>
    <d v="2026-03-30T20:32:17"/>
    <d v="2026-04-01T16:48:44"/>
    <x v="0"/>
    <n v="7487"/>
    <n v="2656.45"/>
    <x v="0"/>
    <n v="12832573"/>
    <s v="Travis Hinze, Ph.D."/>
    <s v="Department Of Health Services - Wisconsin"/>
    <s v="Clinic"/>
    <s v="chintul.s@mediscribes.com"/>
    <x v="8"/>
    <s v="Ahmedabad"/>
    <s v="Go"/>
    <n v="141.54"/>
    <n v="100"/>
    <x v="1"/>
    <n v="4"/>
    <m/>
    <x v="6"/>
    <m/>
    <m/>
    <n v="1440"/>
    <s v="No"/>
    <n v="710"/>
    <s v="Normal"/>
    <s v="Achieved"/>
    <n v="1"/>
    <m/>
    <m/>
    <m/>
    <m/>
    <d v="2026-04-01T00:00:00"/>
    <s v="Week14"/>
    <x v="3"/>
    <s v="Go"/>
    <n v="100"/>
    <n v="0"/>
    <n v="0"/>
    <s v="Harsh"/>
    <s v="Ankit"/>
    <s v="Ankit"/>
    <s v="Minor"/>
    <s v="12832573Chintul Sutaria"/>
    <s v="Minor"/>
    <n v="0"/>
    <s v="Ahmedabad"/>
    <x v="0"/>
    <n v="1"/>
    <n v="4"/>
    <s v="Snehal patel"/>
    <x v="1"/>
    <s v="awaiting_upload"/>
    <b v="0"/>
  </r>
  <r>
    <d v="2026-03-26T11:45:51"/>
    <d v="2026-03-26T17:15:51"/>
    <d v="2026-04-01T11:27:33"/>
    <d v="2026-04-01T16:57:33"/>
    <d v="2026-03-30T20:32:43"/>
    <d v="2026-04-01T16:57:33"/>
    <x v="0"/>
    <n v="517"/>
    <n v="2664.8332999999998"/>
    <x v="0"/>
    <n v="12832769"/>
    <s v="Bevins Chue, MD"/>
    <s v="Coronado Ridge Nursing and Rehab Center"/>
    <s v="Clinic"/>
    <s v="gopalrajith@gmail.com"/>
    <x v="4"/>
    <s v="Trivandrum"/>
    <s v="Go"/>
    <n v="60.6"/>
    <n v="100"/>
    <x v="1"/>
    <n v="2"/>
    <m/>
    <x v="9"/>
    <m/>
    <m/>
    <n v="720"/>
    <s v="No"/>
    <n v="464"/>
    <s v="Normal"/>
    <s v="Achieved"/>
    <n v="0"/>
    <m/>
    <m/>
    <m/>
    <m/>
    <d v="2026-04-01T00:00:00"/>
    <s v="Week14"/>
    <x v="13"/>
    <s v="Go"/>
    <n v="100"/>
    <n v="0"/>
    <n v="0"/>
    <s v="Aneesh"/>
    <s v="Aneesh"/>
    <s v="Aneesh"/>
    <s v="Minor"/>
    <s v="12832769Gopal Rajith"/>
    <s v="Minor"/>
    <n v="0"/>
    <s v="Trivandrum"/>
    <x v="0"/>
    <n v="1"/>
    <n v="2"/>
    <s v="Gopal Rajith"/>
    <x v="0"/>
    <s v="awaiting_upload"/>
    <b v="0"/>
  </r>
  <r>
    <d v="2026-03-23T08:03:53"/>
    <d v="2026-03-23T13:33:53"/>
    <d v="2026-04-01T12:58:51"/>
    <d v="2026-04-01T18:28:51"/>
    <d v="2026-03-31T16:31:46"/>
    <d v="2026-04-01T18:28:51"/>
    <x v="0"/>
    <n v="1055"/>
    <n v="1557.0833"/>
    <x v="0"/>
    <n v="12831522"/>
    <s v="Austin Christensen, MD"/>
    <s v="Harmon Medical And Rehabilitation Hospital"/>
    <s v="Clinic"/>
    <s v="gopalrajith@gmail.com"/>
    <x v="4"/>
    <s v="Trivandrum"/>
    <s v="Go"/>
    <n v="74.69"/>
    <n v="100"/>
    <x v="1"/>
    <n v="1"/>
    <m/>
    <x v="2"/>
    <m/>
    <m/>
    <n v="1440"/>
    <s v="No"/>
    <n v="229"/>
    <s v="Normal"/>
    <s v="Achieved"/>
    <n v="0"/>
    <m/>
    <m/>
    <m/>
    <m/>
    <d v="2026-04-01T00:00:00"/>
    <s v="Week14"/>
    <x v="2"/>
    <s v="Go"/>
    <n v="100"/>
    <n v="0"/>
    <n v="0"/>
    <s v="Aneesh"/>
    <s v="Aneesh"/>
    <s v="Aneesh"/>
    <s v="Minor"/>
    <s v="12831522Gopal Rajith"/>
    <s v="Minor"/>
    <n v="0"/>
    <s v="Trivandrum"/>
    <x v="0"/>
    <n v="1"/>
    <n v="1"/>
    <s v="Gopal Rajith"/>
    <x v="0"/>
    <s v="awaiting_upload"/>
    <b v="0"/>
  </r>
  <r>
    <d v="2026-03-27T11:30:41"/>
    <d v="2026-03-27T17:00:41"/>
    <d v="2026-04-01T13:17:59"/>
    <d v="2026-04-01T18:47:59"/>
    <d v="2026-03-30T20:33:05"/>
    <d v="2026-04-01T18:47:59"/>
    <x v="0"/>
    <n v="5600"/>
    <n v="2774.9"/>
    <x v="0"/>
    <n v="12833034"/>
    <s v="Kurt L Reintjes, MD"/>
    <s v="Sagebrush Medical Consultants"/>
    <s v="Clinic"/>
    <s v="chintul.s@mediscribes.com"/>
    <x v="8"/>
    <s v="Ahmedabad"/>
    <s v="Go"/>
    <n v="68.2"/>
    <n v="100"/>
    <x v="1"/>
    <n v="1"/>
    <m/>
    <x v="52"/>
    <m/>
    <m/>
    <n v="1440"/>
    <s v="No"/>
    <n v="448"/>
    <s v="Normal"/>
    <s v="Achieved"/>
    <n v="1"/>
    <m/>
    <m/>
    <m/>
    <m/>
    <d v="2026-04-01T00:00:00"/>
    <s v="Week14"/>
    <x v="18"/>
    <s v="Go"/>
    <n v="100"/>
    <n v="0"/>
    <n v="0"/>
    <s v="Harsh"/>
    <s v="Ankit"/>
    <s v="Harsh"/>
    <s v="Minor"/>
    <s v="12833034Chintul Sutaria"/>
    <s v="Minor"/>
    <n v="0"/>
    <s v="Ahmedabad"/>
    <x v="0"/>
    <n v="1"/>
    <n v="1"/>
    <s v="Parineeta Patel"/>
    <x v="1"/>
    <s v="awaiting_upload"/>
    <b v="0"/>
  </r>
  <r>
    <d v="2026-03-27T15:51:22"/>
    <d v="2026-03-27T21:21:22"/>
    <d v="2026-04-01T15:22:20"/>
    <d v="2026-04-01T20:52:20"/>
    <d v="2026-03-31T16:32:44"/>
    <d v="2026-04-01T20:52:20"/>
    <x v="0"/>
    <n v="1524"/>
    <n v="1699.6"/>
    <x v="0"/>
    <n v="12833214"/>
    <s v="Alon A Steinberg, MD, FACC"/>
    <s v="Cardiology Associates Medical Group"/>
    <s v="Clinic"/>
    <s v="chintul.s@mediscribes.com"/>
    <x v="8"/>
    <s v="Ahmedabad"/>
    <s v="No Go"/>
    <n v="51.57"/>
    <n v="98"/>
    <x v="2"/>
    <n v="2"/>
    <m/>
    <x v="29"/>
    <m/>
    <m/>
    <n v="1440"/>
    <s v="No"/>
    <n v="235"/>
    <s v="Normal"/>
    <s v="Achieved"/>
    <n v="4"/>
    <m/>
    <m/>
    <m/>
    <m/>
    <d v="2026-04-01T00:00:00"/>
    <s v="Week14"/>
    <x v="12"/>
    <s v="NoGo"/>
    <n v="96.121776226488265"/>
    <n v="2"/>
    <n v="2"/>
    <s v="Harsh"/>
    <s v="Ankit"/>
    <s v="Ankit"/>
    <s v="Major"/>
    <s v="12833214Chintul Sutaria"/>
    <s v="Major"/>
    <n v="1"/>
    <s v="Ahmedabad"/>
    <x v="1"/>
    <n v="1"/>
    <n v="2"/>
    <s v="Nimesh Bhavsar"/>
    <x v="1"/>
    <s v="awaiting_upload"/>
    <b v="1"/>
  </r>
  <r>
    <d v="2026-03-27T15:51:22"/>
    <d v="2026-03-27T21:21:22"/>
    <d v="2026-04-01T15:22:20"/>
    <d v="2026-04-01T20:52:20"/>
    <d v="2026-03-31T16:32:44"/>
    <d v="2026-04-01T20:52:20"/>
    <x v="0"/>
    <n v="1524"/>
    <n v="1699.6"/>
    <x v="0"/>
    <n v="12833214"/>
    <s v="Alon A Steinberg, MD, FACC"/>
    <s v="Cardiology Associates Medical Group"/>
    <s v="Clinic"/>
    <s v="chintul.s@mediscribes.com"/>
    <x v="8"/>
    <s v="Ahmedabad"/>
    <s v="No Go"/>
    <n v="51.57"/>
    <n v="98"/>
    <x v="1"/>
    <n v="9"/>
    <m/>
    <x v="29"/>
    <m/>
    <m/>
    <n v="1440"/>
    <s v="No"/>
    <n v="235"/>
    <s v="Normal"/>
    <s v="Achieved"/>
    <n v="4"/>
    <m/>
    <m/>
    <m/>
    <m/>
    <d v="2026-04-01T00:00:00"/>
    <s v="Week14"/>
    <x v="12"/>
    <s v="NoGo"/>
    <n v="96.121776226488265"/>
    <n v="0"/>
    <n v="2"/>
    <s v="Harsh"/>
    <s v="Ankit"/>
    <s v="Ankit"/>
    <s v="Minor"/>
    <s v="12833214Chintul Sutaria"/>
    <s v="Minor"/>
    <n v="0"/>
    <s v="Ahmedabad"/>
    <x v="0"/>
    <n v="1"/>
    <n v="9"/>
    <s v="Nimesh Bhavsar"/>
    <x v="1"/>
    <s v="awaiting_upload"/>
    <b v="0"/>
  </r>
  <r>
    <d v="2026-04-03T08:09:44"/>
    <d v="2026-04-03T13:39:44"/>
    <d v="2026-04-07T18:32:09"/>
    <d v="2026-04-08T00:02:09"/>
    <d v="2026-04-07T12:16:09"/>
    <d v="2026-04-08T00:02:09"/>
    <x v="0"/>
    <n v="138"/>
    <n v="706"/>
    <x v="0"/>
    <n v="12834786"/>
    <s v="Sean P Lacy, DO"/>
    <s v="Northland Cardiology"/>
    <s v="Clinic"/>
    <s v="gopalrajith@gmail.com"/>
    <x v="4"/>
    <s v="Trivandrum"/>
    <s v="Go"/>
    <n v="16.32"/>
    <n v="100"/>
    <x v="0"/>
    <n v="0"/>
    <m/>
    <x v="35"/>
    <m/>
    <m/>
    <n v="1440"/>
    <s v="No"/>
    <n v="99"/>
    <s v="Normal"/>
    <s v="Achieved"/>
    <n v="0"/>
    <m/>
    <m/>
    <m/>
    <m/>
    <d v="2026-04-08T00:00:00"/>
    <s v="Week15"/>
    <x v="24"/>
    <s v="Go"/>
    <n v="100"/>
    <n v="0"/>
    <n v="0"/>
    <s v="Harsh"/>
    <s v="Aneesh"/>
    <s v="Aneesh"/>
    <s v=""/>
    <s v="12834786Gopal Rajith"/>
    <s v=""/>
    <s v=""/>
    <s v="Trivandrum"/>
    <x v="0"/>
    <s v=""/>
    <n v="0"/>
    <s v="Gopal Rajith"/>
    <x v="0"/>
    <s v="awaiting_upload"/>
    <b v="0"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  <r>
    <m/>
    <m/>
    <m/>
    <m/>
    <m/>
    <m/>
    <x v="2"/>
    <m/>
    <m/>
    <x v="1"/>
    <m/>
    <m/>
    <m/>
    <m/>
    <m/>
    <x v="10"/>
    <m/>
    <m/>
    <m/>
    <m/>
    <x v="0"/>
    <m/>
    <m/>
    <x v="53"/>
    <m/>
    <m/>
    <m/>
    <m/>
    <m/>
    <m/>
    <m/>
    <m/>
    <m/>
    <m/>
    <m/>
    <m/>
    <m/>
    <m/>
    <x v="25"/>
    <m/>
    <m/>
    <m/>
    <m/>
    <m/>
    <m/>
    <m/>
    <m/>
    <m/>
    <m/>
    <m/>
    <m/>
    <x v="2"/>
    <m/>
    <m/>
    <m/>
    <x v="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2">
  <r>
    <d v="2026-03-03T09:00:48"/>
    <d v="2026-03-03T14:30:48"/>
    <d v="2026-03-10T05:00:16"/>
    <d v="2026-03-10T10:30:16"/>
    <d v="2026-03-05T15:06:23"/>
    <d v="2026-03-10T10:30:16"/>
    <x v="0"/>
    <n v="291"/>
    <n v="6923.8833000000004"/>
    <x v="0"/>
    <x v="0"/>
    <x v="0"/>
    <x v="0"/>
    <s v="Clinic"/>
    <s v="veejay_b@yahoo.com"/>
    <x v="0"/>
    <s v="Trivandrum"/>
    <s v="Go"/>
    <n v="54.15"/>
    <n v="100"/>
    <x v="0"/>
    <n v="0"/>
    <m/>
    <s v="HAH_OP"/>
    <m/>
    <m/>
    <n v="120"/>
    <s v="No"/>
    <n v="262"/>
    <s v="Normal"/>
    <s v="Achieved"/>
    <n v="0"/>
    <m/>
    <m/>
    <m/>
    <m/>
    <x v="0"/>
    <s v="Week11"/>
    <x v="0"/>
    <x v="0"/>
    <n v="100"/>
    <n v="0"/>
    <n v="0"/>
    <s v="Aneesh"/>
    <s v="Aneesh"/>
    <s v="Aneesh"/>
    <s v=""/>
    <s v="12825718Vijay Babu"/>
    <s v=""/>
    <s v=""/>
    <x v="0"/>
    <x v="0"/>
    <s v=""/>
    <n v="0"/>
    <x v="0"/>
    <x v="0"/>
    <x v="0"/>
    <b v="0"/>
    <s v="Others"/>
    <x v="0"/>
  </r>
  <r>
    <d v="2026-03-03T12:51:50"/>
    <d v="2026-03-03T18:21:50"/>
    <d v="2026-03-10T05:07:20"/>
    <d v="2026-03-10T10:37:20"/>
    <d v="2026-03-05T15:06:44"/>
    <d v="2026-03-10T10:37:20"/>
    <x v="0"/>
    <n v="891"/>
    <n v="6930.6"/>
    <x v="0"/>
    <x v="1"/>
    <x v="0"/>
    <x v="0"/>
    <s v="Clinic"/>
    <s v="veejay_b@yahoo.com"/>
    <x v="0"/>
    <s v="Trivandrum"/>
    <s v="Go"/>
    <n v="67.12"/>
    <n v="100"/>
    <x v="1"/>
    <n v="2"/>
    <m/>
    <s v="HAH_OP"/>
    <m/>
    <m/>
    <n v="120"/>
    <s v="No"/>
    <n v="297"/>
    <s v="Normal"/>
    <s v="Achieved"/>
    <n v="0"/>
    <m/>
    <m/>
    <m/>
    <m/>
    <x v="0"/>
    <s v="Week11"/>
    <x v="0"/>
    <x v="0"/>
    <n v="100"/>
    <n v="0"/>
    <n v="0"/>
    <s v="Aneesh"/>
    <s v="Aneesh"/>
    <s v="Aneesh"/>
    <s v="Minor"/>
    <s v="12825779Vijay Babu"/>
    <s v="Minor"/>
    <n v="0"/>
    <x v="0"/>
    <x v="0"/>
    <n v="1"/>
    <n v="2"/>
    <x v="0"/>
    <x v="0"/>
    <x v="0"/>
    <b v="0"/>
    <s v="Others"/>
    <x v="0"/>
  </r>
  <r>
    <d v="2026-03-03T11:23:24"/>
    <d v="2026-03-03T16:53:24"/>
    <d v="2026-03-10T05:33:47"/>
    <d v="2026-03-10T11:03:47"/>
    <d v="2026-03-05T15:06:50"/>
    <d v="2026-03-10T11:03:47"/>
    <x v="0"/>
    <n v="13269"/>
    <n v="6956.95"/>
    <x v="0"/>
    <x v="2"/>
    <x v="1"/>
    <x v="1"/>
    <s v="Clinic"/>
    <s v="veejay_b@yahoo.com"/>
    <x v="0"/>
    <s v="Trivandrum"/>
    <s v="Go"/>
    <n v="105.75"/>
    <n v="100"/>
    <x v="0"/>
    <n v="0"/>
    <m/>
    <s v="Generic Operative Report"/>
    <m/>
    <m/>
    <n v="360"/>
    <s v="No"/>
    <n v="486"/>
    <s v="Normal"/>
    <s v="Achieved"/>
    <n v="0"/>
    <m/>
    <m/>
    <m/>
    <m/>
    <x v="0"/>
    <s v="Week11"/>
    <x v="1"/>
    <x v="0"/>
    <n v="100"/>
    <n v="0"/>
    <n v="0"/>
    <s v="Aneesh"/>
    <s v="Aneesh"/>
    <s v="Aneesh"/>
    <s v=""/>
    <s v="12825745Vijay Babu"/>
    <s v=""/>
    <s v=""/>
    <x v="0"/>
    <x v="0"/>
    <s v=""/>
    <n v="0"/>
    <x v="0"/>
    <x v="0"/>
    <x v="0"/>
    <b v="0"/>
    <s v="AMC Group"/>
    <x v="0"/>
  </r>
  <r>
    <d v="2026-03-03T11:33:35"/>
    <d v="2026-03-03T17:03:35"/>
    <d v="2026-03-10T05:53:44"/>
    <d v="2026-03-10T11:23:44"/>
    <d v="2026-03-05T15:06:57"/>
    <d v="2026-03-10T11:23:44"/>
    <x v="0"/>
    <n v="2972"/>
    <n v="6976.7833000000001"/>
    <x v="0"/>
    <x v="3"/>
    <x v="1"/>
    <x v="1"/>
    <s v="Clinic"/>
    <s v="veejay_b@yahoo.com"/>
    <x v="0"/>
    <s v="Trivandrum"/>
    <s v="No Go"/>
    <n v="134.58000000000001"/>
    <n v="98"/>
    <x v="2"/>
    <n v="2"/>
    <m/>
    <s v="Generic Operative Report"/>
    <m/>
    <m/>
    <n v="360"/>
    <s v="No"/>
    <n v="600"/>
    <s v="Normal"/>
    <s v="Achieved"/>
    <n v="2"/>
    <m/>
    <m/>
    <m/>
    <m/>
    <x v="0"/>
    <s v="Week11"/>
    <x v="1"/>
    <x v="0"/>
    <n v="98.513895080992725"/>
    <n v="2"/>
    <n v="2"/>
    <s v="Aneesh"/>
    <s v="Aneesh"/>
    <s v="Aneesh"/>
    <s v="Major"/>
    <s v="12825757Vijay Babu"/>
    <s v="Major"/>
    <n v="1"/>
    <x v="0"/>
    <x v="1"/>
    <n v="1"/>
    <n v="2"/>
    <x v="0"/>
    <x v="0"/>
    <x v="0"/>
    <b v="1"/>
    <s v="AMC Group"/>
    <x v="0"/>
  </r>
  <r>
    <d v="2026-03-03T11:33:35"/>
    <d v="2026-03-03T17:03:35"/>
    <d v="2026-03-10T05:53:44"/>
    <d v="2026-03-10T11:23:44"/>
    <d v="2026-03-05T15:06:57"/>
    <d v="2026-03-10T11:23:44"/>
    <x v="0"/>
    <n v="2972"/>
    <n v="6976.7833000000001"/>
    <x v="0"/>
    <x v="3"/>
    <x v="1"/>
    <x v="1"/>
    <s v="Clinic"/>
    <s v="veejay_b@yahoo.com"/>
    <x v="0"/>
    <s v="Trivandrum"/>
    <s v="No Go"/>
    <n v="134.58000000000001"/>
    <n v="98"/>
    <x v="1"/>
    <n v="2"/>
    <m/>
    <s v="Generic Operative Report"/>
    <m/>
    <m/>
    <n v="360"/>
    <s v="No"/>
    <n v="600"/>
    <s v="Normal"/>
    <s v="Achieved"/>
    <n v="2"/>
    <m/>
    <m/>
    <m/>
    <m/>
    <x v="0"/>
    <s v="Week11"/>
    <x v="1"/>
    <x v="0"/>
    <n v="98.513895080992725"/>
    <n v="0"/>
    <n v="2"/>
    <s v="Aneesh"/>
    <s v="Aneesh"/>
    <s v="Aneesh"/>
    <s v="Minor"/>
    <s v="12825757Vijay Babu"/>
    <s v="Minor"/>
    <n v="0"/>
    <x v="0"/>
    <x v="0"/>
    <n v="1"/>
    <n v="2"/>
    <x v="0"/>
    <x v="0"/>
    <x v="0"/>
    <b v="0"/>
    <s v="AMC Group"/>
    <x v="0"/>
  </r>
  <r>
    <d v="2026-03-08T10:07:07"/>
    <d v="2026-03-08T15:37:07"/>
    <d v="2026-03-10T13:55:10"/>
    <d v="2026-03-10T19:25:10"/>
    <d v="2026-03-10T19:17:27"/>
    <d v="2026-03-10T19:25:10"/>
    <x v="1"/>
    <n v="456"/>
    <n v="7.7167000000000003"/>
    <x v="0"/>
    <x v="4"/>
    <x v="2"/>
    <x v="2"/>
    <s v="Clinic"/>
    <s v="sandeepskn88@gmail.com"/>
    <x v="1"/>
    <s v="Trivandrum"/>
    <s v="Go"/>
    <n v="75.849999999999994"/>
    <n v="100"/>
    <x v="0"/>
    <n v="0"/>
    <m/>
    <s v="Psychiatric Assessment"/>
    <m/>
    <m/>
    <n v="1440"/>
    <s v="No"/>
    <n v="231"/>
    <s v="Normal"/>
    <s v="Missed"/>
    <n v="0"/>
    <m/>
    <m/>
    <m/>
    <m/>
    <x v="0"/>
    <s v="Week11"/>
    <x v="2"/>
    <x v="0"/>
    <n v="100"/>
    <n v="0"/>
    <n v="0"/>
    <s v="Aneesh"/>
    <s v="Aneesh"/>
    <s v="Aneesh"/>
    <s v=""/>
    <s v="12827216Sandeep S"/>
    <s v=""/>
    <s v=""/>
    <x v="0"/>
    <x v="0"/>
    <s v=""/>
    <n v="0"/>
    <x v="1"/>
    <x v="0"/>
    <x v="0"/>
    <b v="0"/>
    <s v="Fundamental"/>
    <x v="0"/>
  </r>
  <r>
    <d v="2026-03-04T12:55:42"/>
    <d v="2026-03-04T18:25:42"/>
    <d v="2026-03-10T18:14:35"/>
    <d v="2026-03-10T23:44:35"/>
    <d v="2026-03-10T19:42:03"/>
    <d v="2026-03-10T23:44:35"/>
    <x v="0"/>
    <n v="822"/>
    <n v="242.5333"/>
    <x v="0"/>
    <x v="5"/>
    <x v="3"/>
    <x v="1"/>
    <s v="Clinic"/>
    <s v="ushaaaam40@gmail.com"/>
    <x v="2"/>
    <s v="Trivandrum"/>
    <s v="Go"/>
    <n v="24.6"/>
    <n v="100"/>
    <x v="1"/>
    <n v="1"/>
    <m/>
    <s v="ENT Clinic History and Physical"/>
    <m/>
    <m/>
    <n v="1440"/>
    <s v="No"/>
    <n v="193"/>
    <s v="Normal"/>
    <s v="Achieved"/>
    <n v="0"/>
    <m/>
    <m/>
    <m/>
    <m/>
    <x v="0"/>
    <s v="Week11"/>
    <x v="1"/>
    <x v="0"/>
    <n v="100"/>
    <n v="0"/>
    <n v="0"/>
    <s v="Aneesh"/>
    <s v="Aneesh"/>
    <s v="Aneesh"/>
    <s v="Minor"/>
    <s v="12826205Usha M"/>
    <s v="Minor"/>
    <n v="0"/>
    <x v="0"/>
    <x v="0"/>
    <n v="1"/>
    <n v="1"/>
    <x v="2"/>
    <x v="0"/>
    <x v="0"/>
    <b v="0"/>
    <s v="AMC Group"/>
    <x v="0"/>
  </r>
  <r>
    <d v="2026-03-06T14:50:22"/>
    <d v="2026-03-06T20:20:22"/>
    <d v="2026-03-10T18:19:57"/>
    <d v="2026-03-10T23:49:57"/>
    <d v="2026-03-10T12:10:42"/>
    <d v="2026-03-10T23:49:57"/>
    <x v="0"/>
    <n v="308"/>
    <n v="699.25"/>
    <x v="0"/>
    <x v="6"/>
    <x v="3"/>
    <x v="1"/>
    <s v="Clinic"/>
    <s v="veejay_b@yahoo.com"/>
    <x v="0"/>
    <s v="Trivandrum"/>
    <s v="Go"/>
    <n v="38.659999999999997"/>
    <n v="100"/>
    <x v="0"/>
    <n v="0"/>
    <m/>
    <s v="ENT Clinic Follow-Up"/>
    <m/>
    <m/>
    <n v="1440"/>
    <s v="No"/>
    <n v="367"/>
    <s v="Normal"/>
    <s v="Achieved"/>
    <n v="0"/>
    <m/>
    <m/>
    <m/>
    <m/>
    <x v="0"/>
    <s v="Week11"/>
    <x v="1"/>
    <x v="0"/>
    <n v="100"/>
    <n v="0"/>
    <n v="0"/>
    <s v="Aneesh"/>
    <s v="Aneesh"/>
    <s v="Aneesh"/>
    <s v=""/>
    <s v="12826941Vijay Babu"/>
    <s v=""/>
    <s v=""/>
    <x v="0"/>
    <x v="0"/>
    <s v=""/>
    <n v="0"/>
    <x v="0"/>
    <x v="0"/>
    <x v="0"/>
    <b v="0"/>
    <s v="AMC Group"/>
    <x v="0"/>
  </r>
  <r>
    <d v="2026-03-06T14:56:18"/>
    <d v="2026-03-06T20:26:18"/>
    <d v="2026-03-10T18:24:05"/>
    <d v="2026-03-10T23:54:05"/>
    <d v="2026-03-10T12:10:51"/>
    <d v="2026-03-10T23:54:05"/>
    <x v="0"/>
    <n v="232"/>
    <n v="703.23329999999999"/>
    <x v="0"/>
    <x v="7"/>
    <x v="3"/>
    <x v="1"/>
    <s v="Clinic"/>
    <s v="veejay_b@yahoo.com"/>
    <x v="0"/>
    <s v="Trivandrum"/>
    <s v="Go"/>
    <n v="29.15"/>
    <n v="100"/>
    <x v="1"/>
    <n v="2"/>
    <m/>
    <s v="ENT Clinic Follow-Up"/>
    <m/>
    <m/>
    <n v="1440"/>
    <s v="No"/>
    <n v="259"/>
    <s v="Normal"/>
    <s v="Achieved"/>
    <n v="0"/>
    <m/>
    <m/>
    <m/>
    <m/>
    <x v="0"/>
    <s v="Week11"/>
    <x v="1"/>
    <x v="0"/>
    <n v="100"/>
    <n v="0"/>
    <n v="0"/>
    <s v="Aneesh"/>
    <s v="Aneesh"/>
    <s v="Aneesh"/>
    <s v="Minor"/>
    <s v="12826946Vijay Babu"/>
    <s v="Minor"/>
    <n v="0"/>
    <x v="0"/>
    <x v="0"/>
    <n v="1"/>
    <n v="2"/>
    <x v="0"/>
    <x v="0"/>
    <x v="0"/>
    <b v="0"/>
    <s v="AMC Group"/>
    <x v="0"/>
  </r>
  <r>
    <d v="2026-03-06T13:16:47"/>
    <d v="2026-03-06T18:46:47"/>
    <d v="2026-03-10T18:37:14"/>
    <d v="2026-03-11T00:07:14"/>
    <d v="2026-03-11T00:00:16"/>
    <d v="2026-03-11T00:07:14"/>
    <x v="0"/>
    <n v="413"/>
    <n v="6.9667000000000003"/>
    <x v="0"/>
    <x v="8"/>
    <x v="3"/>
    <x v="1"/>
    <s v="Clinic"/>
    <s v="veejay_b@yahoo.com"/>
    <x v="0"/>
    <s v="Trivandrum"/>
    <s v="Go"/>
    <n v="3.51"/>
    <n v="100"/>
    <x v="0"/>
    <n v="0"/>
    <m/>
    <s v="ENT Clinic Follow-Up"/>
    <m/>
    <m/>
    <n v="1440"/>
    <s v="No"/>
    <n v="40"/>
    <s v="Normal"/>
    <s v="Achieved"/>
    <n v="0"/>
    <m/>
    <m/>
    <m/>
    <m/>
    <x v="1"/>
    <s v="Week11"/>
    <x v="1"/>
    <x v="0"/>
    <n v="100"/>
    <n v="0"/>
    <n v="0"/>
    <s v="Aneesh"/>
    <s v="Aneesh"/>
    <s v="Aneesh"/>
    <s v=""/>
    <s v="12826909Vijay Babu"/>
    <s v=""/>
    <s v=""/>
    <x v="0"/>
    <x v="0"/>
    <s v=""/>
    <n v="0"/>
    <x v="0"/>
    <x v="0"/>
    <x v="0"/>
    <b v="0"/>
    <s v="AMC Group"/>
    <x v="0"/>
  </r>
  <r>
    <d v="2026-03-05T08:11:15"/>
    <d v="2026-03-05T13:41:15"/>
    <d v="2026-03-11T06:33:03"/>
    <d v="2026-03-11T12:03:03"/>
    <d v="2026-03-10T12:49:29"/>
    <d v="2026-03-11T12:03:03"/>
    <x v="0"/>
    <n v="121"/>
    <n v="1393.5667000000001"/>
    <x v="0"/>
    <x v="9"/>
    <x v="4"/>
    <x v="0"/>
    <s v="Clinic"/>
    <s v="veejay_b@yahoo.com"/>
    <x v="0"/>
    <s v="Trivandrum"/>
    <s v="Go"/>
    <n v="11.66"/>
    <n v="100"/>
    <x v="0"/>
    <n v="0"/>
    <m/>
    <s v="HAH_MISC"/>
    <m/>
    <m/>
    <n v="1440"/>
    <s v="No"/>
    <n v="84"/>
    <s v="Normal"/>
    <s v="Achieved"/>
    <n v="0"/>
    <m/>
    <m/>
    <m/>
    <m/>
    <x v="1"/>
    <s v="Week11"/>
    <x v="0"/>
    <x v="0"/>
    <n v="100"/>
    <n v="0"/>
    <n v="0"/>
    <s v="Aneesh"/>
    <s v="Aneesh"/>
    <s v="Aneesh"/>
    <s v=""/>
    <s v="12826504Vijay Babu"/>
    <s v=""/>
    <s v=""/>
    <x v="0"/>
    <x v="0"/>
    <s v=""/>
    <n v="0"/>
    <x v="0"/>
    <x v="0"/>
    <x v="0"/>
    <b v="0"/>
    <s v="Others"/>
    <x v="0"/>
  </r>
  <r>
    <d v="2026-03-05T10:13:09"/>
    <d v="2026-03-05T15:43:09"/>
    <d v="2026-03-11T06:35:57"/>
    <d v="2026-03-11T12:05:57"/>
    <d v="2026-03-10T12:49:11"/>
    <d v="2026-03-11T12:05:57"/>
    <x v="0"/>
    <n v="164"/>
    <n v="1396.7666999999999"/>
    <x v="0"/>
    <x v="10"/>
    <x v="5"/>
    <x v="1"/>
    <s v="Clinic"/>
    <s v="veejay_b@yahoo.com"/>
    <x v="0"/>
    <s v="Trivandrum"/>
    <s v="Go"/>
    <n v="24.29"/>
    <n v="100"/>
    <x v="1"/>
    <n v="1"/>
    <m/>
    <s v="Generic Operative Report"/>
    <m/>
    <m/>
    <n v="360"/>
    <s v="No"/>
    <n v="95"/>
    <s v="Normal"/>
    <s v="Achieved"/>
    <n v="0"/>
    <m/>
    <m/>
    <m/>
    <m/>
    <x v="1"/>
    <s v="Week11"/>
    <x v="1"/>
    <x v="0"/>
    <n v="100"/>
    <n v="0"/>
    <n v="0"/>
    <s v="Aneesh"/>
    <s v="Aneesh"/>
    <s v="Aneesh"/>
    <s v="Minor"/>
    <s v="12826529Vijay Babu"/>
    <s v="Minor"/>
    <n v="0"/>
    <x v="0"/>
    <x v="0"/>
    <n v="1"/>
    <n v="1"/>
    <x v="0"/>
    <x v="0"/>
    <x v="0"/>
    <b v="0"/>
    <s v="AMC Group"/>
    <x v="0"/>
  </r>
  <r>
    <d v="2026-03-05T13:53:59"/>
    <d v="2026-03-05T19:23:59"/>
    <d v="2026-03-11T07:18:21"/>
    <d v="2026-03-11T12:48:21"/>
    <d v="2026-03-10T12:10:32"/>
    <d v="2026-03-11T12:48:21"/>
    <x v="0"/>
    <n v="4933"/>
    <n v="1477.8167000000001"/>
    <x v="0"/>
    <x v="11"/>
    <x v="6"/>
    <x v="3"/>
    <s v="Clinic"/>
    <s v="veejay_b@yahoo.com"/>
    <x v="0"/>
    <s v="Trivandrum"/>
    <s v="Go"/>
    <n v="147.6"/>
    <n v="99"/>
    <x v="3"/>
    <n v="1"/>
    <m/>
    <s v="PSYCHOLOGICAL REPORT"/>
    <m/>
    <m/>
    <n v="1440"/>
    <s v="No"/>
    <n v="817"/>
    <s v="Normal"/>
    <s v="Achieved"/>
    <n v="1"/>
    <m/>
    <m/>
    <m/>
    <m/>
    <x v="1"/>
    <s v="Week11"/>
    <x v="3"/>
    <x v="0"/>
    <n v="99.322493224932245"/>
    <n v="1"/>
    <n v="1"/>
    <s v="Harsh"/>
    <s v="Aneesh"/>
    <s v="Ankit"/>
    <s v="Major"/>
    <s v="12826615Vijay Babu"/>
    <s v="Major"/>
    <n v="1"/>
    <x v="0"/>
    <x v="1"/>
    <n v="1"/>
    <n v="1"/>
    <x v="3"/>
    <x v="1"/>
    <x v="0"/>
    <b v="1"/>
    <s v="Top 25"/>
    <x v="0"/>
  </r>
  <r>
    <d v="2026-03-05T13:53:59"/>
    <d v="2026-03-05T19:23:59"/>
    <d v="2026-03-11T07:18:21"/>
    <d v="2026-03-11T12:48:21"/>
    <d v="2026-03-10T12:10:32"/>
    <d v="2026-03-11T12:48:21"/>
    <x v="0"/>
    <n v="4933"/>
    <n v="1477.8167000000001"/>
    <x v="0"/>
    <x v="11"/>
    <x v="6"/>
    <x v="3"/>
    <s v="Clinic"/>
    <s v="veejay_b@yahoo.com"/>
    <x v="0"/>
    <s v="Trivandrum"/>
    <s v="Go"/>
    <n v="147.6"/>
    <n v="99"/>
    <x v="1"/>
    <n v="1"/>
    <m/>
    <s v="PSYCHOLOGICAL REPORT"/>
    <m/>
    <m/>
    <n v="1440"/>
    <s v="No"/>
    <n v="817"/>
    <s v="Normal"/>
    <s v="Achieved"/>
    <n v="1"/>
    <m/>
    <m/>
    <m/>
    <m/>
    <x v="1"/>
    <s v="Week11"/>
    <x v="3"/>
    <x v="0"/>
    <n v="99.322493224932245"/>
    <n v="0"/>
    <n v="1"/>
    <s v="Harsh"/>
    <s v="Aneesh"/>
    <s v="Ankit"/>
    <s v="Minor"/>
    <s v="12826615Vijay Babu"/>
    <s v="Minor"/>
    <n v="0"/>
    <x v="0"/>
    <x v="0"/>
    <n v="1"/>
    <n v="1"/>
    <x v="3"/>
    <x v="1"/>
    <x v="0"/>
    <b v="0"/>
    <s v="Top 25"/>
    <x v="0"/>
  </r>
  <r>
    <d v="2026-03-08T13:05:25"/>
    <d v="2026-03-08T18:35:25"/>
    <d v="2026-03-11T07:32:26"/>
    <d v="2026-03-11T13:02:26"/>
    <d v="2026-03-11T00:07:46"/>
    <d v="2026-03-11T13:02:26"/>
    <x v="0"/>
    <n v="647"/>
    <n v="774.66669999999999"/>
    <x v="0"/>
    <x v="12"/>
    <x v="7"/>
    <x v="1"/>
    <s v="Clinic"/>
    <s v="sandeepskn88@gmail.com"/>
    <x v="1"/>
    <s v="Trivandrum"/>
    <s v="Go"/>
    <n v="13.15"/>
    <n v="100"/>
    <x v="1"/>
    <n v="2"/>
    <m/>
    <s v="Discharge Summary"/>
    <m/>
    <m/>
    <n v="1440"/>
    <s v="No"/>
    <n v="1054"/>
    <s v="Normal"/>
    <s v="Achieved"/>
    <n v="0"/>
    <m/>
    <m/>
    <m/>
    <m/>
    <x v="1"/>
    <s v="Week11"/>
    <x v="1"/>
    <x v="0"/>
    <n v="100"/>
    <n v="0"/>
    <n v="0"/>
    <s v="Aneesh"/>
    <s v="Aneesh"/>
    <s v="Aneesh"/>
    <s v="Minor"/>
    <s v="12827217Sandeep S"/>
    <s v="Minor"/>
    <n v="0"/>
    <x v="0"/>
    <x v="0"/>
    <n v="1"/>
    <n v="2"/>
    <x v="1"/>
    <x v="0"/>
    <x v="0"/>
    <b v="0"/>
    <s v="AMC Group"/>
    <x v="0"/>
  </r>
  <r>
    <d v="2026-03-06T08:34:30"/>
    <d v="2026-03-06T14:04:30"/>
    <d v="2026-03-11T12:03:06"/>
    <d v="2026-03-11T17:33:06"/>
    <d v="2026-03-11T00:08:19"/>
    <d v="2026-03-11T17:33:06"/>
    <x v="0"/>
    <n v="331"/>
    <n v="1044.7833000000001"/>
    <x v="0"/>
    <x v="13"/>
    <x v="8"/>
    <x v="0"/>
    <s v="Clinic"/>
    <s v="veejay_b@yahoo.com"/>
    <x v="0"/>
    <s v="Trivandrum"/>
    <s v="Go"/>
    <n v="17.57"/>
    <n v="100"/>
    <x v="0"/>
    <n v="0"/>
    <m/>
    <s v="HAH_PFT"/>
    <m/>
    <m/>
    <n v="1440"/>
    <s v="No"/>
    <n v="132"/>
    <s v="Normal"/>
    <s v="Achieved"/>
    <n v="0"/>
    <m/>
    <m/>
    <m/>
    <m/>
    <x v="1"/>
    <s v="Week11"/>
    <x v="0"/>
    <x v="0"/>
    <n v="100"/>
    <n v="0"/>
    <n v="0"/>
    <s v="Aneesh"/>
    <s v="Aneesh"/>
    <s v="Aneesh"/>
    <s v=""/>
    <s v="12826879Vijay Babu"/>
    <s v=""/>
    <s v=""/>
    <x v="0"/>
    <x v="0"/>
    <s v=""/>
    <n v="0"/>
    <x v="0"/>
    <x v="0"/>
    <x v="0"/>
    <b v="0"/>
    <s v="Others"/>
    <x v="0"/>
  </r>
  <r>
    <d v="2026-03-09T12:06:56"/>
    <d v="2026-03-09T17:36:56"/>
    <d v="2026-03-11T12:14:37"/>
    <d v="2026-03-11T17:44:37"/>
    <d v="2026-03-11T00:08:50"/>
    <d v="2026-03-11T17:44:37"/>
    <x v="0"/>
    <n v="679"/>
    <n v="1055.7833000000001"/>
    <x v="0"/>
    <x v="14"/>
    <x v="9"/>
    <x v="4"/>
    <s v="Clinic"/>
    <s v="veejay_b@yahoo.com"/>
    <x v="0"/>
    <s v="Trivandrum"/>
    <s v="Go"/>
    <n v="81.08"/>
    <n v="99"/>
    <x v="4"/>
    <n v="1"/>
    <m/>
    <s v="Consultation"/>
    <m/>
    <m/>
    <n v="720"/>
    <s v="No"/>
    <n v="480"/>
    <s v="Normal"/>
    <s v="Achieved"/>
    <n v="2"/>
    <m/>
    <m/>
    <m/>
    <m/>
    <x v="1"/>
    <s v="Week11"/>
    <x v="4"/>
    <x v="0"/>
    <n v="98.766650222002966"/>
    <n v="1"/>
    <n v="1"/>
    <s v="Aneesh"/>
    <s v="Aneesh"/>
    <s v="Aneesh"/>
    <s v="Major"/>
    <s v="12827341Vijay Babu"/>
    <s v="Major"/>
    <n v="1"/>
    <x v="0"/>
    <x v="0"/>
    <n v="1"/>
    <n v="1"/>
    <x v="0"/>
    <x v="0"/>
    <x v="0"/>
    <b v="0"/>
    <s v="Top 25"/>
    <x v="0"/>
  </r>
  <r>
    <d v="2026-03-07T12:18:34"/>
    <d v="2026-03-07T17:48:34"/>
    <d v="2026-03-11T12:26:28"/>
    <d v="2026-03-11T17:56:28"/>
    <d v="2026-03-11T00:08:31"/>
    <d v="2026-03-11T17:56:28"/>
    <x v="0"/>
    <n v="114"/>
    <n v="1067.95"/>
    <x v="0"/>
    <x v="15"/>
    <x v="7"/>
    <x v="1"/>
    <s v="Clinic"/>
    <s v="veejay_b@yahoo.com"/>
    <x v="0"/>
    <s v="Trivandrum"/>
    <s v="Go"/>
    <n v="18.260000000000002"/>
    <n v="100"/>
    <x v="0"/>
    <n v="0"/>
    <m/>
    <s v="Procedure Note"/>
    <m/>
    <m/>
    <n v="360"/>
    <s v="No"/>
    <n v="75"/>
    <s v="Normal"/>
    <s v="Achieved"/>
    <n v="0"/>
    <m/>
    <m/>
    <m/>
    <m/>
    <x v="1"/>
    <s v="Week11"/>
    <x v="1"/>
    <x v="0"/>
    <n v="100"/>
    <n v="0"/>
    <n v="0"/>
    <s v="Aneesh"/>
    <s v="Aneesh"/>
    <s v="Aneesh"/>
    <s v=""/>
    <s v="12827152Vijay Babu"/>
    <s v=""/>
    <s v=""/>
    <x v="0"/>
    <x v="0"/>
    <s v=""/>
    <n v="0"/>
    <x v="0"/>
    <x v="0"/>
    <x v="0"/>
    <b v="0"/>
    <s v="AMC Group"/>
    <x v="0"/>
  </r>
  <r>
    <d v="2026-03-09T16:37:58"/>
    <d v="2026-03-09T22:07:58"/>
    <d v="2026-03-11T12:37:31"/>
    <d v="2026-03-11T18:07:31"/>
    <d v="2026-03-11T00:08:43"/>
    <d v="2026-03-11T18:07:31"/>
    <x v="0"/>
    <n v="947"/>
    <n v="1078.8"/>
    <x v="0"/>
    <x v="16"/>
    <x v="10"/>
    <x v="5"/>
    <s v="Clinic"/>
    <s v="ushaaaam40@gmail.com"/>
    <x v="2"/>
    <s v="Trivandrum"/>
    <s v="No Go"/>
    <n v="92.83"/>
    <n v="98"/>
    <x v="2"/>
    <n v="1"/>
    <m/>
    <s v="Operative Report"/>
    <m/>
    <m/>
    <n v="360"/>
    <s v="No"/>
    <n v="556"/>
    <s v="Normal"/>
    <s v="Achieved"/>
    <n v="0"/>
    <m/>
    <m/>
    <m/>
    <m/>
    <x v="1"/>
    <s v="Week11"/>
    <x v="5"/>
    <x v="1"/>
    <n v="97.845524076268447"/>
    <n v="1"/>
    <n v="2"/>
    <s v="Ankit"/>
    <s v="Aneesh"/>
    <s v="Aneesh"/>
    <s v="Major"/>
    <s v="12827412Usha M"/>
    <s v="Major"/>
    <n v="1"/>
    <x v="0"/>
    <x v="1"/>
    <n v="1"/>
    <n v="1"/>
    <x v="2"/>
    <x v="0"/>
    <x v="0"/>
    <b v="1"/>
    <s v="Others"/>
    <x v="0"/>
  </r>
  <r>
    <d v="2026-03-09T16:37:58"/>
    <d v="2026-03-09T22:07:58"/>
    <d v="2026-03-11T12:37:31"/>
    <d v="2026-03-11T18:07:31"/>
    <d v="2026-03-11T00:08:43"/>
    <d v="2026-03-11T18:07:31"/>
    <x v="0"/>
    <n v="947"/>
    <n v="1078.8"/>
    <x v="0"/>
    <x v="16"/>
    <x v="10"/>
    <x v="5"/>
    <s v="Clinic"/>
    <s v="ushaaaam40@gmail.com"/>
    <x v="2"/>
    <s v="Trivandrum"/>
    <s v="No Go"/>
    <n v="92.83"/>
    <n v="98"/>
    <x v="5"/>
    <n v="1"/>
    <m/>
    <s v="Operative Report"/>
    <m/>
    <m/>
    <n v="360"/>
    <s v="No"/>
    <n v="556"/>
    <s v="Normal"/>
    <s v="Achieved"/>
    <n v="0"/>
    <m/>
    <m/>
    <m/>
    <m/>
    <x v="1"/>
    <s v="Week11"/>
    <x v="5"/>
    <x v="1"/>
    <n v="97.845524076268447"/>
    <n v="1"/>
    <n v="2"/>
    <s v="Ankit"/>
    <s v="Aneesh"/>
    <s v="Aneesh"/>
    <s v="Major"/>
    <s v="12827412Usha M"/>
    <s v="Major"/>
    <n v="1"/>
    <x v="0"/>
    <x v="1"/>
    <n v="1"/>
    <n v="1"/>
    <x v="2"/>
    <x v="0"/>
    <x v="0"/>
    <b v="1"/>
    <s v="Others"/>
    <x v="0"/>
  </r>
  <r>
    <d v="2026-03-09T16:37:58"/>
    <d v="2026-03-09T22:07:58"/>
    <d v="2026-03-11T12:37:31"/>
    <d v="2026-03-11T18:07:31"/>
    <d v="2026-03-11T00:08:43"/>
    <d v="2026-03-11T18:07:31"/>
    <x v="0"/>
    <n v="947"/>
    <n v="1078.8"/>
    <x v="0"/>
    <x v="16"/>
    <x v="10"/>
    <x v="5"/>
    <s v="Clinic"/>
    <s v="ushaaaam40@gmail.com"/>
    <x v="2"/>
    <s v="Trivandrum"/>
    <s v="No Go"/>
    <n v="92.83"/>
    <n v="98"/>
    <x v="1"/>
    <n v="2"/>
    <m/>
    <s v="Operative Report"/>
    <m/>
    <m/>
    <n v="360"/>
    <s v="No"/>
    <n v="556"/>
    <s v="Normal"/>
    <s v="Achieved"/>
    <n v="0"/>
    <m/>
    <m/>
    <m/>
    <m/>
    <x v="1"/>
    <s v="Week11"/>
    <x v="5"/>
    <x v="1"/>
    <n v="97.845524076268447"/>
    <n v="0"/>
    <n v="2"/>
    <s v="Ankit"/>
    <s v="Aneesh"/>
    <s v="Aneesh"/>
    <s v="Minor"/>
    <s v="12827412Usha M"/>
    <s v="Minor"/>
    <n v="0"/>
    <x v="0"/>
    <x v="0"/>
    <n v="1"/>
    <n v="2"/>
    <x v="2"/>
    <x v="0"/>
    <x v="0"/>
    <b v="0"/>
    <s v="Others"/>
    <x v="0"/>
  </r>
  <r>
    <d v="2026-03-03T06:42:51"/>
    <d v="2026-03-03T12:12:51"/>
    <d v="2026-03-11T12:49:47"/>
    <d v="2026-03-11T18:19:47"/>
    <d v="2026-03-11T00:08:01"/>
    <d v="2026-03-11T18:19:47"/>
    <x v="0"/>
    <n v="2949"/>
    <n v="1091.7666999999999"/>
    <x v="0"/>
    <x v="17"/>
    <x v="11"/>
    <x v="4"/>
    <s v="Clinic"/>
    <s v="ushaaaam40@gmail.com"/>
    <x v="2"/>
    <s v="Trivandrum"/>
    <s v="Go"/>
    <n v="71.63"/>
    <n v="100"/>
    <x v="1"/>
    <n v="3"/>
    <m/>
    <s v="Operative Report"/>
    <m/>
    <m/>
    <n v="120"/>
    <s v="No"/>
    <n v="417"/>
    <s v="SSTAT"/>
    <s v="Missed"/>
    <n v="0"/>
    <m/>
    <m/>
    <m/>
    <m/>
    <x v="1"/>
    <s v="Week11"/>
    <x v="4"/>
    <x v="0"/>
    <n v="100"/>
    <n v="0"/>
    <n v="0"/>
    <s v="Aneesh"/>
    <s v="Aneesh"/>
    <s v="Aneesh"/>
    <s v="Minor"/>
    <s v="12825697Usha M"/>
    <s v="Minor"/>
    <n v="0"/>
    <x v="0"/>
    <x v="0"/>
    <n v="1"/>
    <n v="3"/>
    <x v="2"/>
    <x v="0"/>
    <x v="0"/>
    <b v="0"/>
    <s v="Top 25"/>
    <x v="0"/>
  </r>
  <r>
    <d v="2026-03-08T15:08:45"/>
    <d v="2026-03-08T20:38:45"/>
    <d v="2026-03-11T12:54:30"/>
    <d v="2026-03-11T18:24:30"/>
    <d v="2026-03-11T00:09:26"/>
    <d v="2026-03-11T18:24:30"/>
    <x v="0"/>
    <n v="261"/>
    <n v="1095.0667000000001"/>
    <x v="0"/>
    <x v="18"/>
    <x v="12"/>
    <x v="4"/>
    <s v="Clinic"/>
    <s v="ushaaaam40@gmail.com"/>
    <x v="2"/>
    <s v="Trivandrum"/>
    <s v="Go"/>
    <n v="17.57"/>
    <n v="100"/>
    <x v="0"/>
    <n v="0"/>
    <m/>
    <s v="Consultation"/>
    <m/>
    <m/>
    <n v="120"/>
    <s v="No"/>
    <n v="388"/>
    <s v="SSTAT"/>
    <s v="Missed"/>
    <n v="0"/>
    <m/>
    <m/>
    <m/>
    <m/>
    <x v="1"/>
    <s v="Week11"/>
    <x v="4"/>
    <x v="0"/>
    <n v="100"/>
    <n v="0"/>
    <n v="0"/>
    <s v="Aneesh"/>
    <s v="Aneesh"/>
    <s v="Aneesh"/>
    <s v=""/>
    <s v="12827219Usha M"/>
    <s v=""/>
    <s v=""/>
    <x v="0"/>
    <x v="0"/>
    <s v=""/>
    <n v="0"/>
    <x v="2"/>
    <x v="0"/>
    <x v="0"/>
    <b v="0"/>
    <s v="Top 25"/>
    <x v="0"/>
  </r>
  <r>
    <d v="2026-03-08T15:17:51"/>
    <d v="2026-03-08T20:47:51"/>
    <d v="2026-03-11T13:02:50"/>
    <d v="2026-03-11T18:32:50"/>
    <d v="2026-03-11T00:09:37"/>
    <d v="2026-03-11T18:32:50"/>
    <x v="0"/>
    <n v="472"/>
    <n v="1103.2166999999999"/>
    <x v="0"/>
    <x v="19"/>
    <x v="12"/>
    <x v="4"/>
    <s v="Clinic"/>
    <s v="ushaaaam40@gmail.com"/>
    <x v="2"/>
    <s v="Trivandrum"/>
    <s v="Go"/>
    <n v="11.94"/>
    <n v="100"/>
    <x v="0"/>
    <n v="0"/>
    <m/>
    <s v="Progress Note"/>
    <m/>
    <m/>
    <n v="120"/>
    <s v="No"/>
    <n v="323"/>
    <s v="SSTAT"/>
    <s v="Missed"/>
    <n v="0"/>
    <m/>
    <m/>
    <m/>
    <m/>
    <x v="1"/>
    <s v="Week11"/>
    <x v="4"/>
    <x v="0"/>
    <n v="100"/>
    <n v="0"/>
    <n v="0"/>
    <s v="Aneesh"/>
    <s v="Aneesh"/>
    <s v="Aneesh"/>
    <s v=""/>
    <s v="12827221Usha M"/>
    <s v=""/>
    <s v=""/>
    <x v="0"/>
    <x v="0"/>
    <s v=""/>
    <n v="0"/>
    <x v="2"/>
    <x v="0"/>
    <x v="0"/>
    <b v="0"/>
    <s v="Top 25"/>
    <x v="0"/>
  </r>
  <r>
    <d v="2026-03-08T15:23:56"/>
    <d v="2026-03-08T20:53:56"/>
    <d v="2026-03-11T13:07:49"/>
    <d v="2026-03-11T18:37:49"/>
    <d v="2026-03-11T00:09:32"/>
    <d v="2026-03-11T18:37:49"/>
    <x v="0"/>
    <n v="271"/>
    <n v="1108.2833000000001"/>
    <x v="0"/>
    <x v="20"/>
    <x v="12"/>
    <x v="4"/>
    <s v="Clinic"/>
    <s v="sandeepskn88@gmail.com"/>
    <x v="1"/>
    <s v="Trivandrum"/>
    <s v="Go"/>
    <n v="10.94"/>
    <n v="100"/>
    <x v="0"/>
    <n v="0"/>
    <m/>
    <s v="Progress Note"/>
    <m/>
    <m/>
    <n v="120"/>
    <s v="No"/>
    <n v="262"/>
    <s v="SSTAT"/>
    <s v="Missed"/>
    <n v="0"/>
    <m/>
    <m/>
    <m/>
    <m/>
    <x v="1"/>
    <s v="Week11"/>
    <x v="4"/>
    <x v="0"/>
    <n v="100"/>
    <n v="0"/>
    <n v="0"/>
    <s v="Aneesh"/>
    <s v="Aneesh"/>
    <s v="Aneesh"/>
    <s v=""/>
    <s v="12827222Sandeep S"/>
    <s v=""/>
    <s v=""/>
    <x v="0"/>
    <x v="0"/>
    <s v=""/>
    <n v="0"/>
    <x v="1"/>
    <x v="0"/>
    <x v="0"/>
    <b v="0"/>
    <s v="Top 25"/>
    <x v="0"/>
  </r>
  <r>
    <d v="2026-03-09T17:59:40"/>
    <d v="2026-03-09T23:29:40"/>
    <d v="2026-03-11T13:16:11"/>
    <d v="2026-03-11T18:46:11"/>
    <d v="2026-03-11T00:10:20"/>
    <d v="2026-03-11T18:46:11"/>
    <x v="0"/>
    <n v="461"/>
    <n v="1115.8499999999999"/>
    <x v="0"/>
    <x v="21"/>
    <x v="13"/>
    <x v="0"/>
    <s v="Clinic"/>
    <s v="sandeepskn88@gmail.com"/>
    <x v="1"/>
    <s v="Trivandrum"/>
    <s v="Go"/>
    <n v="19.170000000000002"/>
    <n v="100"/>
    <x v="0"/>
    <n v="0"/>
    <m/>
    <s v="HAH_SLEEP"/>
    <m/>
    <m/>
    <n v="1440"/>
    <s v="No"/>
    <n v="128"/>
    <s v="Normal"/>
    <s v="Achieved"/>
    <n v="0"/>
    <m/>
    <m/>
    <m/>
    <m/>
    <x v="1"/>
    <s v="Week11"/>
    <x v="0"/>
    <x v="0"/>
    <n v="100"/>
    <n v="0"/>
    <n v="0"/>
    <s v="Aneesh"/>
    <s v="Aneesh"/>
    <s v="Aneesh"/>
    <s v=""/>
    <s v="12827439Sandeep S"/>
    <s v=""/>
    <s v=""/>
    <x v="0"/>
    <x v="0"/>
    <s v=""/>
    <n v="0"/>
    <x v="1"/>
    <x v="0"/>
    <x v="0"/>
    <b v="0"/>
    <s v="Others"/>
    <x v="0"/>
  </r>
  <r>
    <d v="2026-03-11T13:05:22"/>
    <d v="2026-03-11T18:35:22"/>
    <d v="2026-03-12T06:37:33"/>
    <d v="2026-03-12T12:07:33"/>
    <d v="2026-03-12T09:55:01"/>
    <d v="2026-03-12T12:07:33"/>
    <x v="0"/>
    <n v="632"/>
    <n v="132.5333"/>
    <x v="0"/>
    <x v="22"/>
    <x v="3"/>
    <x v="1"/>
    <s v="Clinic"/>
    <s v="veejay_b@yahoo.com"/>
    <x v="0"/>
    <s v="Trivandrum"/>
    <s v="Go"/>
    <n v="42.2"/>
    <n v="99"/>
    <x v="3"/>
    <n v="1"/>
    <m/>
    <s v="ENT Clinic Follow-Up"/>
    <m/>
    <m/>
    <n v="1440"/>
    <s v="No"/>
    <n v="610"/>
    <s v="Normal"/>
    <s v="Achieved"/>
    <n v="0"/>
    <m/>
    <m/>
    <m/>
    <m/>
    <x v="2"/>
    <s v="Week11"/>
    <x v="1"/>
    <x v="1"/>
    <n v="97.630331753554501"/>
    <n v="1"/>
    <n v="1"/>
    <s v="Aneesh"/>
    <s v="Aneesh"/>
    <s v="Aneesh"/>
    <s v="Major"/>
    <s v="12828088Vijay Babu"/>
    <s v="Major"/>
    <n v="1"/>
    <x v="0"/>
    <x v="0"/>
    <n v="1"/>
    <n v="1"/>
    <x v="0"/>
    <x v="0"/>
    <x v="0"/>
    <b v="0"/>
    <s v="AMC Group"/>
    <x v="0"/>
  </r>
  <r>
    <d v="2026-03-11T09:59:43"/>
    <d v="2026-03-11T15:29:43"/>
    <d v="2026-03-12T07:37:08"/>
    <d v="2026-03-12T13:07:08"/>
    <d v="2026-03-12T09:55:18"/>
    <d v="2026-03-12T13:07:08"/>
    <x v="0"/>
    <n v="1426"/>
    <n v="191.83330000000001"/>
    <x v="0"/>
    <x v="23"/>
    <x v="14"/>
    <x v="1"/>
    <s v="Clinic"/>
    <s v="veejay_b@yahoo.com"/>
    <x v="0"/>
    <s v="Trivandrum"/>
    <s v="Go"/>
    <n v="87.82"/>
    <n v="99"/>
    <x v="2"/>
    <n v="1"/>
    <m/>
    <s v="Generic Operative Report"/>
    <m/>
    <m/>
    <n v="360"/>
    <s v="No"/>
    <n v="432"/>
    <s v="Normal"/>
    <s v="Achieved"/>
    <n v="0"/>
    <m/>
    <m/>
    <m/>
    <m/>
    <x v="2"/>
    <s v="Week11"/>
    <x v="1"/>
    <x v="0"/>
    <n v="98.861307219312224"/>
    <n v="1"/>
    <n v="1"/>
    <s v="Aneesh"/>
    <s v="Aneesh"/>
    <s v="Aneesh"/>
    <s v="Major"/>
    <s v="12828013Vijay Babu"/>
    <s v="Major"/>
    <n v="1"/>
    <x v="0"/>
    <x v="1"/>
    <n v="1"/>
    <n v="1"/>
    <x v="0"/>
    <x v="0"/>
    <x v="0"/>
    <b v="1"/>
    <s v="AMC Group"/>
    <x v="0"/>
  </r>
  <r>
    <d v="2026-03-11T09:59:43"/>
    <d v="2026-03-11T15:29:43"/>
    <d v="2026-03-12T07:37:08"/>
    <d v="2026-03-12T13:07:08"/>
    <d v="2026-03-12T09:55:18"/>
    <d v="2026-03-12T13:07:08"/>
    <x v="0"/>
    <n v="1426"/>
    <n v="191.83330000000001"/>
    <x v="0"/>
    <x v="23"/>
    <x v="14"/>
    <x v="1"/>
    <s v="Clinic"/>
    <s v="veejay_b@yahoo.com"/>
    <x v="0"/>
    <s v="Trivandrum"/>
    <s v="Go"/>
    <n v="87.82"/>
    <n v="99"/>
    <x v="1"/>
    <n v="5"/>
    <m/>
    <s v="Generic Operative Report"/>
    <m/>
    <m/>
    <n v="360"/>
    <s v="No"/>
    <n v="432"/>
    <s v="Normal"/>
    <s v="Achieved"/>
    <n v="0"/>
    <m/>
    <m/>
    <m/>
    <m/>
    <x v="2"/>
    <s v="Week11"/>
    <x v="1"/>
    <x v="0"/>
    <n v="98.861307219312224"/>
    <n v="0"/>
    <n v="1"/>
    <s v="Aneesh"/>
    <s v="Aneesh"/>
    <s v="Aneesh"/>
    <s v="Minor"/>
    <s v="12828013Vijay Babu"/>
    <s v="Minor"/>
    <n v="0"/>
    <x v="0"/>
    <x v="0"/>
    <n v="1"/>
    <n v="5"/>
    <x v="0"/>
    <x v="0"/>
    <x v="0"/>
    <b v="0"/>
    <s v="AMC Group"/>
    <x v="0"/>
  </r>
  <r>
    <d v="2026-03-11T13:23:38"/>
    <d v="2026-03-11T18:53:38"/>
    <d v="2026-03-12T07:54:19"/>
    <d v="2026-03-12T13:24:19"/>
    <d v="2026-03-12T09:55:27"/>
    <d v="2026-03-12T13:24:19"/>
    <x v="0"/>
    <n v="705"/>
    <n v="208.86670000000001"/>
    <x v="0"/>
    <x v="24"/>
    <x v="14"/>
    <x v="1"/>
    <s v="Clinic"/>
    <s v="veejay_b@yahoo.com"/>
    <x v="0"/>
    <s v="Trivandrum"/>
    <s v="Go"/>
    <n v="76.66"/>
    <n v="100"/>
    <x v="1"/>
    <n v="1"/>
    <m/>
    <s v="Generic Operative Report"/>
    <m/>
    <m/>
    <n v="360"/>
    <s v="No"/>
    <n v="367"/>
    <s v="Normal"/>
    <s v="Achieved"/>
    <n v="0"/>
    <m/>
    <m/>
    <m/>
    <m/>
    <x v="2"/>
    <s v="Week11"/>
    <x v="1"/>
    <x v="0"/>
    <n v="100"/>
    <n v="0"/>
    <n v="0"/>
    <s v="Aneesh"/>
    <s v="Aneesh"/>
    <s v="Aneesh"/>
    <s v="Minor"/>
    <s v="12828093Vijay Babu"/>
    <s v="Minor"/>
    <n v="0"/>
    <x v="0"/>
    <x v="0"/>
    <n v="1"/>
    <n v="1"/>
    <x v="0"/>
    <x v="0"/>
    <x v="0"/>
    <b v="0"/>
    <s v="AMC Group"/>
    <x v="0"/>
  </r>
  <r>
    <d v="2026-03-10T12:06:02"/>
    <d v="2026-03-10T17:36:02"/>
    <d v="2026-03-12T08:16:13"/>
    <d v="2026-03-12T13:46:13"/>
    <d v="2026-03-12T09:55:10"/>
    <d v="2026-03-12T13:46:13"/>
    <x v="0"/>
    <n v="1273"/>
    <n v="231.05"/>
    <x v="0"/>
    <x v="25"/>
    <x v="1"/>
    <x v="1"/>
    <s v="Clinic"/>
    <s v="veejay_b@yahoo.com"/>
    <x v="0"/>
    <s v="Trivandrum"/>
    <s v="No Go"/>
    <n v="118.14"/>
    <n v="98"/>
    <x v="2"/>
    <n v="2"/>
    <m/>
    <s v="Generic Operative Report"/>
    <m/>
    <m/>
    <n v="360"/>
    <s v="No"/>
    <n v="603"/>
    <s v="Normal"/>
    <s v="Achieved"/>
    <n v="0"/>
    <m/>
    <m/>
    <m/>
    <m/>
    <x v="2"/>
    <s v="Week11"/>
    <x v="1"/>
    <x v="1"/>
    <n v="98.307093279160313"/>
    <n v="2"/>
    <n v="2"/>
    <s v="Aneesh"/>
    <s v="Aneesh"/>
    <s v="Aneesh"/>
    <s v="Major"/>
    <s v="12827668Vijay Babu"/>
    <s v="Major"/>
    <n v="1"/>
    <x v="0"/>
    <x v="1"/>
    <n v="1"/>
    <n v="2"/>
    <x v="0"/>
    <x v="0"/>
    <x v="0"/>
    <b v="1"/>
    <s v="AMC Group"/>
    <x v="0"/>
  </r>
  <r>
    <d v="2026-03-10T12:06:02"/>
    <d v="2026-03-10T17:36:02"/>
    <d v="2026-03-12T08:16:13"/>
    <d v="2026-03-12T13:46:13"/>
    <d v="2026-03-12T09:55:10"/>
    <d v="2026-03-12T13:46:13"/>
    <x v="0"/>
    <n v="1273"/>
    <n v="231.05"/>
    <x v="0"/>
    <x v="25"/>
    <x v="1"/>
    <x v="1"/>
    <s v="Clinic"/>
    <s v="veejay_b@yahoo.com"/>
    <x v="0"/>
    <s v="Trivandrum"/>
    <s v="No Go"/>
    <n v="118.14"/>
    <n v="98"/>
    <x v="1"/>
    <n v="4"/>
    <m/>
    <s v="Generic Operative Report"/>
    <m/>
    <m/>
    <n v="360"/>
    <s v="No"/>
    <n v="603"/>
    <s v="Normal"/>
    <s v="Achieved"/>
    <n v="0"/>
    <m/>
    <m/>
    <m/>
    <m/>
    <x v="2"/>
    <s v="Week11"/>
    <x v="1"/>
    <x v="1"/>
    <n v="98.307093279160313"/>
    <n v="0"/>
    <n v="2"/>
    <s v="Aneesh"/>
    <s v="Aneesh"/>
    <s v="Aneesh"/>
    <s v="Minor"/>
    <s v="12827668Vijay Babu"/>
    <s v="Minor"/>
    <n v="0"/>
    <x v="0"/>
    <x v="0"/>
    <n v="1"/>
    <n v="4"/>
    <x v="0"/>
    <x v="0"/>
    <x v="0"/>
    <b v="0"/>
    <s v="AMC Group"/>
    <x v="0"/>
  </r>
  <r>
    <d v="2026-03-08T09:58:47"/>
    <d v="2026-03-08T15:28:47"/>
    <d v="2026-03-12T17:03:58"/>
    <d v="2026-03-12T22:33:58"/>
    <d v="2026-03-11T00:09:50"/>
    <d v="2026-03-12T22:33:58"/>
    <x v="0"/>
    <n v="4023"/>
    <n v="2784.1333"/>
    <x v="0"/>
    <x v="26"/>
    <x v="2"/>
    <x v="2"/>
    <s v="Clinic"/>
    <s v="sandeepskn88@gmail.com"/>
    <x v="1"/>
    <s v="Trivandrum"/>
    <s v="Go"/>
    <n v="61.45"/>
    <n v="100"/>
    <x v="1"/>
    <n v="1"/>
    <m/>
    <s v="Psychiatric Assessment"/>
    <m/>
    <m/>
    <n v="1440"/>
    <s v="No"/>
    <n v="192"/>
    <s v="Normal"/>
    <s v="Missed"/>
    <n v="0"/>
    <m/>
    <m/>
    <m/>
    <m/>
    <x v="2"/>
    <s v="Week11"/>
    <x v="2"/>
    <x v="0"/>
    <n v="100"/>
    <n v="0"/>
    <n v="0"/>
    <s v="Aneesh"/>
    <s v="Aneesh"/>
    <s v="Aneesh"/>
    <s v="Minor"/>
    <s v="12827215Sandeep S"/>
    <s v="Minor"/>
    <n v="0"/>
    <x v="0"/>
    <x v="0"/>
    <n v="1"/>
    <n v="1"/>
    <x v="1"/>
    <x v="0"/>
    <x v="0"/>
    <b v="0"/>
    <s v="Fundamental"/>
    <x v="0"/>
  </r>
  <r>
    <d v="2026-03-09T11:23:55"/>
    <d v="2026-03-09T16:53:55"/>
    <d v="2026-03-12T17:10:26"/>
    <d v="2026-03-12T22:40:26"/>
    <d v="2026-03-11T00:10:01"/>
    <d v="2026-03-12T22:40:26"/>
    <x v="0"/>
    <n v="346"/>
    <n v="2790.4167000000002"/>
    <x v="0"/>
    <x v="27"/>
    <x v="15"/>
    <x v="0"/>
    <s v="Clinic"/>
    <s v="ushaaaam40@gmail.com"/>
    <x v="2"/>
    <s v="Trivandrum"/>
    <s v="No Go"/>
    <n v="43.49"/>
    <n v="98"/>
    <x v="2"/>
    <n v="2"/>
    <m/>
    <s v="HAH_OP"/>
    <m/>
    <m/>
    <n v="120"/>
    <s v="No"/>
    <n v="218"/>
    <s v="Normal"/>
    <s v="Achieved"/>
    <n v="0"/>
    <m/>
    <m/>
    <m/>
    <m/>
    <x v="2"/>
    <s v="Week11"/>
    <x v="0"/>
    <x v="1"/>
    <n v="95.401241664750515"/>
    <n v="2"/>
    <n v="2"/>
    <s v="Aneesh"/>
    <s v="Aneesh"/>
    <s v="Aneesh"/>
    <s v="Major"/>
    <s v="12827329Usha M"/>
    <s v="Major"/>
    <n v="1"/>
    <x v="0"/>
    <x v="0"/>
    <n v="1"/>
    <n v="2"/>
    <x v="2"/>
    <x v="0"/>
    <x v="0"/>
    <b v="0"/>
    <s v="Others"/>
    <x v="0"/>
  </r>
  <r>
    <d v="2026-03-09T13:35:58"/>
    <d v="2026-03-09T19:05:58"/>
    <d v="2026-03-12T17:13:18"/>
    <d v="2026-03-12T22:43:18"/>
    <d v="2026-03-11T00:10:09"/>
    <d v="2026-03-12T22:43:18"/>
    <x v="0"/>
    <n v="155"/>
    <n v="2793.15"/>
    <x v="0"/>
    <x v="28"/>
    <x v="7"/>
    <x v="1"/>
    <s v="Clinic"/>
    <s v="veejay_b@yahoo.com"/>
    <x v="0"/>
    <s v="Trivandrum"/>
    <s v="Go"/>
    <n v="27.45"/>
    <n v="100"/>
    <x v="0"/>
    <n v="0"/>
    <m/>
    <s v="Generic Operative Report"/>
    <m/>
    <m/>
    <n v="360"/>
    <s v="No"/>
    <n v="105"/>
    <s v="Normal"/>
    <s v="Achieved"/>
    <n v="0"/>
    <m/>
    <m/>
    <m/>
    <m/>
    <x v="2"/>
    <s v="Week11"/>
    <x v="1"/>
    <x v="0"/>
    <n v="100"/>
    <n v="0"/>
    <n v="0"/>
    <s v="Aneesh"/>
    <s v="Aneesh"/>
    <s v="Aneesh"/>
    <s v=""/>
    <s v="12827359Vijay Babu"/>
    <s v=""/>
    <s v=""/>
    <x v="0"/>
    <x v="0"/>
    <s v=""/>
    <n v="0"/>
    <x v="0"/>
    <x v="0"/>
    <x v="0"/>
    <b v="0"/>
    <s v="AMC Group"/>
    <x v="0"/>
  </r>
  <r>
    <d v="2026-03-09T13:06:28"/>
    <d v="2026-03-09T18:36:28"/>
    <d v="2026-03-12T17:21:11"/>
    <d v="2026-03-12T22:51:11"/>
    <d v="2026-03-12T09:54:12"/>
    <d v="2026-03-12T22:51:11"/>
    <x v="0"/>
    <n v="190"/>
    <n v="776.98329999999999"/>
    <x v="0"/>
    <x v="29"/>
    <x v="16"/>
    <x v="5"/>
    <s v="Clinic"/>
    <s v="ushaaaam40@gmail.com"/>
    <x v="2"/>
    <s v="Trivandrum"/>
    <s v="Go"/>
    <n v="38.049999999999997"/>
    <n v="100"/>
    <x v="0"/>
    <n v="0"/>
    <m/>
    <s v="Operative Report"/>
    <m/>
    <m/>
    <n v="360"/>
    <s v="No"/>
    <n v="186"/>
    <s v="Normal"/>
    <s v="Achieved"/>
    <n v="0"/>
    <m/>
    <m/>
    <m/>
    <m/>
    <x v="2"/>
    <s v="Week11"/>
    <x v="5"/>
    <x v="0"/>
    <n v="100"/>
    <n v="0"/>
    <n v="0"/>
    <s v="Ankit"/>
    <s v="Aneesh"/>
    <s v="Aneesh"/>
    <s v=""/>
    <s v="12827338Usha M"/>
    <s v=""/>
    <s v=""/>
    <x v="0"/>
    <x v="0"/>
    <s v=""/>
    <n v="0"/>
    <x v="2"/>
    <x v="0"/>
    <x v="0"/>
    <b v="0"/>
    <s v="Others"/>
    <x v="0"/>
  </r>
  <r>
    <d v="2026-03-10T09:20:44"/>
    <d v="2026-03-10T14:50:44"/>
    <d v="2026-03-12T18:15:33"/>
    <d v="2026-03-12T23:45:33"/>
    <d v="2026-03-12T09:55:44"/>
    <d v="2026-03-12T23:45:33"/>
    <x v="0"/>
    <n v="233"/>
    <n v="829.81669999999997"/>
    <x v="0"/>
    <x v="30"/>
    <x v="17"/>
    <x v="6"/>
    <s v="Clinic"/>
    <s v="veejay_b@yahoo.com"/>
    <x v="0"/>
    <s v="Trivandrum"/>
    <s v="Go"/>
    <n v="51.65"/>
    <n v="100"/>
    <x v="0"/>
    <n v="0"/>
    <m/>
    <s v="Operative Report"/>
    <m/>
    <m/>
    <n v="720"/>
    <s v="No"/>
    <n v="200"/>
    <s v="Normal"/>
    <s v="Achieved"/>
    <n v="0"/>
    <m/>
    <m/>
    <m/>
    <m/>
    <x v="2"/>
    <s v="Week11"/>
    <x v="6"/>
    <x v="0"/>
    <n v="100"/>
    <n v="0"/>
    <n v="0"/>
    <s v="Ankit"/>
    <s v="Aneesh"/>
    <s v="Aneesh"/>
    <s v=""/>
    <s v="12827624Vijay Babu"/>
    <s v=""/>
    <s v=""/>
    <x v="0"/>
    <x v="0"/>
    <s v=""/>
    <n v="0"/>
    <x v="0"/>
    <x v="0"/>
    <x v="0"/>
    <b v="0"/>
    <s v="Others"/>
    <x v="0"/>
  </r>
  <r>
    <d v="2026-03-10T07:19:21"/>
    <d v="2026-03-10T12:49:21"/>
    <d v="2026-03-12T18:20:09"/>
    <d v="2026-03-12T23:50:09"/>
    <d v="2026-03-12T09:55:35"/>
    <d v="2026-03-12T23:50:09"/>
    <x v="0"/>
    <n v="265"/>
    <n v="834.56669999999997"/>
    <x v="0"/>
    <x v="31"/>
    <x v="2"/>
    <x v="2"/>
    <s v="Clinic"/>
    <s v="veejay_b@yahoo.com"/>
    <x v="0"/>
    <s v="Trivandrum"/>
    <s v="Go"/>
    <n v="67.819999999999993"/>
    <n v="100"/>
    <x v="0"/>
    <n v="0"/>
    <m/>
    <s v="Psychiatric Assessment"/>
    <m/>
    <m/>
    <n v="1440"/>
    <s v="No"/>
    <n v="202"/>
    <s v="Normal"/>
    <s v="Achieved"/>
    <n v="0"/>
    <m/>
    <m/>
    <m/>
    <m/>
    <x v="2"/>
    <s v="Week11"/>
    <x v="2"/>
    <x v="0"/>
    <n v="100"/>
    <n v="0"/>
    <n v="0"/>
    <s v="Aneesh"/>
    <s v="Aneesh"/>
    <s v="Aneesh"/>
    <s v=""/>
    <s v="12827641Vijay Babu"/>
    <s v=""/>
    <s v=""/>
    <x v="0"/>
    <x v="0"/>
    <s v=""/>
    <n v="0"/>
    <x v="0"/>
    <x v="0"/>
    <x v="0"/>
    <b v="0"/>
    <s v="Fundamental"/>
    <x v="0"/>
  </r>
  <r>
    <d v="2026-03-10T07:56:10"/>
    <d v="2026-03-10T13:26:10"/>
    <d v="2026-03-12T18:24:27"/>
    <d v="2026-03-12T23:54:27"/>
    <d v="2026-03-12T09:55:53"/>
    <d v="2026-03-12T23:54:27"/>
    <x v="0"/>
    <n v="2299"/>
    <n v="838.56669999999997"/>
    <x v="0"/>
    <x v="32"/>
    <x v="0"/>
    <x v="0"/>
    <s v="Clinic"/>
    <s v="veejay_b@yahoo.com"/>
    <x v="0"/>
    <s v="Trivandrum"/>
    <s v="Go"/>
    <n v="50.49"/>
    <n v="100"/>
    <x v="0"/>
    <n v="0"/>
    <m/>
    <s v="HAH_OP"/>
    <m/>
    <m/>
    <n v="120"/>
    <s v="No"/>
    <n v="209"/>
    <s v="Normal"/>
    <s v="Achieved"/>
    <n v="0"/>
    <m/>
    <m/>
    <m/>
    <m/>
    <x v="2"/>
    <s v="Week11"/>
    <x v="0"/>
    <x v="0"/>
    <n v="100"/>
    <n v="0"/>
    <n v="0"/>
    <s v="Aneesh"/>
    <s v="Aneesh"/>
    <s v="Aneesh"/>
    <s v=""/>
    <s v="12827613Vijay Babu"/>
    <s v=""/>
    <s v=""/>
    <x v="0"/>
    <x v="0"/>
    <s v=""/>
    <n v="0"/>
    <x v="0"/>
    <x v="0"/>
    <x v="0"/>
    <b v="0"/>
    <s v="Others"/>
    <x v="0"/>
  </r>
  <r>
    <d v="2026-03-08T21:19:50"/>
    <d v="2026-03-09T02:49:50"/>
    <d v="2026-03-12T18:29:52"/>
    <d v="2026-03-12T23:59:52"/>
    <d v="2026-03-11T00:09:56"/>
    <d v="2026-03-12T23:59:52"/>
    <x v="0"/>
    <n v="303"/>
    <n v="2869.9333000000001"/>
    <x v="0"/>
    <x v="33"/>
    <x v="18"/>
    <x v="2"/>
    <s v="Clinic"/>
    <s v="sandeepskn88@gmail.com"/>
    <x v="1"/>
    <s v="Trivandrum"/>
    <s v="Go"/>
    <n v="35.31"/>
    <n v="99"/>
    <x v="2"/>
    <n v="1"/>
    <m/>
    <s v="History &amp; Physical"/>
    <m/>
    <m/>
    <n v="480"/>
    <s v="No"/>
    <n v="174"/>
    <s v="Normal"/>
    <s v="Achieved"/>
    <n v="0"/>
    <m/>
    <m/>
    <m/>
    <m/>
    <x v="2"/>
    <s v="Week11"/>
    <x v="2"/>
    <x v="1"/>
    <n v="97.167941093174733"/>
    <n v="1"/>
    <n v="1"/>
    <s v="Aneesh"/>
    <s v="Aneesh"/>
    <s v="Aneesh"/>
    <s v="Major"/>
    <s v="12827252Sandeep S"/>
    <s v="Major"/>
    <n v="1"/>
    <x v="0"/>
    <x v="1"/>
    <n v="1"/>
    <n v="1"/>
    <x v="1"/>
    <x v="0"/>
    <x v="0"/>
    <b v="1"/>
    <s v="Fundamental"/>
    <x v="0"/>
  </r>
  <r>
    <d v="2026-03-08T21:19:50"/>
    <d v="2026-03-09T02:49:50"/>
    <d v="2026-03-12T18:29:52"/>
    <d v="2026-03-12T23:59:52"/>
    <d v="2026-03-11T00:09:56"/>
    <d v="2026-03-12T23:59:52"/>
    <x v="0"/>
    <n v="303"/>
    <n v="2869.9333000000001"/>
    <x v="0"/>
    <x v="33"/>
    <x v="18"/>
    <x v="2"/>
    <s v="Clinic"/>
    <s v="sandeepskn88@gmail.com"/>
    <x v="1"/>
    <s v="Trivandrum"/>
    <s v="Go"/>
    <n v="35.31"/>
    <n v="99"/>
    <x v="1"/>
    <n v="3"/>
    <m/>
    <s v="History &amp; Physical"/>
    <m/>
    <m/>
    <n v="480"/>
    <s v="No"/>
    <n v="174"/>
    <s v="Normal"/>
    <s v="Achieved"/>
    <n v="0"/>
    <m/>
    <m/>
    <m/>
    <m/>
    <x v="2"/>
    <s v="Week11"/>
    <x v="2"/>
    <x v="1"/>
    <n v="97.167941093174733"/>
    <n v="0"/>
    <n v="1"/>
    <s v="Aneesh"/>
    <s v="Aneesh"/>
    <s v="Aneesh"/>
    <s v="Minor"/>
    <s v="12827252Sandeep S"/>
    <s v="Minor"/>
    <n v="0"/>
    <x v="0"/>
    <x v="0"/>
    <n v="1"/>
    <n v="3"/>
    <x v="1"/>
    <x v="0"/>
    <x v="0"/>
    <b v="0"/>
    <s v="Fundamental"/>
    <x v="0"/>
  </r>
  <r>
    <d v="2026-03-05T07:54:43"/>
    <d v="2026-03-05T13:24:43"/>
    <d v="2026-03-12T19:32:40"/>
    <d v="2026-03-13T01:02:40"/>
    <d v="2026-03-11T00:08:07"/>
    <d v="2026-03-13T01:02:40"/>
    <x v="0"/>
    <n v="250"/>
    <n v="2934.55"/>
    <x v="0"/>
    <x v="34"/>
    <x v="5"/>
    <x v="1"/>
    <s v="Clinic"/>
    <s v="ushaaaam40@gmail.com"/>
    <x v="2"/>
    <s v="Trivandrum"/>
    <s v="No Go"/>
    <n v="24.2"/>
    <n v="98"/>
    <x v="2"/>
    <n v="2"/>
    <m/>
    <s v="Discharge Summary"/>
    <m/>
    <m/>
    <n v="1440"/>
    <s v="No"/>
    <n v="158"/>
    <s v="Normal"/>
    <s v="Achieved"/>
    <n v="0"/>
    <m/>
    <m/>
    <m/>
    <m/>
    <x v="3"/>
    <s v="Week11"/>
    <x v="1"/>
    <x v="1"/>
    <n v="91.735537190082638"/>
    <n v="2"/>
    <n v="2"/>
    <s v="Aneesh"/>
    <s v="Aneesh"/>
    <s v="Aneesh"/>
    <s v="Major"/>
    <s v="12826490Usha M"/>
    <s v="Major"/>
    <n v="1"/>
    <x v="0"/>
    <x v="1"/>
    <n v="1"/>
    <n v="2"/>
    <x v="2"/>
    <x v="0"/>
    <x v="0"/>
    <b v="1"/>
    <s v="AMC Group"/>
    <x v="0"/>
  </r>
  <r>
    <d v="2026-03-05T07:54:43"/>
    <d v="2026-03-05T13:24:43"/>
    <d v="2026-03-12T19:32:40"/>
    <d v="2026-03-13T01:02:40"/>
    <d v="2026-03-11T00:08:07"/>
    <d v="2026-03-13T01:02:40"/>
    <x v="0"/>
    <n v="250"/>
    <n v="2934.55"/>
    <x v="0"/>
    <x v="34"/>
    <x v="5"/>
    <x v="1"/>
    <s v="Clinic"/>
    <s v="ushaaaam40@gmail.com"/>
    <x v="2"/>
    <s v="Trivandrum"/>
    <s v="No Go"/>
    <n v="24.2"/>
    <n v="98"/>
    <x v="1"/>
    <n v="2"/>
    <m/>
    <s v="Discharge Summary"/>
    <m/>
    <m/>
    <n v="1440"/>
    <s v="No"/>
    <n v="158"/>
    <s v="Normal"/>
    <s v="Achieved"/>
    <n v="0"/>
    <m/>
    <m/>
    <m/>
    <m/>
    <x v="3"/>
    <s v="Week11"/>
    <x v="1"/>
    <x v="1"/>
    <n v="91.735537190082638"/>
    <n v="0"/>
    <n v="2"/>
    <s v="Aneesh"/>
    <s v="Aneesh"/>
    <s v="Aneesh"/>
    <s v="Minor"/>
    <s v="12826490Usha M"/>
    <s v="Minor"/>
    <n v="0"/>
    <x v="0"/>
    <x v="0"/>
    <n v="1"/>
    <n v="2"/>
    <x v="2"/>
    <x v="0"/>
    <x v="0"/>
    <b v="0"/>
    <s v="AMC Group"/>
    <x v="0"/>
  </r>
  <r>
    <d v="2026-03-09T09:21:35"/>
    <d v="2026-03-09T14:51:35"/>
    <d v="2026-03-12T19:38:52"/>
    <d v="2026-03-13T01:08:52"/>
    <d v="2026-03-11T00:10:14"/>
    <d v="2026-03-13T01:08:52"/>
    <x v="0"/>
    <n v="358"/>
    <n v="2938.6333"/>
    <x v="0"/>
    <x v="35"/>
    <x v="19"/>
    <x v="1"/>
    <s v="Clinic"/>
    <s v="veejay_b@yahoo.com"/>
    <x v="0"/>
    <s v="Trivandrum"/>
    <s v="Go"/>
    <n v="17.920000000000002"/>
    <n v="100"/>
    <x v="1"/>
    <n v="2"/>
    <m/>
    <s v="STRESS TEST REPORT"/>
    <m/>
    <m/>
    <n v="1440"/>
    <s v="No"/>
    <n v="159"/>
    <s v="Normal"/>
    <s v="Achieved"/>
    <n v="1"/>
    <m/>
    <m/>
    <m/>
    <m/>
    <x v="3"/>
    <s v="Week11"/>
    <x v="1"/>
    <x v="0"/>
    <n v="100"/>
    <n v="0"/>
    <n v="0"/>
    <s v="Aneesh"/>
    <s v="Aneesh"/>
    <s v="Aneesh"/>
    <s v="Minor"/>
    <s v="12827283Vijay Babu"/>
    <s v="Minor"/>
    <n v="0"/>
    <x v="0"/>
    <x v="0"/>
    <n v="1"/>
    <n v="2"/>
    <x v="0"/>
    <x v="0"/>
    <x v="0"/>
    <b v="0"/>
    <s v="AMC Group"/>
    <x v="0"/>
  </r>
  <r>
    <d v="2026-03-07T14:19:20"/>
    <d v="2026-03-07T19:49:20"/>
    <d v="2026-03-12T19:42:51"/>
    <d v="2026-03-13T01:12:51"/>
    <d v="2026-03-11T00:09:43"/>
    <d v="2026-03-13T01:12:51"/>
    <x v="0"/>
    <n v="227"/>
    <n v="2943.1333"/>
    <x v="0"/>
    <x v="36"/>
    <x v="7"/>
    <x v="1"/>
    <s v="Clinic"/>
    <s v="veejay_b@yahoo.com"/>
    <x v="0"/>
    <s v="Trivandrum"/>
    <s v="Go"/>
    <n v="37.340000000000003"/>
    <n v="100"/>
    <x v="1"/>
    <n v="1"/>
    <m/>
    <s v="History and Physical"/>
    <m/>
    <m/>
    <n v="360"/>
    <s v="No"/>
    <n v="174"/>
    <s v="Normal"/>
    <s v="Achieved"/>
    <n v="0"/>
    <m/>
    <m/>
    <m/>
    <m/>
    <x v="3"/>
    <s v="Week11"/>
    <x v="1"/>
    <x v="0"/>
    <n v="100"/>
    <n v="0"/>
    <n v="0"/>
    <s v="Aneesh"/>
    <s v="Aneesh"/>
    <s v="Aneesh"/>
    <s v="Minor"/>
    <s v="12827157Vijay Babu"/>
    <s v="Minor"/>
    <n v="0"/>
    <x v="0"/>
    <x v="0"/>
    <n v="1"/>
    <n v="1"/>
    <x v="0"/>
    <x v="0"/>
    <x v="0"/>
    <b v="0"/>
    <s v="AMC Group"/>
    <x v="0"/>
  </r>
  <r>
    <d v="2026-03-05T12:54:03"/>
    <d v="2026-03-05T18:24:03"/>
    <d v="2026-03-12T19:59:25"/>
    <d v="2026-03-13T01:29:25"/>
    <d v="2026-03-10T12:49:18"/>
    <d v="2026-03-13T01:29:25"/>
    <x v="0"/>
    <n v="178"/>
    <n v="3640.1167"/>
    <x v="0"/>
    <x v="37"/>
    <x v="20"/>
    <x v="7"/>
    <s v="NursingHome"/>
    <s v="veejay_b@yahoo.com"/>
    <x v="0"/>
    <s v="Trivandrum"/>
    <s v="Go"/>
    <n v="34.85"/>
    <n v="100"/>
    <x v="0"/>
    <n v="0"/>
    <m/>
    <s v="Progress Note (Nursing Home)"/>
    <m/>
    <m/>
    <n v="720"/>
    <s v="Yes"/>
    <n v="156"/>
    <s v="Normal"/>
    <s v="Achieved"/>
    <n v="0"/>
    <m/>
    <m/>
    <m/>
    <m/>
    <x v="3"/>
    <s v="Week11"/>
    <x v="7"/>
    <x v="0"/>
    <n v="100"/>
    <n v="0"/>
    <n v="0"/>
    <s v="Aneesh"/>
    <s v="Aneesh"/>
    <s v="Aneesh"/>
    <s v=""/>
    <s v="12826577Vijay Babu"/>
    <s v=""/>
    <s v=""/>
    <x v="0"/>
    <x v="0"/>
    <s v=""/>
    <n v="0"/>
    <x v="4"/>
    <x v="1"/>
    <x v="0"/>
    <b v="0"/>
    <s v="Others"/>
    <x v="0"/>
  </r>
  <r>
    <d v="2026-03-03T21:38:50"/>
    <d v="2026-03-04T03:08:50"/>
    <d v="2026-03-12T20:03:14"/>
    <d v="2026-03-13T01:33:14"/>
    <d v="2026-03-10T19:42:11"/>
    <d v="2026-03-13T01:33:14"/>
    <x v="0"/>
    <n v="5502"/>
    <n v="3231.05"/>
    <x v="0"/>
    <x v="38"/>
    <x v="21"/>
    <x v="1"/>
    <s v="Clinic"/>
    <s v="sandeepskn88@gmail.com"/>
    <x v="1"/>
    <s v="Trivandrum"/>
    <s v="Go"/>
    <n v="27.74"/>
    <n v="100"/>
    <x v="0"/>
    <n v="0"/>
    <m/>
    <s v="SLEEP STUDY"/>
    <m/>
    <m/>
    <n v="1440"/>
    <s v="No"/>
    <n v="191"/>
    <s v="Normal"/>
    <s v="Achieved"/>
    <n v="0"/>
    <m/>
    <m/>
    <m/>
    <m/>
    <x v="3"/>
    <s v="Week11"/>
    <x v="1"/>
    <x v="0"/>
    <n v="100"/>
    <n v="0"/>
    <n v="0"/>
    <s v="Aneesh"/>
    <s v="Aneesh"/>
    <s v="Aneesh"/>
    <s v=""/>
    <s v="12826021Sandeep S"/>
    <s v=""/>
    <s v=""/>
    <x v="0"/>
    <x v="0"/>
    <s v=""/>
    <n v="0"/>
    <x v="1"/>
    <x v="0"/>
    <x v="0"/>
    <b v="0"/>
    <s v="AMC Group"/>
    <x v="0"/>
  </r>
  <r>
    <d v="2026-03-04T14:49:06"/>
    <d v="2026-03-04T20:19:06"/>
    <d v="2026-03-12T20:08:23"/>
    <d v="2026-03-13T01:38:23"/>
    <d v="2026-03-10T19:42:21"/>
    <d v="2026-03-13T01:38:23"/>
    <x v="0"/>
    <n v="4731"/>
    <n v="3236.0333000000001"/>
    <x v="0"/>
    <x v="39"/>
    <x v="21"/>
    <x v="1"/>
    <s v="Clinic"/>
    <s v="sandeepskn88@gmail.com"/>
    <x v="1"/>
    <s v="Trivandrum"/>
    <s v="Go"/>
    <n v="30.75"/>
    <n v="100"/>
    <x v="0"/>
    <n v="0"/>
    <m/>
    <s v="SLEEP STUDY"/>
    <m/>
    <m/>
    <n v="1440"/>
    <s v="No"/>
    <n v="190"/>
    <s v="Normal"/>
    <s v="Achieved"/>
    <n v="0"/>
    <m/>
    <m/>
    <m/>
    <m/>
    <x v="3"/>
    <s v="Week11"/>
    <x v="1"/>
    <x v="0"/>
    <n v="100"/>
    <n v="0"/>
    <n v="0"/>
    <s v="Aneesh"/>
    <s v="Aneesh"/>
    <s v="Aneesh"/>
    <s v=""/>
    <s v="12826278Sandeep S"/>
    <s v=""/>
    <s v=""/>
    <x v="0"/>
    <x v="0"/>
    <s v=""/>
    <n v="0"/>
    <x v="1"/>
    <x v="0"/>
    <x v="0"/>
    <b v="0"/>
    <s v="AMC Group"/>
    <x v="0"/>
  </r>
  <r>
    <d v="2026-03-06T13:25:26"/>
    <d v="2026-03-06T18:55:26"/>
    <d v="2026-03-12T20:11:08"/>
    <d v="2026-03-13T01:41:08"/>
    <d v="2026-03-11T00:08:25"/>
    <d v="2026-03-13T01:41:08"/>
    <x v="0"/>
    <n v="145"/>
    <n v="2972.7166999999999"/>
    <x v="0"/>
    <x v="40"/>
    <x v="21"/>
    <x v="1"/>
    <s v="Clinic"/>
    <s v="veejay_b@yahoo.com"/>
    <x v="0"/>
    <s v="Trivandrum"/>
    <s v="Go"/>
    <n v="22.8"/>
    <n v="100"/>
    <x v="0"/>
    <n v="0"/>
    <m/>
    <s v="SLEEP STUDY"/>
    <m/>
    <m/>
    <n v="1440"/>
    <s v="No"/>
    <n v="115"/>
    <s v="Normal"/>
    <s v="Achieved"/>
    <n v="0"/>
    <m/>
    <m/>
    <m/>
    <m/>
    <x v="3"/>
    <s v="Week11"/>
    <x v="1"/>
    <x v="0"/>
    <n v="100"/>
    <n v="0"/>
    <n v="0"/>
    <s v="Aneesh"/>
    <s v="Aneesh"/>
    <s v="Aneesh"/>
    <s v=""/>
    <s v="12826910Vijay Babu"/>
    <s v=""/>
    <s v=""/>
    <x v="0"/>
    <x v="0"/>
    <s v=""/>
    <n v="0"/>
    <x v="0"/>
    <x v="0"/>
    <x v="0"/>
    <b v="0"/>
    <s v="AMC Group"/>
    <x v="0"/>
  </r>
  <r>
    <d v="2026-03-11T10:53:55"/>
    <d v="2026-03-11T16:23:55"/>
    <d v="2026-03-13T02:39:05"/>
    <d v="2026-03-13T08:09:05"/>
    <d v="2026-03-13T01:41:46"/>
    <d v="2026-03-13T08:09:05"/>
    <x v="0"/>
    <n v="381"/>
    <n v="387.31670000000003"/>
    <x v="0"/>
    <x v="41"/>
    <x v="14"/>
    <x v="1"/>
    <s v="Clinic"/>
    <s v="ushaaaam40@gmail.com"/>
    <x v="2"/>
    <s v="Trivandrum"/>
    <s v="Go"/>
    <n v="51.11"/>
    <n v="100"/>
    <x v="1"/>
    <n v="1"/>
    <m/>
    <s v="Generic Operative Report"/>
    <m/>
    <m/>
    <n v="360"/>
    <s v="No"/>
    <n v="204"/>
    <s v="Normal"/>
    <s v="Achieved"/>
    <n v="0"/>
    <m/>
    <m/>
    <m/>
    <m/>
    <x v="3"/>
    <s v="Week11"/>
    <x v="1"/>
    <x v="0"/>
    <n v="100"/>
    <n v="0"/>
    <n v="0"/>
    <s v="Aneesh"/>
    <s v="Aneesh"/>
    <s v="Aneesh"/>
    <s v="Minor"/>
    <s v="12828038Usha M"/>
    <s v="Minor"/>
    <n v="0"/>
    <x v="0"/>
    <x v="0"/>
    <n v="1"/>
    <n v="1"/>
    <x v="2"/>
    <x v="0"/>
    <x v="0"/>
    <b v="0"/>
    <s v="AMC Group"/>
    <x v="0"/>
  </r>
  <r>
    <d v="2026-03-10T15:58:06"/>
    <d v="2026-03-10T21:28:06"/>
    <d v="2026-03-13T02:59:31"/>
    <d v="2026-03-13T08:29:31"/>
    <d v="2026-03-13T01:33:23"/>
    <d v="2026-03-13T08:29:31"/>
    <x v="0"/>
    <n v="1490"/>
    <n v="416.13330000000002"/>
    <x v="0"/>
    <x v="42"/>
    <x v="22"/>
    <x v="8"/>
    <s v="Clinic"/>
    <s v="sivasankari.a@cardioscribes.com"/>
    <x v="3"/>
    <s v="Chennai"/>
    <s v="Go"/>
    <n v="155.22999999999999"/>
    <n v="100"/>
    <x v="1"/>
    <n v="2"/>
    <m/>
    <s v="Integrated Care Unit_Progress Note_3"/>
    <m/>
    <m/>
    <n v="1440"/>
    <s v="No"/>
    <n v="1269"/>
    <s v="Normal"/>
    <s v="Achieved"/>
    <n v="0"/>
    <m/>
    <m/>
    <m/>
    <m/>
    <x v="3"/>
    <s v="Week11"/>
    <x v="8"/>
    <x v="0"/>
    <n v="100"/>
    <n v="0"/>
    <n v="0"/>
    <s v="Aneesh"/>
    <s v="Aneesh"/>
    <s v="Aneesh"/>
    <s v="Minor"/>
    <s v="12827745Sivasankari A"/>
    <s v="Minor"/>
    <n v="0"/>
    <x v="0"/>
    <x v="0"/>
    <n v="1"/>
    <n v="2"/>
    <x v="5"/>
    <x v="0"/>
    <x v="0"/>
    <b v="0"/>
    <s v="Top 25"/>
    <x v="1"/>
  </r>
  <r>
    <d v="2026-03-06T13:32:46"/>
    <d v="2026-03-06T19:02:46"/>
    <d v="2026-03-13T05:06:56"/>
    <d v="2026-03-13T10:36:56"/>
    <d v="2026-03-13T01:41:30"/>
    <d v="2026-03-13T10:36:56"/>
    <x v="0"/>
    <n v="303"/>
    <n v="535.43330000000003"/>
    <x v="0"/>
    <x v="43"/>
    <x v="21"/>
    <x v="1"/>
    <s v="Clinic"/>
    <s v="sandeepskn88@gmail.com"/>
    <x v="1"/>
    <s v="Trivandrum"/>
    <s v="Go"/>
    <n v="34.31"/>
    <n v="100"/>
    <x v="1"/>
    <n v="1"/>
    <m/>
    <s v="SLEEP STUDY"/>
    <m/>
    <m/>
    <n v="1440"/>
    <s v="No"/>
    <n v="187"/>
    <s v="Normal"/>
    <s v="Achieved"/>
    <n v="0"/>
    <m/>
    <m/>
    <m/>
    <m/>
    <x v="3"/>
    <s v="Week11"/>
    <x v="1"/>
    <x v="0"/>
    <n v="100"/>
    <n v="0"/>
    <n v="0"/>
    <s v="Aneesh"/>
    <s v="Aneesh"/>
    <s v="Aneesh"/>
    <s v="Minor"/>
    <s v="12826912Sandeep S"/>
    <s v="Minor"/>
    <n v="0"/>
    <x v="0"/>
    <x v="0"/>
    <n v="1"/>
    <n v="1"/>
    <x v="1"/>
    <x v="0"/>
    <x v="0"/>
    <b v="0"/>
    <s v="AMC Group"/>
    <x v="0"/>
  </r>
  <r>
    <d v="2026-03-06T22:45:05"/>
    <d v="2026-03-07T04:15:05"/>
    <d v="2026-03-13T11:30:37"/>
    <d v="2026-03-13T17:00:37"/>
    <d v="2026-03-13T01:41:17"/>
    <d v="2026-03-13T17:00:37"/>
    <x v="0"/>
    <n v="292"/>
    <n v="919.33330000000001"/>
    <x v="0"/>
    <x v="44"/>
    <x v="18"/>
    <x v="2"/>
    <s v="Clinic"/>
    <s v="sandeepskn88@gmail.com"/>
    <x v="1"/>
    <s v="Trivandrum"/>
    <s v="Go"/>
    <n v="36.25"/>
    <n v="100"/>
    <x v="0"/>
    <n v="0"/>
    <m/>
    <s v="History &amp; Physical"/>
    <m/>
    <m/>
    <n v="480"/>
    <s v="No"/>
    <n v="196"/>
    <s v="Normal"/>
    <s v="Achieved"/>
    <n v="0"/>
    <m/>
    <m/>
    <m/>
    <m/>
    <x v="3"/>
    <s v="Week11"/>
    <x v="2"/>
    <x v="0"/>
    <n v="100"/>
    <n v="0"/>
    <n v="0"/>
    <s v="Aneesh"/>
    <s v="Aneesh"/>
    <s v="Aneesh"/>
    <s v=""/>
    <s v="12827117Sandeep S"/>
    <s v=""/>
    <s v=""/>
    <x v="0"/>
    <x v="0"/>
    <s v=""/>
    <n v="0"/>
    <x v="1"/>
    <x v="0"/>
    <x v="0"/>
    <b v="0"/>
    <s v="Fundamental"/>
    <x v="0"/>
  </r>
  <r>
    <d v="2026-03-10T17:30:23"/>
    <d v="2026-03-10T23:00:23"/>
    <d v="2026-03-13T11:48:35"/>
    <d v="2026-03-13T17:18:35"/>
    <d v="2026-03-13T01:33:39"/>
    <d v="2026-03-13T17:18:35"/>
    <x v="0"/>
    <n v="1184"/>
    <n v="944.93330000000003"/>
    <x v="0"/>
    <x v="45"/>
    <x v="22"/>
    <x v="8"/>
    <s v="Clinic"/>
    <s v="sivasankari.a@cardioscribes.com"/>
    <x v="3"/>
    <s v="Chennai"/>
    <s v="Go"/>
    <n v="99.77"/>
    <n v="99"/>
    <x v="6"/>
    <n v="1"/>
    <m/>
    <s v="Integrated Care Unit_Progress Note_3"/>
    <m/>
    <m/>
    <n v="1440"/>
    <s v="No"/>
    <n v="875"/>
    <s v="Normal"/>
    <s v="Achieved"/>
    <n v="0"/>
    <m/>
    <m/>
    <m/>
    <m/>
    <x v="3"/>
    <s v="Week11"/>
    <x v="8"/>
    <x v="0"/>
    <n v="98.997694697804945"/>
    <n v="1"/>
    <n v="1"/>
    <s v="Aneesh"/>
    <s v="Aneesh"/>
    <s v="Aneesh"/>
    <s v="Major"/>
    <s v="12827766Sivasankari A"/>
    <s v="Major"/>
    <n v="1"/>
    <x v="0"/>
    <x v="0"/>
    <n v="1"/>
    <n v="1"/>
    <x v="5"/>
    <x v="0"/>
    <x v="0"/>
    <b v="0"/>
    <s v="Top 25"/>
    <x v="1"/>
  </r>
  <r>
    <d v="2026-03-10T11:49:16"/>
    <d v="2026-03-10T17:19:16"/>
    <d v="2026-03-15T16:52:13"/>
    <d v="2026-03-15T22:22:13"/>
    <d v="2026-03-14T10:03:42"/>
    <d v="2026-03-15T22:22:13"/>
    <x v="0"/>
    <n v="221"/>
    <n v="2178.5167000000001"/>
    <x v="0"/>
    <x v="46"/>
    <x v="23"/>
    <x v="9"/>
    <s v="PACIFICBLVD"/>
    <s v="sandeepskn88@gmail.com"/>
    <x v="1"/>
    <s v="Trivandrum"/>
    <s v="Go"/>
    <n v="22.37"/>
    <n v="100"/>
    <x v="0"/>
    <n v="0"/>
    <m/>
    <s v="PACIFICBLVD_Clinic Notes"/>
    <m/>
    <m/>
    <n v="1440"/>
    <s v="No"/>
    <n v="127"/>
    <s v="Normal"/>
    <s v="Achieved"/>
    <n v="0"/>
    <m/>
    <m/>
    <m/>
    <m/>
    <x v="4"/>
    <s v="Week12"/>
    <x v="9"/>
    <x v="0"/>
    <n v="100"/>
    <n v="0"/>
    <n v="0"/>
    <s v="Aneesh"/>
    <s v="Aneesh"/>
    <s v="Aneesh"/>
    <s v=""/>
    <s v="12827712Sandeep S"/>
    <s v=""/>
    <s v=""/>
    <x v="0"/>
    <x v="0"/>
    <s v=""/>
    <n v="0"/>
    <x v="1"/>
    <x v="0"/>
    <x v="0"/>
    <b v="0"/>
    <s v="Others"/>
    <x v="0"/>
  </r>
  <r>
    <d v="2026-03-06T12:23:56"/>
    <d v="2026-03-06T17:53:56"/>
    <d v="2026-03-15T16:59:38"/>
    <d v="2026-03-15T22:29:38"/>
    <d v="2026-03-13T01:34:15"/>
    <d v="2026-03-15T22:29:38"/>
    <x v="0"/>
    <n v="8577"/>
    <n v="4135.3833000000004"/>
    <x v="0"/>
    <x v="47"/>
    <x v="24"/>
    <x v="4"/>
    <s v="Clinic"/>
    <s v="sandeepskn88@gmail.com"/>
    <x v="1"/>
    <s v="Trivandrum"/>
    <s v="Go"/>
    <n v="55.86"/>
    <n v="100"/>
    <x v="1"/>
    <n v="3"/>
    <m/>
    <s v="Operative Report"/>
    <m/>
    <m/>
    <n v="1440"/>
    <s v="No"/>
    <n v="359"/>
    <s v="Normal"/>
    <s v="Achieved"/>
    <n v="0"/>
    <m/>
    <m/>
    <m/>
    <m/>
    <x v="4"/>
    <s v="Week12"/>
    <x v="4"/>
    <x v="0"/>
    <n v="100"/>
    <n v="0"/>
    <n v="0"/>
    <s v="Aneesh"/>
    <s v="Aneesh"/>
    <s v="Aneesh"/>
    <s v="Minor"/>
    <s v="12826908Sandeep S"/>
    <s v="Minor"/>
    <n v="0"/>
    <x v="0"/>
    <x v="0"/>
    <n v="1"/>
    <n v="3"/>
    <x v="1"/>
    <x v="0"/>
    <x v="0"/>
    <b v="0"/>
    <s v="Top 25"/>
    <x v="0"/>
  </r>
  <r>
    <d v="2026-03-10T07:28:05"/>
    <d v="2026-03-10T12:58:05"/>
    <d v="2026-03-15T17:04:06"/>
    <d v="2026-03-15T22:34:06"/>
    <d v="2026-03-14T10:05:07"/>
    <d v="2026-03-15T22:34:06"/>
    <x v="0"/>
    <n v="257"/>
    <n v="2188.9832999999999"/>
    <x v="0"/>
    <x v="48"/>
    <x v="0"/>
    <x v="0"/>
    <s v="Clinic"/>
    <s v="ushaaaam40@gmail.com"/>
    <x v="2"/>
    <s v="Trivandrum"/>
    <s v="Go"/>
    <n v="39.68"/>
    <n v="100"/>
    <x v="0"/>
    <n v="0"/>
    <m/>
    <s v="HAH_OP"/>
    <m/>
    <m/>
    <n v="120"/>
    <s v="No"/>
    <n v="202"/>
    <s v="Normal"/>
    <s v="Achieved"/>
    <n v="0"/>
    <m/>
    <m/>
    <m/>
    <m/>
    <x v="4"/>
    <s v="Week12"/>
    <x v="0"/>
    <x v="0"/>
    <n v="100"/>
    <n v="0"/>
    <n v="0"/>
    <s v="Aneesh"/>
    <s v="Aneesh"/>
    <s v="Aneesh"/>
    <s v=""/>
    <s v="12827606Usha M"/>
    <s v=""/>
    <s v=""/>
    <x v="0"/>
    <x v="0"/>
    <s v=""/>
    <n v="0"/>
    <x v="2"/>
    <x v="0"/>
    <x v="0"/>
    <b v="0"/>
    <s v="Others"/>
    <x v="0"/>
  </r>
  <r>
    <d v="2026-03-10T09:42:17"/>
    <d v="2026-03-10T15:12:17"/>
    <d v="2026-03-15T17:10:57"/>
    <d v="2026-03-15T22:40:57"/>
    <d v="2026-03-13T01:41:35"/>
    <d v="2026-03-15T22:40:57"/>
    <x v="0"/>
    <n v="391"/>
    <n v="4139.3666999999996"/>
    <x v="0"/>
    <x v="49"/>
    <x v="0"/>
    <x v="0"/>
    <s v="Clinic"/>
    <s v="ushaaaam40@gmail.com"/>
    <x v="2"/>
    <s v="Trivandrum"/>
    <s v="Go"/>
    <n v="38.520000000000003"/>
    <n v="100"/>
    <x v="0"/>
    <n v="0"/>
    <m/>
    <s v="HAH_OP"/>
    <m/>
    <m/>
    <n v="120"/>
    <s v="No"/>
    <n v="192"/>
    <s v="Normal"/>
    <s v="Achieved"/>
    <n v="0"/>
    <m/>
    <m/>
    <m/>
    <m/>
    <x v="4"/>
    <s v="Week12"/>
    <x v="0"/>
    <x v="0"/>
    <n v="100"/>
    <n v="0"/>
    <n v="0"/>
    <s v="Aneesh"/>
    <s v="Aneesh"/>
    <s v="Aneesh"/>
    <s v=""/>
    <s v="12827644Usha M"/>
    <s v=""/>
    <s v=""/>
    <x v="0"/>
    <x v="0"/>
    <s v=""/>
    <n v="0"/>
    <x v="2"/>
    <x v="0"/>
    <x v="0"/>
    <b v="0"/>
    <s v="Others"/>
    <x v="0"/>
  </r>
  <r>
    <d v="2026-03-10T10:10:58"/>
    <d v="2026-03-10T15:40:58"/>
    <d v="2026-03-15T17:14:59"/>
    <d v="2026-03-15T22:44:59"/>
    <d v="2026-03-13T01:41:40"/>
    <d v="2026-03-15T22:44:59"/>
    <x v="0"/>
    <n v="232"/>
    <n v="4143.3167000000003"/>
    <x v="0"/>
    <x v="50"/>
    <x v="0"/>
    <x v="0"/>
    <s v="Clinic"/>
    <s v="ushaaaam40@gmail.com"/>
    <x v="2"/>
    <s v="Trivandrum"/>
    <s v="Go"/>
    <n v="38.92"/>
    <n v="100"/>
    <x v="0"/>
    <n v="0"/>
    <m/>
    <s v="HAH_OP"/>
    <m/>
    <m/>
    <n v="120"/>
    <s v="No"/>
    <n v="202"/>
    <s v="Normal"/>
    <s v="Achieved"/>
    <n v="0"/>
    <m/>
    <m/>
    <m/>
    <m/>
    <x v="4"/>
    <s v="Week12"/>
    <x v="0"/>
    <x v="0"/>
    <n v="100"/>
    <n v="0"/>
    <n v="0"/>
    <s v="Aneesh"/>
    <s v="Aneesh"/>
    <s v="Aneesh"/>
    <s v=""/>
    <s v="12827651Usha M"/>
    <s v=""/>
    <s v=""/>
    <x v="0"/>
    <x v="0"/>
    <s v=""/>
    <n v="0"/>
    <x v="2"/>
    <x v="0"/>
    <x v="0"/>
    <b v="0"/>
    <s v="Others"/>
    <x v="0"/>
  </r>
  <r>
    <d v="2026-03-11T10:22:04"/>
    <d v="2026-03-11T15:52:04"/>
    <d v="2026-03-15T17:25:05"/>
    <d v="2026-03-15T22:55:05"/>
    <d v="2026-03-14T10:03:51"/>
    <d v="2026-03-15T22:55:05"/>
    <x v="0"/>
    <n v="593"/>
    <n v="2211.2332999999999"/>
    <x v="0"/>
    <x v="51"/>
    <x v="9"/>
    <x v="4"/>
    <s v="Clinic"/>
    <s v="ushaaaam40@gmail.com"/>
    <x v="2"/>
    <s v="Trivandrum"/>
    <s v="No Go"/>
    <n v="91.6"/>
    <n v="98"/>
    <x v="2"/>
    <n v="1"/>
    <m/>
    <s v="Consultation"/>
    <m/>
    <m/>
    <n v="720"/>
    <s v="No"/>
    <n v="622"/>
    <s v="Normal"/>
    <s v="Achieved"/>
    <n v="1"/>
    <m/>
    <m/>
    <m/>
    <m/>
    <x v="4"/>
    <s v="Week12"/>
    <x v="4"/>
    <x v="1"/>
    <n v="97.816593886462883"/>
    <n v="1"/>
    <n v="2"/>
    <s v="Aneesh"/>
    <s v="Aneesh"/>
    <s v="Aneesh"/>
    <s v="Major"/>
    <s v="12828048Usha M"/>
    <s v="Major"/>
    <n v="1"/>
    <x v="0"/>
    <x v="1"/>
    <n v="1"/>
    <n v="1"/>
    <x v="2"/>
    <x v="0"/>
    <x v="1"/>
    <b v="1"/>
    <s v="Top 25"/>
    <x v="0"/>
  </r>
  <r>
    <d v="2026-03-11T10:22:04"/>
    <d v="2026-03-11T15:52:04"/>
    <d v="2026-03-15T17:25:05"/>
    <d v="2026-03-15T22:55:05"/>
    <d v="2026-03-14T10:03:51"/>
    <d v="2026-03-15T22:55:05"/>
    <x v="0"/>
    <n v="593"/>
    <n v="2211.2332999999999"/>
    <x v="0"/>
    <x v="51"/>
    <x v="9"/>
    <x v="4"/>
    <s v="Clinic"/>
    <s v="ushaaaam40@gmail.com"/>
    <x v="2"/>
    <s v="Trivandrum"/>
    <s v="No Go"/>
    <n v="91.6"/>
    <n v="98"/>
    <x v="4"/>
    <n v="1"/>
    <m/>
    <s v="Consultation"/>
    <m/>
    <m/>
    <n v="720"/>
    <s v="No"/>
    <n v="622"/>
    <s v="Normal"/>
    <s v="Achieved"/>
    <n v="1"/>
    <m/>
    <m/>
    <m/>
    <m/>
    <x v="4"/>
    <s v="Week12"/>
    <x v="4"/>
    <x v="1"/>
    <n v="97.816593886462883"/>
    <n v="1"/>
    <n v="2"/>
    <s v="Aneesh"/>
    <s v="Aneesh"/>
    <s v="Aneesh"/>
    <s v="Major"/>
    <s v="12828048Usha M"/>
    <s v="Major"/>
    <n v="1"/>
    <x v="0"/>
    <x v="0"/>
    <n v="1"/>
    <n v="1"/>
    <x v="2"/>
    <x v="0"/>
    <x v="1"/>
    <b v="0"/>
    <s v="Top 25"/>
    <x v="0"/>
  </r>
  <r>
    <d v="2026-03-09T21:27:40"/>
    <d v="2026-03-10T02:57:40"/>
    <d v="2026-03-15T17:37:58"/>
    <d v="2026-03-15T23:07:58"/>
    <d v="2026-03-13T01:33:32"/>
    <d v="2026-03-15T23:07:58"/>
    <x v="0"/>
    <n v="2118"/>
    <n v="4174.4332999999997"/>
    <x v="0"/>
    <x v="52"/>
    <x v="25"/>
    <x v="8"/>
    <s v="Clinic"/>
    <s v="sivasankari.a@cardioscribes.com"/>
    <x v="3"/>
    <s v="Chennai"/>
    <s v="Go"/>
    <n v="109.38"/>
    <n v="100"/>
    <x v="0"/>
    <n v="0"/>
    <m/>
    <s v="Cost Center CAS ICARE"/>
    <m/>
    <m/>
    <n v="1440"/>
    <s v="No"/>
    <n v="597"/>
    <s v="Normal"/>
    <s v="Achieved"/>
    <n v="1"/>
    <m/>
    <m/>
    <m/>
    <m/>
    <x v="4"/>
    <s v="Week12"/>
    <x v="8"/>
    <x v="0"/>
    <n v="100"/>
    <n v="0"/>
    <n v="0"/>
    <s v="Aneesh"/>
    <s v="Aneesh"/>
    <s v="Aneesh"/>
    <s v=""/>
    <s v="12827551Sivasankari A"/>
    <s v=""/>
    <s v=""/>
    <x v="0"/>
    <x v="0"/>
    <s v=""/>
    <n v="0"/>
    <x v="5"/>
    <x v="0"/>
    <x v="0"/>
    <b v="0"/>
    <s v="Top 25"/>
    <x v="1"/>
  </r>
  <r>
    <d v="2026-03-11T15:11:34"/>
    <d v="2026-03-11T20:41:34"/>
    <d v="2026-03-15T18:07:53"/>
    <d v="2026-03-15T23:37:53"/>
    <d v="2026-03-13T01:34:08"/>
    <d v="2026-03-15T23:37:53"/>
    <x v="0"/>
    <n v="786"/>
    <n v="4203.75"/>
    <x v="0"/>
    <x v="53"/>
    <x v="1"/>
    <x v="1"/>
    <s v="Clinic"/>
    <s v="ushaaaam40@gmail.com"/>
    <x v="2"/>
    <s v="Trivandrum"/>
    <s v="Go"/>
    <n v="97.72"/>
    <n v="99"/>
    <x v="2"/>
    <n v="1"/>
    <m/>
    <s v="Generic Operative Report"/>
    <m/>
    <m/>
    <n v="360"/>
    <s v="No"/>
    <n v="388"/>
    <s v="Normal"/>
    <s v="Missed"/>
    <n v="0"/>
    <m/>
    <m/>
    <m/>
    <m/>
    <x v="4"/>
    <s v="Week12"/>
    <x v="1"/>
    <x v="0"/>
    <n v="98.976668031109298"/>
    <n v="1"/>
    <n v="1"/>
    <s v="Aneesh"/>
    <s v="Aneesh"/>
    <s v="Aneesh"/>
    <s v="Major"/>
    <s v="12828145Usha M"/>
    <s v="Major"/>
    <n v="1"/>
    <x v="0"/>
    <x v="1"/>
    <n v="1"/>
    <n v="1"/>
    <x v="2"/>
    <x v="0"/>
    <x v="0"/>
    <b v="1"/>
    <s v="AMC Group"/>
    <x v="0"/>
  </r>
  <r>
    <d v="2026-03-11T15:11:34"/>
    <d v="2026-03-11T20:41:34"/>
    <d v="2026-03-15T18:07:53"/>
    <d v="2026-03-15T23:37:53"/>
    <d v="2026-03-13T01:34:08"/>
    <d v="2026-03-15T23:37:53"/>
    <x v="0"/>
    <n v="786"/>
    <n v="4203.75"/>
    <x v="0"/>
    <x v="53"/>
    <x v="1"/>
    <x v="1"/>
    <s v="Clinic"/>
    <s v="ushaaaam40@gmail.com"/>
    <x v="2"/>
    <s v="Trivandrum"/>
    <s v="Go"/>
    <n v="97.72"/>
    <n v="99"/>
    <x v="1"/>
    <n v="2"/>
    <m/>
    <s v="Generic Operative Report"/>
    <m/>
    <m/>
    <n v="360"/>
    <s v="No"/>
    <n v="388"/>
    <s v="Normal"/>
    <s v="Missed"/>
    <n v="0"/>
    <m/>
    <m/>
    <m/>
    <m/>
    <x v="4"/>
    <s v="Week12"/>
    <x v="1"/>
    <x v="0"/>
    <n v="98.976668031109298"/>
    <n v="0"/>
    <n v="1"/>
    <s v="Aneesh"/>
    <s v="Aneesh"/>
    <s v="Aneesh"/>
    <s v="Minor"/>
    <s v="12828145Usha M"/>
    <s v="Minor"/>
    <n v="0"/>
    <x v="0"/>
    <x v="0"/>
    <n v="1"/>
    <n v="2"/>
    <x v="2"/>
    <x v="0"/>
    <x v="0"/>
    <b v="0"/>
    <s v="AMC Group"/>
    <x v="0"/>
  </r>
  <r>
    <d v="2026-03-10T15:14:50"/>
    <d v="2026-03-10T20:44:50"/>
    <d v="2026-03-15T18:18:17"/>
    <d v="2026-03-15T23:48:17"/>
    <d v="2026-03-13T01:33:46"/>
    <d v="2026-03-15T23:48:17"/>
    <x v="0"/>
    <n v="599"/>
    <n v="4214.5167000000001"/>
    <x v="0"/>
    <x v="54"/>
    <x v="26"/>
    <x v="9"/>
    <s v="GLENDALE"/>
    <s v="sandeepskn88@gmail.com"/>
    <x v="1"/>
    <s v="Trivandrum"/>
    <s v="Go"/>
    <n v="94.2"/>
    <n v="100"/>
    <x v="1"/>
    <n v="1"/>
    <m/>
    <s v="GLENDALE_Clinic Notes"/>
    <m/>
    <m/>
    <n v="1440"/>
    <s v="No"/>
    <n v="509"/>
    <s v="Normal"/>
    <s v="Achieved"/>
    <n v="0"/>
    <m/>
    <m/>
    <m/>
    <m/>
    <x v="4"/>
    <s v="Week12"/>
    <x v="9"/>
    <x v="0"/>
    <n v="100"/>
    <n v="0"/>
    <n v="0"/>
    <s v="Aneesh"/>
    <s v="Aneesh"/>
    <s v="Aneesh"/>
    <s v="Minor"/>
    <s v="12827794Sandeep S"/>
    <s v="Minor"/>
    <n v="0"/>
    <x v="0"/>
    <x v="0"/>
    <n v="1"/>
    <n v="1"/>
    <x v="1"/>
    <x v="0"/>
    <x v="0"/>
    <b v="0"/>
    <s v="Others"/>
    <x v="0"/>
  </r>
  <r>
    <d v="2026-03-10T22:04:09"/>
    <d v="2026-03-11T03:34:09"/>
    <d v="2026-03-15T18:27:57"/>
    <d v="2026-03-15T23:57:57"/>
    <d v="2026-03-13T01:33:53"/>
    <d v="2026-03-15T23:57:57"/>
    <x v="0"/>
    <n v="564"/>
    <n v="4224.0667000000003"/>
    <x v="0"/>
    <x v="55"/>
    <x v="25"/>
    <x v="8"/>
    <s v="Clinic"/>
    <s v="sivasankari.a@cardioscribes.com"/>
    <x v="3"/>
    <s v="Chennai"/>
    <s v="Go"/>
    <n v="104.74"/>
    <n v="100"/>
    <x v="0"/>
    <n v="0"/>
    <m/>
    <s v="Cost Center CAS ICARE"/>
    <m/>
    <m/>
    <n v="1440"/>
    <s v="No"/>
    <n v="586"/>
    <s v="Normal"/>
    <s v="Achieved"/>
    <n v="0"/>
    <m/>
    <m/>
    <m/>
    <m/>
    <x v="4"/>
    <s v="Week12"/>
    <x v="8"/>
    <x v="0"/>
    <n v="100"/>
    <n v="0"/>
    <n v="0"/>
    <s v="Aneesh"/>
    <s v="Aneesh"/>
    <s v="Aneesh"/>
    <s v=""/>
    <s v="12827958Sivasankari A"/>
    <s v=""/>
    <s v=""/>
    <x v="0"/>
    <x v="0"/>
    <s v=""/>
    <n v="0"/>
    <x v="5"/>
    <x v="0"/>
    <x v="0"/>
    <b v="0"/>
    <s v="Top 25"/>
    <x v="1"/>
  </r>
  <r>
    <d v="2026-03-10T23:03:04"/>
    <d v="2026-03-11T04:33:04"/>
    <d v="2026-03-15T19:25:00"/>
    <d v="2026-03-16T00:55:00"/>
    <d v="2026-03-13T01:33:59"/>
    <d v="2026-03-16T00:55:00"/>
    <x v="0"/>
    <n v="3503"/>
    <n v="4281.0167000000001"/>
    <x v="0"/>
    <x v="56"/>
    <x v="27"/>
    <x v="8"/>
    <s v="Clinic"/>
    <s v="sivasankari.a@cardioscribes.com"/>
    <x v="3"/>
    <s v="Chennai"/>
    <s v="No Go"/>
    <n v="131.77000000000001"/>
    <n v="97"/>
    <x v="3"/>
    <n v="1"/>
    <m/>
    <s v="PACT_Progress Note 2"/>
    <m/>
    <m/>
    <n v="1440"/>
    <s v="No"/>
    <n v="804"/>
    <s v="Normal"/>
    <s v="Achieved"/>
    <n v="0"/>
    <m/>
    <m/>
    <m/>
    <m/>
    <x v="5"/>
    <s v="Week12"/>
    <x v="8"/>
    <x v="1"/>
    <n v="97.723305760036425"/>
    <n v="1"/>
    <n v="3"/>
    <s v="Aneesh"/>
    <s v="Aneesh"/>
    <s v="Aneesh"/>
    <s v="Major"/>
    <s v="12827962Sivasankari A"/>
    <s v="Major"/>
    <n v="1"/>
    <x v="0"/>
    <x v="1"/>
    <n v="1"/>
    <n v="1"/>
    <x v="5"/>
    <x v="0"/>
    <x v="0"/>
    <b v="1"/>
    <s v="Top 25"/>
    <x v="1"/>
  </r>
  <r>
    <d v="2026-03-10T23:03:04"/>
    <d v="2026-03-11T04:33:04"/>
    <d v="2026-03-15T19:25:00"/>
    <d v="2026-03-16T00:55:00"/>
    <d v="2026-03-13T01:33:59"/>
    <d v="2026-03-16T00:55:00"/>
    <x v="0"/>
    <n v="3503"/>
    <n v="4281.0167000000001"/>
    <x v="0"/>
    <x v="56"/>
    <x v="27"/>
    <x v="8"/>
    <s v="Clinic"/>
    <s v="sivasankari.a@cardioscribes.com"/>
    <x v="3"/>
    <s v="Chennai"/>
    <s v="No Go"/>
    <n v="131.77000000000001"/>
    <n v="97"/>
    <x v="2"/>
    <n v="2"/>
    <m/>
    <s v="PACT_Progress Note 2"/>
    <m/>
    <m/>
    <n v="1440"/>
    <s v="No"/>
    <n v="804"/>
    <s v="Normal"/>
    <s v="Achieved"/>
    <n v="0"/>
    <m/>
    <m/>
    <m/>
    <m/>
    <x v="5"/>
    <s v="Week12"/>
    <x v="8"/>
    <x v="1"/>
    <n v="97.723305760036425"/>
    <n v="2"/>
    <n v="3"/>
    <s v="Aneesh"/>
    <s v="Aneesh"/>
    <s v="Aneesh"/>
    <s v="Major"/>
    <s v="12827962Sivasankari A"/>
    <s v="Major"/>
    <n v="1"/>
    <x v="0"/>
    <x v="1"/>
    <n v="1"/>
    <n v="2"/>
    <x v="5"/>
    <x v="0"/>
    <x v="0"/>
    <b v="1"/>
    <s v="Top 25"/>
    <x v="1"/>
  </r>
  <r>
    <d v="2026-03-10T23:03:04"/>
    <d v="2026-03-11T04:33:04"/>
    <d v="2026-03-15T19:25:00"/>
    <d v="2026-03-16T00:55:00"/>
    <d v="2026-03-13T01:33:59"/>
    <d v="2026-03-16T00:55:00"/>
    <x v="0"/>
    <n v="3503"/>
    <n v="4281.0167000000001"/>
    <x v="0"/>
    <x v="56"/>
    <x v="27"/>
    <x v="8"/>
    <s v="Clinic"/>
    <s v="sivasankari.a@cardioscribes.com"/>
    <x v="3"/>
    <s v="Chennai"/>
    <s v="No Go"/>
    <n v="131.77000000000001"/>
    <n v="97"/>
    <x v="1"/>
    <n v="1"/>
    <m/>
    <s v="PACT_Progress Note 2"/>
    <m/>
    <m/>
    <n v="1440"/>
    <s v="No"/>
    <n v="804"/>
    <s v="Normal"/>
    <s v="Achieved"/>
    <n v="0"/>
    <m/>
    <m/>
    <m/>
    <m/>
    <x v="5"/>
    <s v="Week12"/>
    <x v="8"/>
    <x v="1"/>
    <n v="97.723305760036425"/>
    <n v="0"/>
    <n v="3"/>
    <s v="Aneesh"/>
    <s v="Aneesh"/>
    <s v="Aneesh"/>
    <s v="Minor"/>
    <s v="12827962Sivasankari A"/>
    <s v="Minor"/>
    <n v="0"/>
    <x v="0"/>
    <x v="0"/>
    <n v="1"/>
    <n v="1"/>
    <x v="5"/>
    <x v="0"/>
    <x v="0"/>
    <b v="0"/>
    <s v="Top 25"/>
    <x v="1"/>
  </r>
  <r>
    <d v="2026-03-10T16:14:06"/>
    <d v="2026-03-10T21:44:06"/>
    <d v="2026-03-16T04:25:39"/>
    <d v="2026-03-16T09:55:39"/>
    <d v="2026-03-14T10:03:18"/>
    <d v="2026-03-16T09:55:39"/>
    <x v="0"/>
    <n v="229"/>
    <n v="2872.35"/>
    <x v="0"/>
    <x v="57"/>
    <x v="28"/>
    <x v="9"/>
    <s v="SANPEDRO"/>
    <s v="sandeepskn88@gmail.com"/>
    <x v="1"/>
    <s v="Trivandrum"/>
    <s v="Go"/>
    <n v="27.66"/>
    <n v="100"/>
    <x v="1"/>
    <n v="1"/>
    <m/>
    <s v="SANPEDRO_Clinic Notes"/>
    <m/>
    <m/>
    <n v="1440"/>
    <s v="No"/>
    <n v="134"/>
    <s v="Normal"/>
    <s v="Achieved"/>
    <n v="0"/>
    <m/>
    <m/>
    <m/>
    <m/>
    <x v="5"/>
    <s v="Week12"/>
    <x v="9"/>
    <x v="0"/>
    <n v="100"/>
    <n v="0"/>
    <n v="0"/>
    <s v="Aneesh"/>
    <s v="Aneesh"/>
    <s v="Aneesh"/>
    <s v="Minor"/>
    <s v="12827825Sandeep S"/>
    <s v="Minor"/>
    <n v="0"/>
    <x v="0"/>
    <x v="0"/>
    <n v="1"/>
    <n v="1"/>
    <x v="1"/>
    <x v="0"/>
    <x v="0"/>
    <b v="0"/>
    <s v="Others"/>
    <x v="0"/>
  </r>
  <r>
    <d v="2026-03-11T12:17:02"/>
    <d v="2026-03-11T17:47:02"/>
    <d v="2026-03-16T04:29:26"/>
    <d v="2026-03-16T09:59:26"/>
    <d v="2026-03-14T10:03:29"/>
    <d v="2026-03-16T09:59:26"/>
    <x v="0"/>
    <n v="216"/>
    <n v="2875.95"/>
    <x v="0"/>
    <x v="58"/>
    <x v="28"/>
    <x v="9"/>
    <s v="MIDCITIES"/>
    <s v="sandeepskn88@gmail.com"/>
    <x v="1"/>
    <s v="Trivandrum"/>
    <s v="Go"/>
    <n v="34.340000000000003"/>
    <n v="100"/>
    <x v="0"/>
    <n v="0"/>
    <m/>
    <s v="MIDCITIES_Clinic Notes"/>
    <m/>
    <m/>
    <n v="1440"/>
    <s v="No"/>
    <n v="156"/>
    <s v="Normal"/>
    <s v="Achieved"/>
    <n v="0"/>
    <m/>
    <m/>
    <m/>
    <m/>
    <x v="5"/>
    <s v="Week12"/>
    <x v="9"/>
    <x v="0"/>
    <n v="100"/>
    <n v="0"/>
    <n v="0"/>
    <s v="Aneesh"/>
    <s v="Aneesh"/>
    <s v="Aneesh"/>
    <s v=""/>
    <s v="12828138Sandeep S"/>
    <s v=""/>
    <s v=""/>
    <x v="0"/>
    <x v="0"/>
    <s v=""/>
    <n v="0"/>
    <x v="1"/>
    <x v="0"/>
    <x v="0"/>
    <b v="0"/>
    <s v="Others"/>
    <x v="0"/>
  </r>
  <r>
    <d v="2026-03-11T13:43:52"/>
    <d v="2026-03-11T19:13:52"/>
    <d v="2026-03-16T04:36:01"/>
    <d v="2026-03-16T10:06:01"/>
    <d v="2026-03-14T10:03:06"/>
    <d v="2026-03-16T10:06:01"/>
    <x v="0"/>
    <n v="383"/>
    <n v="2882.9167000000002"/>
    <x v="0"/>
    <x v="59"/>
    <x v="28"/>
    <x v="9"/>
    <s v="LONGBEACH"/>
    <s v="sandeepskn88@gmail.com"/>
    <x v="1"/>
    <s v="Trivandrum"/>
    <s v="No Go"/>
    <n v="38.26"/>
    <n v="98"/>
    <x v="2"/>
    <n v="2"/>
    <m/>
    <s v="LONGBEACH_Clinic Notes"/>
    <m/>
    <m/>
    <n v="1440"/>
    <s v="No"/>
    <n v="198"/>
    <s v="Normal"/>
    <s v="Achieved"/>
    <n v="0"/>
    <m/>
    <m/>
    <m/>
    <m/>
    <x v="5"/>
    <s v="Week12"/>
    <x v="9"/>
    <x v="1"/>
    <n v="94.772608468374287"/>
    <n v="2"/>
    <n v="2"/>
    <s v="Aneesh"/>
    <s v="Aneesh"/>
    <s v="Aneesh"/>
    <s v="Major"/>
    <s v="12828184Sandeep S"/>
    <s v="Major"/>
    <n v="1"/>
    <x v="0"/>
    <x v="1"/>
    <n v="1"/>
    <n v="2"/>
    <x v="1"/>
    <x v="0"/>
    <x v="0"/>
    <b v="1"/>
    <s v="Others"/>
    <x v="0"/>
  </r>
  <r>
    <d v="2026-03-11T13:43:52"/>
    <d v="2026-03-11T19:13:52"/>
    <d v="2026-03-16T04:36:01"/>
    <d v="2026-03-16T10:06:01"/>
    <d v="2026-03-14T10:03:06"/>
    <d v="2026-03-16T10:06:01"/>
    <x v="0"/>
    <n v="383"/>
    <n v="2882.9167000000002"/>
    <x v="0"/>
    <x v="59"/>
    <x v="28"/>
    <x v="9"/>
    <s v="LONGBEACH"/>
    <s v="sandeepskn88@gmail.com"/>
    <x v="1"/>
    <s v="Trivandrum"/>
    <s v="No Go"/>
    <n v="38.26"/>
    <n v="98"/>
    <x v="1"/>
    <n v="1"/>
    <m/>
    <s v="LONGBEACH_Clinic Notes"/>
    <m/>
    <m/>
    <n v="1440"/>
    <s v="No"/>
    <n v="198"/>
    <s v="Normal"/>
    <s v="Achieved"/>
    <n v="0"/>
    <m/>
    <m/>
    <m/>
    <m/>
    <x v="5"/>
    <s v="Week12"/>
    <x v="9"/>
    <x v="1"/>
    <n v="94.772608468374287"/>
    <n v="0"/>
    <n v="2"/>
    <s v="Aneesh"/>
    <s v="Aneesh"/>
    <s v="Aneesh"/>
    <s v="Minor"/>
    <s v="12828184Sandeep S"/>
    <s v="Minor"/>
    <n v="0"/>
    <x v="0"/>
    <x v="0"/>
    <n v="1"/>
    <n v="1"/>
    <x v="1"/>
    <x v="0"/>
    <x v="0"/>
    <b v="0"/>
    <s v="Others"/>
    <x v="0"/>
  </r>
  <r>
    <d v="2026-03-10T17:24:59"/>
    <d v="2026-03-10T22:54:59"/>
    <d v="2026-03-16T04:43:37"/>
    <d v="2026-03-16T10:13:37"/>
    <d v="2026-03-14T10:02:47"/>
    <d v="2026-03-16T10:13:37"/>
    <x v="0"/>
    <n v="540"/>
    <n v="2890.8332999999998"/>
    <x v="0"/>
    <x v="60"/>
    <x v="29"/>
    <x v="4"/>
    <s v="Clinic"/>
    <s v="sandeepskn88@gmail.com"/>
    <x v="1"/>
    <s v="Trivandrum"/>
    <s v="Go"/>
    <n v="38.35"/>
    <n v="100"/>
    <x v="1"/>
    <n v="1"/>
    <m/>
    <s v="Consultation"/>
    <m/>
    <m/>
    <n v="720"/>
    <s v="No"/>
    <n v="350"/>
    <s v="Normal"/>
    <s v="Achieved"/>
    <n v="0"/>
    <m/>
    <m/>
    <m/>
    <m/>
    <x v="5"/>
    <s v="Week12"/>
    <x v="4"/>
    <x v="0"/>
    <n v="100"/>
    <n v="0"/>
    <n v="0"/>
    <s v="Aneesh"/>
    <s v="Aneesh"/>
    <s v="Aneesh"/>
    <s v="Minor"/>
    <s v="12827798Sandeep S"/>
    <s v="Minor"/>
    <n v="0"/>
    <x v="0"/>
    <x v="0"/>
    <n v="1"/>
    <n v="1"/>
    <x v="1"/>
    <x v="0"/>
    <x v="0"/>
    <b v="0"/>
    <s v="Top 25"/>
    <x v="0"/>
  </r>
  <r>
    <d v="2026-03-12T05:10:40"/>
    <d v="2026-03-12T10:40:40"/>
    <d v="2026-03-16T04:54:05"/>
    <d v="2026-03-16T10:24:05"/>
    <d v="2026-03-14T10:04:40"/>
    <d v="2026-03-16T10:24:05"/>
    <x v="0"/>
    <n v="322"/>
    <n v="2899.4167000000002"/>
    <x v="0"/>
    <x v="61"/>
    <x v="30"/>
    <x v="2"/>
    <s v="Clinic"/>
    <s v="ushaaaam40@gmail.com"/>
    <x v="2"/>
    <s v="Trivandrum"/>
    <s v="Go"/>
    <n v="31.92"/>
    <n v="100"/>
    <x v="1"/>
    <n v="1"/>
    <m/>
    <s v="History &amp; Physical"/>
    <m/>
    <m/>
    <n v="480"/>
    <s v="No"/>
    <n v="278"/>
    <s v="Normal"/>
    <s v="Achieved"/>
    <n v="0"/>
    <m/>
    <m/>
    <m/>
    <m/>
    <x v="5"/>
    <s v="Week12"/>
    <x v="2"/>
    <x v="0"/>
    <n v="100"/>
    <n v="0"/>
    <n v="0"/>
    <s v="Aneesh"/>
    <s v="Aneesh"/>
    <s v="Aneesh"/>
    <s v="Minor"/>
    <s v="12828416Usha M"/>
    <s v="Minor"/>
    <n v="0"/>
    <x v="0"/>
    <x v="0"/>
    <n v="1"/>
    <n v="1"/>
    <x v="2"/>
    <x v="0"/>
    <x v="0"/>
    <b v="0"/>
    <s v="Fundamental"/>
    <x v="0"/>
  </r>
  <r>
    <d v="2026-03-10T16:31:24"/>
    <d v="2026-03-10T22:01:24"/>
    <d v="2026-03-16T05:10:03"/>
    <d v="2026-03-16T10:40:03"/>
    <d v="2026-03-14T10:04:02"/>
    <d v="2026-03-16T10:40:03"/>
    <x v="0"/>
    <n v="1551"/>
    <n v="2916.0167000000001"/>
    <x v="0"/>
    <x v="62"/>
    <x v="1"/>
    <x v="1"/>
    <s v="Clinic"/>
    <s v="ushaaaam40@gmail.com"/>
    <x v="2"/>
    <s v="Trivandrum"/>
    <s v="No Go"/>
    <n v="100.75"/>
    <n v="97"/>
    <x v="2"/>
    <n v="3"/>
    <m/>
    <s v="Generic Operative Report"/>
    <m/>
    <m/>
    <n v="360"/>
    <s v="No"/>
    <n v="365"/>
    <s v="Normal"/>
    <s v="Achieved"/>
    <n v="0"/>
    <m/>
    <m/>
    <m/>
    <m/>
    <x v="5"/>
    <s v="Week12"/>
    <x v="1"/>
    <x v="1"/>
    <n v="97.022332506203469"/>
    <n v="3"/>
    <n v="3"/>
    <s v="Aneesh"/>
    <s v="Aneesh"/>
    <s v="Aneesh"/>
    <s v="Major"/>
    <s v="12827750Usha M"/>
    <s v="Major"/>
    <n v="1"/>
    <x v="0"/>
    <x v="1"/>
    <n v="1"/>
    <n v="3"/>
    <x v="2"/>
    <x v="0"/>
    <x v="1"/>
    <b v="1"/>
    <s v="AMC Group"/>
    <x v="0"/>
  </r>
  <r>
    <d v="2026-03-10T16:31:24"/>
    <d v="2026-03-10T22:01:24"/>
    <d v="2026-03-16T05:10:03"/>
    <d v="2026-03-16T10:40:03"/>
    <d v="2026-03-14T10:04:02"/>
    <d v="2026-03-16T10:40:03"/>
    <x v="0"/>
    <n v="1551"/>
    <n v="2916.0167000000001"/>
    <x v="0"/>
    <x v="62"/>
    <x v="1"/>
    <x v="1"/>
    <s v="Clinic"/>
    <s v="ushaaaam40@gmail.com"/>
    <x v="2"/>
    <s v="Trivandrum"/>
    <s v="No Go"/>
    <n v="100.75"/>
    <n v="97"/>
    <x v="1"/>
    <n v="3"/>
    <m/>
    <s v="Generic Operative Report"/>
    <m/>
    <m/>
    <n v="360"/>
    <s v="No"/>
    <n v="365"/>
    <s v="Normal"/>
    <s v="Achieved"/>
    <n v="0"/>
    <m/>
    <m/>
    <m/>
    <m/>
    <x v="5"/>
    <s v="Week12"/>
    <x v="1"/>
    <x v="1"/>
    <n v="97.022332506203469"/>
    <n v="0"/>
    <n v="3"/>
    <s v="Aneesh"/>
    <s v="Aneesh"/>
    <s v="Aneesh"/>
    <s v="Minor"/>
    <s v="12827750Usha M"/>
    <s v="Minor"/>
    <n v="0"/>
    <x v="0"/>
    <x v="0"/>
    <n v="1"/>
    <n v="3"/>
    <x v="2"/>
    <x v="0"/>
    <x v="1"/>
    <b v="0"/>
    <s v="AMC Group"/>
    <x v="0"/>
  </r>
  <r>
    <d v="2026-03-12T13:03:03"/>
    <d v="2026-03-12T18:33:03"/>
    <d v="2026-03-16T05:26:35"/>
    <d v="2026-03-16T10:56:35"/>
    <d v="2026-03-14T10:04:56"/>
    <d v="2026-03-16T10:56:35"/>
    <x v="0"/>
    <n v="925"/>
    <n v="2931.65"/>
    <x v="0"/>
    <x v="63"/>
    <x v="31"/>
    <x v="4"/>
    <s v="Clinic"/>
    <s v="ushaaaam40@gmail.com"/>
    <x v="2"/>
    <s v="Trivandrum"/>
    <s v="No Go"/>
    <n v="63.72"/>
    <n v="95"/>
    <x v="2"/>
    <n v="4"/>
    <m/>
    <s v="Operative Report"/>
    <m/>
    <m/>
    <n v="1440"/>
    <s v="No"/>
    <n v="297"/>
    <s v="Normal"/>
    <s v="Achieved"/>
    <n v="0"/>
    <m/>
    <m/>
    <m/>
    <m/>
    <x v="5"/>
    <s v="Week12"/>
    <x v="4"/>
    <x v="1"/>
    <n v="92.15317011927182"/>
    <n v="4"/>
    <n v="5"/>
    <s v="Aneesh"/>
    <s v="Aneesh"/>
    <s v="Aneesh"/>
    <s v="Major"/>
    <s v="12828538Usha M"/>
    <s v="Major"/>
    <n v="1"/>
    <x v="0"/>
    <x v="1"/>
    <n v="1"/>
    <n v="4"/>
    <x v="2"/>
    <x v="0"/>
    <x v="0"/>
    <b v="1"/>
    <s v="Top 25"/>
    <x v="0"/>
  </r>
  <r>
    <d v="2026-03-12T13:03:03"/>
    <d v="2026-03-12T18:33:03"/>
    <d v="2026-03-16T05:26:35"/>
    <d v="2026-03-16T10:56:35"/>
    <d v="2026-03-14T10:04:56"/>
    <d v="2026-03-16T10:56:35"/>
    <x v="0"/>
    <n v="925"/>
    <n v="2931.65"/>
    <x v="0"/>
    <x v="63"/>
    <x v="31"/>
    <x v="4"/>
    <s v="Clinic"/>
    <s v="ushaaaam40@gmail.com"/>
    <x v="2"/>
    <s v="Trivandrum"/>
    <s v="No Go"/>
    <n v="63.72"/>
    <n v="95"/>
    <x v="6"/>
    <n v="1"/>
    <m/>
    <s v="Operative Report"/>
    <m/>
    <m/>
    <n v="1440"/>
    <s v="No"/>
    <n v="297"/>
    <s v="Normal"/>
    <s v="Achieved"/>
    <n v="0"/>
    <m/>
    <m/>
    <m/>
    <m/>
    <x v="5"/>
    <s v="Week12"/>
    <x v="4"/>
    <x v="1"/>
    <n v="92.15317011927182"/>
    <n v="1"/>
    <n v="5"/>
    <s v="Aneesh"/>
    <s v="Aneesh"/>
    <s v="Aneesh"/>
    <s v="Major"/>
    <s v="12828538Usha M"/>
    <s v="Major"/>
    <n v="1"/>
    <x v="0"/>
    <x v="1"/>
    <n v="1"/>
    <n v="1"/>
    <x v="2"/>
    <x v="0"/>
    <x v="0"/>
    <b v="1"/>
    <s v="Top 25"/>
    <x v="0"/>
  </r>
  <r>
    <d v="2026-03-12T13:03:03"/>
    <d v="2026-03-12T18:33:03"/>
    <d v="2026-03-16T05:26:35"/>
    <d v="2026-03-16T10:56:35"/>
    <d v="2026-03-14T10:04:56"/>
    <d v="2026-03-16T10:56:35"/>
    <x v="0"/>
    <n v="925"/>
    <n v="2931.65"/>
    <x v="0"/>
    <x v="63"/>
    <x v="31"/>
    <x v="4"/>
    <s v="Clinic"/>
    <s v="ushaaaam40@gmail.com"/>
    <x v="2"/>
    <s v="Trivandrum"/>
    <s v="No Go"/>
    <n v="63.72"/>
    <n v="95"/>
    <x v="1"/>
    <n v="2"/>
    <m/>
    <s v="Operative Report"/>
    <m/>
    <m/>
    <n v="1440"/>
    <s v="No"/>
    <n v="297"/>
    <s v="Normal"/>
    <s v="Achieved"/>
    <n v="0"/>
    <m/>
    <m/>
    <m/>
    <m/>
    <x v="5"/>
    <s v="Week12"/>
    <x v="4"/>
    <x v="1"/>
    <n v="92.15317011927182"/>
    <n v="0"/>
    <n v="5"/>
    <s v="Aneesh"/>
    <s v="Aneesh"/>
    <s v="Aneesh"/>
    <s v="Minor"/>
    <s v="12828538Usha M"/>
    <s v="Minor"/>
    <n v="0"/>
    <x v="0"/>
    <x v="0"/>
    <n v="1"/>
    <n v="2"/>
    <x v="2"/>
    <x v="0"/>
    <x v="0"/>
    <b v="0"/>
    <s v="Top 25"/>
    <x v="0"/>
  </r>
  <r>
    <d v="2026-03-12T10:39:51"/>
    <d v="2026-03-12T16:09:51"/>
    <d v="2026-03-16T05:34:58"/>
    <d v="2026-03-16T11:04:58"/>
    <d v="2026-03-16T10:58:10"/>
    <d v="2026-03-16T11:04:58"/>
    <x v="0"/>
    <n v="77"/>
    <n v="6.8"/>
    <x v="0"/>
    <x v="64"/>
    <x v="32"/>
    <x v="10"/>
    <s v="Clinic"/>
    <s v="gopalrajith@gmail.com"/>
    <x v="4"/>
    <s v="Trivandrum"/>
    <s v="Go"/>
    <n v="8.18"/>
    <n v="100"/>
    <x v="0"/>
    <n v="0"/>
    <m/>
    <s v="RMCA_PFT"/>
    <m/>
    <m/>
    <n v="360"/>
    <s v="No"/>
    <n v="39"/>
    <s v="Normal"/>
    <s v="Achieved"/>
    <n v="0"/>
    <m/>
    <m/>
    <m/>
    <m/>
    <x v="5"/>
    <s v="Week12"/>
    <x v="10"/>
    <x v="0"/>
    <n v="100"/>
    <n v="0"/>
    <n v="0"/>
    <s v="Ankit"/>
    <s v="Aneesh"/>
    <s v="Aneesh"/>
    <s v=""/>
    <s v="12828485Gopal Rajith"/>
    <s v=""/>
    <s v=""/>
    <x v="0"/>
    <x v="0"/>
    <s v=""/>
    <n v="0"/>
    <x v="4"/>
    <x v="0"/>
    <x v="0"/>
    <b v="0"/>
    <s v="Top 25"/>
    <x v="2"/>
  </r>
  <r>
    <d v="2026-03-06T13:46:06"/>
    <d v="2026-03-06T19:16:06"/>
    <d v="2026-03-16T06:32:07"/>
    <d v="2026-03-16T12:02:07"/>
    <d v="2026-03-16T10:57:27"/>
    <d v="2026-03-16T12:02:07"/>
    <x v="0"/>
    <n v="225"/>
    <n v="64.666700000000006"/>
    <x v="0"/>
    <x v="65"/>
    <x v="33"/>
    <x v="10"/>
    <s v="Clinic"/>
    <s v="gopalrajith@gmail.com"/>
    <x v="4"/>
    <s v="Trivandrum"/>
    <s v="Go"/>
    <n v="31.06"/>
    <n v="100"/>
    <x v="1"/>
    <n v="3"/>
    <m/>
    <s v="RMCA_OP"/>
    <m/>
    <m/>
    <n v="720"/>
    <s v="No"/>
    <n v="145"/>
    <s v="Normal"/>
    <s v="Achieved"/>
    <n v="0"/>
    <m/>
    <m/>
    <m/>
    <m/>
    <x v="5"/>
    <s v="Week12"/>
    <x v="10"/>
    <x v="0"/>
    <n v="100"/>
    <n v="0"/>
    <n v="0"/>
    <s v="Ankit"/>
    <s v="Aneesh"/>
    <s v="Aneesh"/>
    <s v="Minor"/>
    <s v="12826924Gopal Rajith"/>
    <s v="Minor"/>
    <n v="0"/>
    <x v="0"/>
    <x v="0"/>
    <n v="1"/>
    <n v="3"/>
    <x v="4"/>
    <x v="0"/>
    <x v="0"/>
    <b v="0"/>
    <s v="Top 25"/>
    <x v="2"/>
  </r>
  <r>
    <d v="2026-03-06T13:03:35"/>
    <d v="2026-03-06T18:33:35"/>
    <d v="2026-03-16T06:43:05"/>
    <d v="2026-03-16T12:13:05"/>
    <d v="2026-03-16T10:56:52"/>
    <d v="2026-03-16T12:13:05"/>
    <x v="0"/>
    <n v="1415"/>
    <n v="76.216700000000003"/>
    <x v="0"/>
    <x v="66"/>
    <x v="18"/>
    <x v="11"/>
    <s v="Clinic"/>
    <s v="gopalrajith@gmail.com"/>
    <x v="4"/>
    <s v="Trivandrum"/>
    <s v="Go"/>
    <n v="42.4"/>
    <n v="100"/>
    <x v="1"/>
    <n v="4"/>
    <m/>
    <s v="History &amp; Physical"/>
    <m/>
    <m/>
    <n v="480"/>
    <s v="No"/>
    <n v="246"/>
    <s v="Normal"/>
    <s v="Achieved"/>
    <n v="0"/>
    <m/>
    <m/>
    <m/>
    <m/>
    <x v="5"/>
    <s v="Week12"/>
    <x v="11"/>
    <x v="0"/>
    <n v="100"/>
    <n v="0"/>
    <n v="0"/>
    <s v="Aneesh"/>
    <s v="Aneesh"/>
    <s v="Aneesh"/>
    <s v="Minor"/>
    <s v="12826952Gopal Rajith"/>
    <s v="Minor"/>
    <n v="0"/>
    <x v="0"/>
    <x v="0"/>
    <n v="1"/>
    <n v="4"/>
    <x v="4"/>
    <x v="0"/>
    <x v="0"/>
    <b v="0"/>
    <s v="Fundamental"/>
    <x v="2"/>
  </r>
  <r>
    <d v="2026-03-10T15:22:11"/>
    <d v="2026-03-10T20:52:11"/>
    <d v="2026-03-16T07:03:43"/>
    <d v="2026-03-16T12:33:43"/>
    <d v="2026-03-16T10:57:03"/>
    <d v="2026-03-16T12:33:43"/>
    <x v="0"/>
    <n v="1093"/>
    <n v="96.666700000000006"/>
    <x v="0"/>
    <x v="67"/>
    <x v="3"/>
    <x v="1"/>
    <s v="Clinic"/>
    <s v="jobs4savitha@gmail.com"/>
    <x v="5"/>
    <s v="Trivandrum"/>
    <s v="No Go"/>
    <n v="24.77"/>
    <n v="98"/>
    <x v="2"/>
    <n v="2"/>
    <m/>
    <s v="Generic Operative Report"/>
    <m/>
    <m/>
    <n v="360"/>
    <s v="No"/>
    <n v="206"/>
    <s v="Normal"/>
    <s v="Achieved"/>
    <n v="0"/>
    <m/>
    <m/>
    <m/>
    <m/>
    <x v="5"/>
    <s v="Week12"/>
    <x v="1"/>
    <x v="1"/>
    <n v="91.925716592652407"/>
    <n v="2"/>
    <n v="2"/>
    <s v="Aneesh"/>
    <s v="Aneesh"/>
    <s v="Aneesh"/>
    <s v="Major"/>
    <s v="12827738Savitha Arun"/>
    <s v="Major"/>
    <n v="1"/>
    <x v="0"/>
    <x v="1"/>
    <n v="1"/>
    <n v="2"/>
    <x v="2"/>
    <x v="1"/>
    <x v="0"/>
    <b v="1"/>
    <s v="AMC Group"/>
    <x v="3"/>
  </r>
  <r>
    <d v="2026-03-10T15:22:11"/>
    <d v="2026-03-10T20:52:11"/>
    <d v="2026-03-16T07:03:43"/>
    <d v="2026-03-16T12:33:43"/>
    <d v="2026-03-16T10:57:03"/>
    <d v="2026-03-16T12:33:43"/>
    <x v="0"/>
    <n v="1093"/>
    <n v="96.666700000000006"/>
    <x v="0"/>
    <x v="67"/>
    <x v="3"/>
    <x v="1"/>
    <s v="Clinic"/>
    <s v="jobs4savitha@gmail.com"/>
    <x v="5"/>
    <s v="Trivandrum"/>
    <s v="No Go"/>
    <n v="24.77"/>
    <n v="98"/>
    <x v="1"/>
    <n v="4"/>
    <m/>
    <s v="Generic Operative Report"/>
    <m/>
    <m/>
    <n v="360"/>
    <s v="No"/>
    <n v="206"/>
    <s v="Normal"/>
    <s v="Achieved"/>
    <n v="0"/>
    <m/>
    <m/>
    <m/>
    <m/>
    <x v="5"/>
    <s v="Week12"/>
    <x v="1"/>
    <x v="1"/>
    <n v="91.925716592652407"/>
    <n v="0"/>
    <n v="2"/>
    <s v="Aneesh"/>
    <s v="Aneesh"/>
    <s v="Aneesh"/>
    <s v="Minor"/>
    <s v="12827738Savitha Arun"/>
    <s v="Minor"/>
    <n v="0"/>
    <x v="0"/>
    <x v="0"/>
    <n v="1"/>
    <n v="4"/>
    <x v="2"/>
    <x v="1"/>
    <x v="0"/>
    <b v="0"/>
    <s v="AMC Group"/>
    <x v="3"/>
  </r>
  <r>
    <d v="2026-03-10T11:31:33"/>
    <d v="2026-03-10T17:01:33"/>
    <d v="2026-03-16T07:06:12"/>
    <d v="2026-03-16T12:36:12"/>
    <d v="2026-03-16T10:57:50"/>
    <d v="2026-03-16T12:36:12"/>
    <x v="0"/>
    <n v="113"/>
    <n v="98.366699999999994"/>
    <x v="0"/>
    <x v="68"/>
    <x v="34"/>
    <x v="12"/>
    <s v="Clinic"/>
    <s v="PratheepKumar.a@cardioscribes.com"/>
    <x v="6"/>
    <s v="Chennai"/>
    <s v="Go"/>
    <n v="20.71"/>
    <n v="100"/>
    <x v="1"/>
    <n v="1"/>
    <m/>
    <s v="CAMG_OV"/>
    <m/>
    <m/>
    <n v="1440"/>
    <s v="No"/>
    <n v="74"/>
    <s v="Normal"/>
    <s v="Achieved"/>
    <n v="0"/>
    <m/>
    <m/>
    <m/>
    <m/>
    <x v="5"/>
    <s v="Week12"/>
    <x v="12"/>
    <x v="0"/>
    <n v="100"/>
    <n v="0"/>
    <n v="0"/>
    <s v="Harsh"/>
    <s v="Aneesh"/>
    <s v="Aneesh"/>
    <s v="Minor"/>
    <s v="12827705Pratheep Kumar"/>
    <s v="Minor"/>
    <n v="0"/>
    <x v="0"/>
    <x v="0"/>
    <n v="1"/>
    <n v="1"/>
    <x v="6"/>
    <x v="0"/>
    <x v="0"/>
    <b v="0"/>
    <s v="Top 25"/>
    <x v="4"/>
  </r>
  <r>
    <d v="2026-03-12T19:06:41"/>
    <d v="2026-03-13T00:36:41"/>
    <d v="2026-03-16T07:24:15"/>
    <d v="2026-03-16T12:54:15"/>
    <d v="2026-03-16T09:45:30"/>
    <d v="2026-03-16T12:54:15"/>
    <x v="0"/>
    <n v="1045"/>
    <n v="188.75"/>
    <x v="0"/>
    <x v="69"/>
    <x v="35"/>
    <x v="13"/>
    <s v="Clinic"/>
    <s v="jobs4savitha@gmail.com"/>
    <x v="5"/>
    <s v="Trivandrum"/>
    <s v="Go"/>
    <n v="95.94"/>
    <n v="100"/>
    <x v="1"/>
    <n v="9"/>
    <m/>
    <s v="Discharge Summary"/>
    <m/>
    <m/>
    <n v="1440"/>
    <s v="No"/>
    <n v="595"/>
    <s v="Normal"/>
    <s v="Achieved"/>
    <n v="0"/>
    <m/>
    <m/>
    <m/>
    <m/>
    <x v="5"/>
    <s v="Week12"/>
    <x v="13"/>
    <x v="0"/>
    <n v="100"/>
    <n v="0"/>
    <n v="0"/>
    <s v="Aneesh"/>
    <s v="Aneesh"/>
    <s v="Aneesh"/>
    <s v="Minor"/>
    <s v="12828770Savitha Arun"/>
    <s v="Minor"/>
    <n v="0"/>
    <x v="0"/>
    <x v="0"/>
    <n v="1"/>
    <n v="9"/>
    <x v="7"/>
    <x v="1"/>
    <x v="0"/>
    <b v="0"/>
    <s v="Others"/>
    <x v="3"/>
  </r>
  <r>
    <d v="2026-03-12T12:30:12"/>
    <d v="2026-03-12T18:00:12"/>
    <d v="2026-03-16T07:56:05"/>
    <d v="2026-03-16T13:26:05"/>
    <d v="2026-03-16T09:45:49"/>
    <d v="2026-03-16T13:26:05"/>
    <x v="0"/>
    <n v="1582"/>
    <n v="220.26669999999999"/>
    <x v="0"/>
    <x v="70"/>
    <x v="6"/>
    <x v="3"/>
    <s v="Clinic"/>
    <s v="Tejasahm@gmail.com"/>
    <x v="7"/>
    <s v="Ahmedabad"/>
    <s v="No Go"/>
    <n v="144.94999999999999"/>
    <n v="97"/>
    <x v="2"/>
    <n v="3"/>
    <m/>
    <s v="PSYCHOLOGICAL REPORT"/>
    <m/>
    <m/>
    <n v="1440"/>
    <s v="No"/>
    <n v="857"/>
    <s v="Normal"/>
    <s v="Achieved"/>
    <n v="0"/>
    <m/>
    <m/>
    <m/>
    <m/>
    <x v="5"/>
    <s v="Week12"/>
    <x v="3"/>
    <x v="1"/>
    <n v="97.93032080027595"/>
    <n v="3"/>
    <n v="3"/>
    <s v="Harsh"/>
    <s v="Ankit"/>
    <s v="Ankit"/>
    <s v="Major"/>
    <s v="12828532Tejas Patel"/>
    <s v="Major"/>
    <n v="1"/>
    <x v="1"/>
    <x v="1"/>
    <n v="1"/>
    <n v="3"/>
    <x v="8"/>
    <x v="0"/>
    <x v="0"/>
    <b v="1"/>
    <s v="Top 25"/>
    <x v="5"/>
  </r>
  <r>
    <d v="2026-03-12T12:30:12"/>
    <d v="2026-03-12T18:00:12"/>
    <d v="2026-03-16T07:56:05"/>
    <d v="2026-03-16T13:26:05"/>
    <d v="2026-03-16T09:45:49"/>
    <d v="2026-03-16T13:26:05"/>
    <x v="0"/>
    <n v="1582"/>
    <n v="220.26669999999999"/>
    <x v="0"/>
    <x v="70"/>
    <x v="6"/>
    <x v="3"/>
    <s v="Clinic"/>
    <s v="Tejasahm@gmail.com"/>
    <x v="7"/>
    <s v="Ahmedabad"/>
    <s v="No Go"/>
    <n v="144.94999999999999"/>
    <n v="97"/>
    <x v="1"/>
    <n v="2"/>
    <m/>
    <s v="PSYCHOLOGICAL REPORT"/>
    <m/>
    <m/>
    <n v="1440"/>
    <s v="No"/>
    <n v="857"/>
    <s v="Normal"/>
    <s v="Achieved"/>
    <n v="0"/>
    <m/>
    <m/>
    <m/>
    <m/>
    <x v="5"/>
    <s v="Week12"/>
    <x v="3"/>
    <x v="1"/>
    <n v="97.93032080027595"/>
    <n v="0"/>
    <n v="3"/>
    <s v="Harsh"/>
    <s v="Ankit"/>
    <s v="Ankit"/>
    <s v="Minor"/>
    <s v="12828532Tejas Patel"/>
    <s v="Minor"/>
    <n v="0"/>
    <x v="1"/>
    <x v="0"/>
    <n v="1"/>
    <n v="2"/>
    <x v="8"/>
    <x v="0"/>
    <x v="0"/>
    <b v="0"/>
    <s v="Top 25"/>
    <x v="5"/>
  </r>
  <r>
    <d v="2026-03-10T16:46:46"/>
    <d v="2026-03-10T22:16:46"/>
    <d v="2026-03-16T17:58:33"/>
    <d v="2026-03-16T23:28:33"/>
    <d v="2026-03-16T10:58:02"/>
    <d v="2026-03-16T23:28:33"/>
    <x v="0"/>
    <n v="454"/>
    <n v="750.51670000000001"/>
    <x v="0"/>
    <x v="71"/>
    <x v="36"/>
    <x v="12"/>
    <s v="Clinic"/>
    <s v="PratheepKumar.a@cardioscribes.com"/>
    <x v="6"/>
    <s v="Chennai"/>
    <s v="Go"/>
    <n v="38.200000000000003"/>
    <n v="100"/>
    <x v="1"/>
    <n v="1"/>
    <m/>
    <s v="CAMG_OV"/>
    <m/>
    <m/>
    <n v="1440"/>
    <s v="No"/>
    <n v="142"/>
    <s v="Normal"/>
    <s v="Achieved"/>
    <n v="0"/>
    <m/>
    <m/>
    <m/>
    <m/>
    <x v="5"/>
    <s v="Week12"/>
    <x v="12"/>
    <x v="0"/>
    <n v="100"/>
    <n v="0"/>
    <n v="0"/>
    <s v="Harsh"/>
    <s v="Aneesh"/>
    <s v="Aneesh"/>
    <s v="Minor"/>
    <s v="12827876Pratheep Kumar"/>
    <s v="Minor"/>
    <n v="0"/>
    <x v="0"/>
    <x v="0"/>
    <n v="1"/>
    <n v="1"/>
    <x v="6"/>
    <x v="0"/>
    <x v="0"/>
    <b v="0"/>
    <s v="Top 25"/>
    <x v="4"/>
  </r>
  <r>
    <d v="2026-03-10T10:21:50"/>
    <d v="2026-03-10T15:51:50"/>
    <d v="2026-03-16T18:07:33"/>
    <d v="2026-03-16T23:37:33"/>
    <d v="2026-03-16T09:44:50"/>
    <d v="2026-03-16T23:37:33"/>
    <x v="0"/>
    <n v="531"/>
    <n v="832.71669999999995"/>
    <x v="0"/>
    <x v="72"/>
    <x v="37"/>
    <x v="3"/>
    <s v="Clinic"/>
    <s v="Tejasahm@gmail.com"/>
    <x v="7"/>
    <s v="Ahmedabad"/>
    <s v="Go"/>
    <n v="77.8"/>
    <n v="99"/>
    <x v="2"/>
    <n v="1"/>
    <m/>
    <s v="PSYCHOLOGICAL REPORT"/>
    <m/>
    <m/>
    <n v="1440"/>
    <s v="No"/>
    <n v="399"/>
    <s v="Normal"/>
    <s v="Achieved"/>
    <n v="0"/>
    <m/>
    <m/>
    <m/>
    <m/>
    <x v="5"/>
    <s v="Week12"/>
    <x v="3"/>
    <x v="0"/>
    <n v="98.714652956298195"/>
    <n v="1"/>
    <n v="1"/>
    <s v="Harsh"/>
    <s v="Ankit"/>
    <s v="Ankit"/>
    <s v="Major"/>
    <s v="12827655Tejas Patel"/>
    <s v="Major"/>
    <n v="1"/>
    <x v="1"/>
    <x v="0"/>
    <n v="1"/>
    <n v="1"/>
    <x v="8"/>
    <x v="0"/>
    <x v="0"/>
    <b v="0"/>
    <s v="Top 25"/>
    <x v="5"/>
  </r>
  <r>
    <d v="2026-03-09T19:24:10"/>
    <d v="2026-03-10T00:54:10"/>
    <d v="2026-03-16T18:13:09"/>
    <d v="2026-03-16T23:43:09"/>
    <d v="2026-03-16T10:57:32"/>
    <d v="2026-03-16T23:43:09"/>
    <x v="0"/>
    <n v="329"/>
    <n v="765.61670000000004"/>
    <x v="0"/>
    <x v="73"/>
    <x v="38"/>
    <x v="14"/>
    <s v="Clinic"/>
    <s v="jobs4savitha@gmail.com"/>
    <x v="5"/>
    <s v="Trivandrum"/>
    <s v="Go"/>
    <n v="55.94"/>
    <n v="99"/>
    <x v="3"/>
    <n v="1"/>
    <m/>
    <s v="Office Visit"/>
    <m/>
    <m/>
    <n v="1440"/>
    <s v="No"/>
    <n v="126"/>
    <s v="Normal"/>
    <s v="Achieved"/>
    <n v="0"/>
    <m/>
    <m/>
    <m/>
    <m/>
    <x v="5"/>
    <s v="Week12"/>
    <x v="14"/>
    <x v="1"/>
    <n v="98.212370396853771"/>
    <n v="1"/>
    <n v="1"/>
    <s v="Aneesh"/>
    <s v="Aneesh"/>
    <s v="Aneesh"/>
    <s v="Major"/>
    <s v="12827454Savitha Arun"/>
    <s v="Major"/>
    <n v="1"/>
    <x v="0"/>
    <x v="1"/>
    <n v="1"/>
    <n v="1"/>
    <x v="1"/>
    <x v="1"/>
    <x v="0"/>
    <b v="1"/>
    <s v="Others"/>
    <x v="3"/>
  </r>
  <r>
    <d v="2026-03-09T19:24:10"/>
    <d v="2026-03-10T00:54:10"/>
    <d v="2026-03-16T18:13:09"/>
    <d v="2026-03-16T23:43:09"/>
    <d v="2026-03-16T10:57:32"/>
    <d v="2026-03-16T23:43:09"/>
    <x v="0"/>
    <n v="329"/>
    <n v="765.61670000000004"/>
    <x v="0"/>
    <x v="73"/>
    <x v="38"/>
    <x v="14"/>
    <s v="Clinic"/>
    <s v="jobs4savitha@gmail.com"/>
    <x v="5"/>
    <s v="Trivandrum"/>
    <s v="Go"/>
    <n v="55.94"/>
    <n v="99"/>
    <x v="1"/>
    <n v="1"/>
    <m/>
    <s v="Office Visit"/>
    <m/>
    <m/>
    <n v="1440"/>
    <s v="No"/>
    <n v="126"/>
    <s v="Normal"/>
    <s v="Achieved"/>
    <n v="0"/>
    <m/>
    <m/>
    <m/>
    <m/>
    <x v="5"/>
    <s v="Week12"/>
    <x v="14"/>
    <x v="1"/>
    <n v="98.212370396853771"/>
    <n v="0"/>
    <n v="1"/>
    <s v="Aneesh"/>
    <s v="Aneesh"/>
    <s v="Aneesh"/>
    <s v="Minor"/>
    <s v="12827454Savitha Arun"/>
    <s v="Minor"/>
    <n v="0"/>
    <x v="0"/>
    <x v="0"/>
    <n v="1"/>
    <n v="1"/>
    <x v="1"/>
    <x v="1"/>
    <x v="0"/>
    <b v="0"/>
    <s v="Others"/>
    <x v="3"/>
  </r>
  <r>
    <d v="2026-03-10T16:10:20"/>
    <d v="2026-03-10T21:40:20"/>
    <d v="2026-03-16T18:23:13"/>
    <d v="2026-03-16T23:53:13"/>
    <d v="2026-03-16T09:45:13"/>
    <d v="2026-03-16T23:53:13"/>
    <x v="0"/>
    <n v="627"/>
    <n v="848"/>
    <x v="0"/>
    <x v="74"/>
    <x v="37"/>
    <x v="3"/>
    <s v="Clinic"/>
    <s v="Tejasahm@gmail.com"/>
    <x v="7"/>
    <s v="Ahmedabad"/>
    <s v="Go"/>
    <n v="76.45"/>
    <n v="99"/>
    <x v="2"/>
    <n v="1"/>
    <m/>
    <s v="PSYCHOLOGICAL REPORT"/>
    <m/>
    <m/>
    <n v="1440"/>
    <s v="No"/>
    <n v="416"/>
    <s v="Normal"/>
    <s v="Achieved"/>
    <n v="0"/>
    <m/>
    <m/>
    <m/>
    <m/>
    <x v="5"/>
    <s v="Week12"/>
    <x v="3"/>
    <x v="0"/>
    <n v="98.691955526487902"/>
    <n v="1"/>
    <n v="1"/>
    <s v="Harsh"/>
    <s v="Ankit"/>
    <s v="Ankit"/>
    <s v="Major"/>
    <s v="12827753Tejas Patel"/>
    <s v="Major"/>
    <n v="1"/>
    <x v="1"/>
    <x v="1"/>
    <n v="1"/>
    <n v="1"/>
    <x v="8"/>
    <x v="0"/>
    <x v="0"/>
    <b v="1"/>
    <s v="Top 25"/>
    <x v="5"/>
  </r>
  <r>
    <d v="2026-03-10T16:10:20"/>
    <d v="2026-03-10T21:40:20"/>
    <d v="2026-03-16T18:23:13"/>
    <d v="2026-03-16T23:53:13"/>
    <d v="2026-03-16T09:45:13"/>
    <d v="2026-03-16T23:53:13"/>
    <x v="0"/>
    <n v="627"/>
    <n v="848"/>
    <x v="0"/>
    <x v="74"/>
    <x v="37"/>
    <x v="3"/>
    <s v="Clinic"/>
    <s v="Tejasahm@gmail.com"/>
    <x v="7"/>
    <s v="Ahmedabad"/>
    <s v="Go"/>
    <n v="76.45"/>
    <n v="99"/>
    <x v="1"/>
    <n v="2"/>
    <m/>
    <s v="PSYCHOLOGICAL REPORT"/>
    <m/>
    <m/>
    <n v="1440"/>
    <s v="No"/>
    <n v="416"/>
    <s v="Normal"/>
    <s v="Achieved"/>
    <n v="0"/>
    <m/>
    <m/>
    <m/>
    <m/>
    <x v="5"/>
    <s v="Week12"/>
    <x v="3"/>
    <x v="0"/>
    <n v="98.691955526487902"/>
    <n v="0"/>
    <n v="1"/>
    <s v="Harsh"/>
    <s v="Ankit"/>
    <s v="Ankit"/>
    <s v="Minor"/>
    <s v="12827753Tejas Patel"/>
    <s v="Minor"/>
    <n v="0"/>
    <x v="1"/>
    <x v="0"/>
    <n v="1"/>
    <n v="2"/>
    <x v="8"/>
    <x v="0"/>
    <x v="0"/>
    <b v="0"/>
    <s v="Top 25"/>
    <x v="5"/>
  </r>
  <r>
    <d v="2026-03-10T12:51:36"/>
    <d v="2026-03-10T18:21:36"/>
    <d v="2026-03-16T18:30:14"/>
    <d v="2026-03-17T00:00:14"/>
    <d v="2026-03-16T09:46:30"/>
    <d v="2026-03-17T00:00:14"/>
    <x v="0"/>
    <n v="405"/>
    <n v="853.73329999999999"/>
    <x v="0"/>
    <x v="75"/>
    <x v="39"/>
    <x v="2"/>
    <s v="Clinic"/>
    <s v="gopalrajith@gmail.com"/>
    <x v="4"/>
    <s v="Trivandrum"/>
    <s v="Go"/>
    <n v="77.17"/>
    <n v="100"/>
    <x v="1"/>
    <n v="4"/>
    <m/>
    <s v="Psychiatric Assessment"/>
    <m/>
    <m/>
    <n v="1440"/>
    <s v="No"/>
    <n v="278"/>
    <s v="Normal"/>
    <s v="Achieved"/>
    <n v="0"/>
    <m/>
    <m/>
    <m/>
    <m/>
    <x v="6"/>
    <s v="Week12"/>
    <x v="2"/>
    <x v="0"/>
    <n v="100"/>
    <n v="0"/>
    <n v="0"/>
    <s v="Aneesh"/>
    <s v="Aneesh"/>
    <s v="Aneesh"/>
    <s v="Minor"/>
    <s v="12827742Gopal Rajith"/>
    <s v="Minor"/>
    <n v="0"/>
    <x v="0"/>
    <x v="0"/>
    <n v="1"/>
    <n v="4"/>
    <x v="4"/>
    <x v="0"/>
    <x v="1"/>
    <b v="0"/>
    <s v="Fundamental"/>
    <x v="2"/>
  </r>
  <r>
    <d v="2026-03-11T08:31:12"/>
    <d v="2026-03-11T14:01:12"/>
    <d v="2026-03-17T06:05:53"/>
    <d v="2026-03-17T11:35:53"/>
    <d v="2026-03-16T10:57:20"/>
    <d v="2026-03-17T11:35:53"/>
    <x v="0"/>
    <n v="732"/>
    <n v="1478.55"/>
    <x v="0"/>
    <x v="76"/>
    <x v="2"/>
    <x v="2"/>
    <s v="Clinic"/>
    <s v="gopalrajith@gmail.com"/>
    <x v="4"/>
    <s v="Trivandrum"/>
    <s v="Go"/>
    <n v="70.180000000000007"/>
    <n v="100"/>
    <x v="0"/>
    <n v="0"/>
    <m/>
    <s v="Psychiatric Assessment"/>
    <m/>
    <m/>
    <n v="1440"/>
    <s v="No"/>
    <n v="203"/>
    <s v="Normal"/>
    <s v="Achieved"/>
    <n v="0"/>
    <m/>
    <m/>
    <m/>
    <m/>
    <x v="6"/>
    <s v="Week12"/>
    <x v="2"/>
    <x v="0"/>
    <n v="100"/>
    <n v="0"/>
    <n v="0"/>
    <s v="Aneesh"/>
    <s v="Aneesh"/>
    <s v="Aneesh"/>
    <s v=""/>
    <s v="12828056Gopal Rajith"/>
    <s v=""/>
    <s v=""/>
    <x v="0"/>
    <x v="0"/>
    <s v=""/>
    <n v="0"/>
    <x v="4"/>
    <x v="0"/>
    <x v="0"/>
    <b v="0"/>
    <s v="Fundamental"/>
    <x v="2"/>
  </r>
  <r>
    <d v="2026-03-10T14:01:02"/>
    <d v="2026-03-10T19:31:02"/>
    <d v="2026-03-17T06:27:51"/>
    <d v="2026-03-17T11:57:51"/>
    <d v="2026-03-16T09:45:03"/>
    <d v="2026-03-17T11:57:51"/>
    <x v="0"/>
    <n v="1014"/>
    <n v="1572.8"/>
    <x v="0"/>
    <x v="77"/>
    <x v="40"/>
    <x v="3"/>
    <s v="Clinic"/>
    <s v="PratheepKumar.a@cardioscribes.com"/>
    <x v="6"/>
    <s v="Chennai"/>
    <s v="Go"/>
    <n v="83.65"/>
    <n v="99"/>
    <x v="6"/>
    <n v="1"/>
    <m/>
    <s v="Internal Medicine"/>
    <m/>
    <m/>
    <n v="1440"/>
    <s v="No"/>
    <n v="399"/>
    <s v="Normal"/>
    <s v="Achieved"/>
    <n v="0"/>
    <m/>
    <m/>
    <m/>
    <m/>
    <x v="6"/>
    <s v="Week12"/>
    <x v="3"/>
    <x v="0"/>
    <n v="98.804542737597131"/>
    <n v="1"/>
    <n v="1"/>
    <s v="Harsh"/>
    <s v="Aneesh"/>
    <s v="Aneesh"/>
    <s v="Major"/>
    <s v="12827728Pratheep Kumar"/>
    <s v="Major"/>
    <n v="1"/>
    <x v="0"/>
    <x v="1"/>
    <n v="1"/>
    <n v="1"/>
    <x v="6"/>
    <x v="0"/>
    <x v="0"/>
    <b v="1"/>
    <s v="Top 25"/>
    <x v="4"/>
  </r>
  <r>
    <d v="2026-03-10T14:01:02"/>
    <d v="2026-03-10T19:31:02"/>
    <d v="2026-03-17T06:27:51"/>
    <d v="2026-03-17T11:57:51"/>
    <d v="2026-03-16T09:45:03"/>
    <d v="2026-03-17T11:57:51"/>
    <x v="0"/>
    <n v="1014"/>
    <n v="1572.8"/>
    <x v="0"/>
    <x v="77"/>
    <x v="40"/>
    <x v="3"/>
    <s v="Clinic"/>
    <s v="PratheepKumar.a@cardioscribes.com"/>
    <x v="6"/>
    <s v="Chennai"/>
    <s v="Go"/>
    <n v="83.65"/>
    <n v="99"/>
    <x v="1"/>
    <n v="4"/>
    <m/>
    <s v="Internal Medicine"/>
    <m/>
    <m/>
    <n v="1440"/>
    <s v="No"/>
    <n v="399"/>
    <s v="Normal"/>
    <s v="Achieved"/>
    <n v="0"/>
    <m/>
    <m/>
    <m/>
    <m/>
    <x v="6"/>
    <s v="Week12"/>
    <x v="3"/>
    <x v="0"/>
    <n v="98.804542737597131"/>
    <n v="0"/>
    <n v="1"/>
    <s v="Harsh"/>
    <s v="Aneesh"/>
    <s v="Aneesh"/>
    <s v="Minor"/>
    <s v="12827728Pratheep Kumar"/>
    <s v="Minor"/>
    <n v="0"/>
    <x v="0"/>
    <x v="0"/>
    <n v="1"/>
    <n v="4"/>
    <x v="6"/>
    <x v="0"/>
    <x v="0"/>
    <b v="0"/>
    <s v="Top 25"/>
    <x v="4"/>
  </r>
  <r>
    <d v="2026-03-12T12:27:38"/>
    <d v="2026-03-12T17:57:38"/>
    <d v="2026-03-17T06:48:45"/>
    <d v="2026-03-17T12:18:45"/>
    <d v="2026-03-16T09:45:40"/>
    <d v="2026-03-17T12:18:45"/>
    <x v="0"/>
    <n v="2015"/>
    <n v="1593.0833"/>
    <x v="0"/>
    <x v="78"/>
    <x v="41"/>
    <x v="3"/>
    <s v="Clinic"/>
    <s v="PratheepKumar.a@cardioscribes.com"/>
    <x v="6"/>
    <s v="Chennai"/>
    <s v="No Go"/>
    <n v="124.25"/>
    <n v="95"/>
    <x v="2"/>
    <n v="5"/>
    <m/>
    <s v="PSYCHOLOGICAL REPORT"/>
    <m/>
    <m/>
    <n v="1440"/>
    <s v="No"/>
    <n v="620"/>
    <s v="Normal"/>
    <s v="Achieved"/>
    <n v="1"/>
    <m/>
    <m/>
    <m/>
    <m/>
    <x v="6"/>
    <s v="Week12"/>
    <x v="3"/>
    <x v="1"/>
    <n v="95.975855130784709"/>
    <n v="5"/>
    <n v="5"/>
    <s v="Harsh"/>
    <s v="Aneesh"/>
    <s v="Aneesh"/>
    <s v="Major"/>
    <s v="12828531Pratheep Kumar"/>
    <s v="Major"/>
    <n v="1"/>
    <x v="0"/>
    <x v="1"/>
    <n v="1"/>
    <n v="5"/>
    <x v="6"/>
    <x v="0"/>
    <x v="0"/>
    <b v="1"/>
    <s v="Top 25"/>
    <x v="4"/>
  </r>
  <r>
    <d v="2026-03-12T12:27:38"/>
    <d v="2026-03-12T17:57:38"/>
    <d v="2026-03-17T06:48:45"/>
    <d v="2026-03-17T12:18:45"/>
    <d v="2026-03-16T09:45:40"/>
    <d v="2026-03-17T12:18:45"/>
    <x v="0"/>
    <n v="2015"/>
    <n v="1593.0833"/>
    <x v="0"/>
    <x v="78"/>
    <x v="41"/>
    <x v="3"/>
    <s v="Clinic"/>
    <s v="PratheepKumar.a@cardioscribes.com"/>
    <x v="6"/>
    <s v="Chennai"/>
    <s v="No Go"/>
    <n v="124.25"/>
    <n v="95"/>
    <x v="1"/>
    <n v="3"/>
    <m/>
    <s v="PSYCHOLOGICAL REPORT"/>
    <m/>
    <m/>
    <n v="1440"/>
    <s v="No"/>
    <n v="620"/>
    <s v="Normal"/>
    <s v="Achieved"/>
    <n v="1"/>
    <m/>
    <m/>
    <m/>
    <m/>
    <x v="6"/>
    <s v="Week12"/>
    <x v="3"/>
    <x v="1"/>
    <n v="95.975855130784709"/>
    <n v="0"/>
    <n v="5"/>
    <s v="Harsh"/>
    <s v="Aneesh"/>
    <s v="Aneesh"/>
    <s v="Minor"/>
    <s v="12828531Pratheep Kumar"/>
    <s v="Minor"/>
    <n v="0"/>
    <x v="0"/>
    <x v="0"/>
    <n v="1"/>
    <n v="3"/>
    <x v="6"/>
    <x v="0"/>
    <x v="0"/>
    <b v="0"/>
    <s v="Top 25"/>
    <x v="4"/>
  </r>
  <r>
    <d v="2026-03-12T11:38:13"/>
    <d v="2026-03-12T17:08:13"/>
    <d v="2026-03-17T07:03:15"/>
    <d v="2026-03-17T12:33:15"/>
    <d v="2026-03-16T09:46:21"/>
    <d v="2026-03-17T12:33:15"/>
    <x v="0"/>
    <n v="798"/>
    <n v="1606.9"/>
    <x v="0"/>
    <x v="79"/>
    <x v="40"/>
    <x v="3"/>
    <s v="Clinic"/>
    <s v="PratheepKumar.a@cardioscribes.com"/>
    <x v="6"/>
    <s v="Chennai"/>
    <s v="Go"/>
    <n v="53.08"/>
    <n v="100"/>
    <x v="0"/>
    <n v="0"/>
    <m/>
    <s v="Ortho"/>
    <m/>
    <m/>
    <n v="1440"/>
    <s v="No"/>
    <n v="327"/>
    <s v="Normal"/>
    <s v="Achieved"/>
    <n v="0"/>
    <m/>
    <m/>
    <m/>
    <m/>
    <x v="6"/>
    <s v="Week12"/>
    <x v="3"/>
    <x v="0"/>
    <n v="100"/>
    <n v="0"/>
    <n v="0"/>
    <s v="Harsh"/>
    <s v="Aneesh"/>
    <s v="Aneesh"/>
    <s v=""/>
    <s v="12828503Pratheep Kumar"/>
    <s v=""/>
    <s v=""/>
    <x v="0"/>
    <x v="0"/>
    <s v=""/>
    <n v="0"/>
    <x v="6"/>
    <x v="0"/>
    <x v="0"/>
    <b v="0"/>
    <s v="Top 25"/>
    <x v="4"/>
  </r>
  <r>
    <d v="2026-03-11T17:44:17"/>
    <d v="2026-03-11T23:14:17"/>
    <d v="2026-03-17T07:14:42"/>
    <d v="2026-03-17T12:44:42"/>
    <d v="2026-03-17T09:41:37"/>
    <d v="2026-03-17T12:44:42"/>
    <x v="0"/>
    <n v="554"/>
    <n v="183.08330000000001"/>
    <x v="0"/>
    <x v="80"/>
    <x v="42"/>
    <x v="12"/>
    <s v="Clinic"/>
    <s v="Tejasahm@gmail.com"/>
    <x v="7"/>
    <s v="Ahmedabad"/>
    <s v="Go"/>
    <n v="59.46"/>
    <n v="99"/>
    <x v="6"/>
    <n v="1"/>
    <m/>
    <s v="CAMG_OV"/>
    <m/>
    <m/>
    <n v="1440"/>
    <s v="No"/>
    <n v="291"/>
    <s v="Normal"/>
    <s v="Achieved"/>
    <n v="0"/>
    <m/>
    <m/>
    <m/>
    <m/>
    <x v="6"/>
    <s v="Week12"/>
    <x v="12"/>
    <x v="1"/>
    <n v="98.318197107299028"/>
    <n v="1"/>
    <n v="1"/>
    <s v="Harsh"/>
    <s v="Ankit"/>
    <s v="Ankit"/>
    <s v="Major"/>
    <s v="12828364Tejas Patel"/>
    <s v="Major"/>
    <n v="1"/>
    <x v="1"/>
    <x v="1"/>
    <n v="1"/>
    <n v="1"/>
    <x v="8"/>
    <x v="0"/>
    <x v="0"/>
    <b v="1"/>
    <s v="Top 25"/>
    <x v="5"/>
  </r>
  <r>
    <d v="2026-03-11T17:44:17"/>
    <d v="2026-03-11T23:14:17"/>
    <d v="2026-03-17T07:14:42"/>
    <d v="2026-03-17T12:44:42"/>
    <d v="2026-03-17T09:41:37"/>
    <d v="2026-03-17T12:44:42"/>
    <x v="0"/>
    <n v="554"/>
    <n v="183.08330000000001"/>
    <x v="0"/>
    <x v="80"/>
    <x v="42"/>
    <x v="12"/>
    <s v="Clinic"/>
    <s v="Tejasahm@gmail.com"/>
    <x v="7"/>
    <s v="Ahmedabad"/>
    <s v="Go"/>
    <n v="59.46"/>
    <n v="99"/>
    <x v="1"/>
    <n v="1"/>
    <m/>
    <s v="CAMG_OV"/>
    <m/>
    <m/>
    <n v="1440"/>
    <s v="No"/>
    <n v="291"/>
    <s v="Normal"/>
    <s v="Achieved"/>
    <n v="0"/>
    <m/>
    <m/>
    <m/>
    <m/>
    <x v="6"/>
    <s v="Week12"/>
    <x v="12"/>
    <x v="1"/>
    <n v="98.318197107299028"/>
    <n v="0"/>
    <n v="1"/>
    <s v="Harsh"/>
    <s v="Ankit"/>
    <s v="Ankit"/>
    <s v="Minor"/>
    <s v="12828364Tejas Patel"/>
    <s v="Minor"/>
    <n v="0"/>
    <x v="1"/>
    <x v="0"/>
    <n v="1"/>
    <n v="1"/>
    <x v="8"/>
    <x v="0"/>
    <x v="0"/>
    <b v="0"/>
    <s v="Top 25"/>
    <x v="5"/>
  </r>
  <r>
    <d v="2026-03-12T11:25:39"/>
    <d v="2026-03-12T16:55:39"/>
    <d v="2026-03-17T07:32:06"/>
    <d v="2026-03-17T13:02:06"/>
    <d v="2026-03-16T09:46:08"/>
    <d v="2026-03-17T13:02:06"/>
    <x v="0"/>
    <n v="939"/>
    <n v="1635.9666999999999"/>
    <x v="0"/>
    <x v="81"/>
    <x v="39"/>
    <x v="2"/>
    <s v="Clinic"/>
    <s v="jobs4savitha@gmail.com"/>
    <x v="5"/>
    <s v="Trivandrum"/>
    <s v="Go"/>
    <n v="74.02"/>
    <n v="100"/>
    <x v="1"/>
    <n v="2"/>
    <m/>
    <s v="Psychiatric Assessment"/>
    <m/>
    <m/>
    <n v="1440"/>
    <s v="No"/>
    <n v="340"/>
    <s v="Normal"/>
    <s v="Achieved"/>
    <n v="1"/>
    <m/>
    <m/>
    <m/>
    <m/>
    <x v="6"/>
    <s v="Week12"/>
    <x v="2"/>
    <x v="0"/>
    <n v="100"/>
    <n v="0"/>
    <n v="0"/>
    <s v="Aneesh"/>
    <s v="Aneesh"/>
    <s v="Aneesh"/>
    <s v="Minor"/>
    <s v="12828541Savitha Arun"/>
    <s v="Minor"/>
    <n v="0"/>
    <x v="0"/>
    <x v="0"/>
    <n v="1"/>
    <n v="2"/>
    <x v="9"/>
    <x v="1"/>
    <x v="0"/>
    <b v="0"/>
    <s v="Fundamental"/>
    <x v="3"/>
  </r>
  <r>
    <d v="2026-03-16T21:48:15"/>
    <d v="2026-03-17T03:18:15"/>
    <d v="2026-03-17T17:29:09"/>
    <d v="2026-03-17T22:59:09"/>
    <d v="2026-03-17T19:30:04"/>
    <d v="2026-03-17T22:59:09"/>
    <x v="0"/>
    <n v="435"/>
    <n v="209.08330000000001"/>
    <x v="0"/>
    <x v="82"/>
    <x v="13"/>
    <x v="0"/>
    <s v="Clinic"/>
    <s v="sandeepskn88@gmail.com"/>
    <x v="1"/>
    <s v="Trivandrum"/>
    <s v="Go"/>
    <n v="32.68"/>
    <n v="99"/>
    <x v="4"/>
    <n v="1"/>
    <m/>
    <s v="HAH_SLEEP"/>
    <m/>
    <m/>
    <n v="1440"/>
    <s v="No"/>
    <n v="241"/>
    <s v="Normal"/>
    <s v="Null"/>
    <n v="0"/>
    <m/>
    <m/>
    <m/>
    <m/>
    <x v="6"/>
    <s v="Week12"/>
    <x v="0"/>
    <x v="1"/>
    <n v="96.940024479804165"/>
    <n v="1"/>
    <n v="1"/>
    <s v="Aneesh"/>
    <s v="Aneesh"/>
    <s v="Aneesh"/>
    <s v="Major"/>
    <s v="12829564Sandeep S"/>
    <s v="Major"/>
    <n v="1"/>
    <x v="0"/>
    <x v="0"/>
    <n v="1"/>
    <n v="1"/>
    <x v="1"/>
    <x v="0"/>
    <x v="0"/>
    <b v="0"/>
    <s v="Others"/>
    <x v="0"/>
  </r>
  <r>
    <d v="2026-03-13T14:40:13"/>
    <d v="2026-03-13T20:10:13"/>
    <d v="2026-03-17T17:35:40"/>
    <d v="2026-03-17T23:05:40"/>
    <d v="2026-03-17T14:49:06"/>
    <d v="2026-03-17T23:05:40"/>
    <x v="0"/>
    <n v="370"/>
    <n v="496.56670000000003"/>
    <x v="0"/>
    <x v="83"/>
    <x v="43"/>
    <x v="4"/>
    <s v="Clinic"/>
    <s v="sandeepskn88@gmail.com"/>
    <x v="1"/>
    <s v="Trivandrum"/>
    <s v="Go"/>
    <n v="42.35"/>
    <n v="100"/>
    <x v="0"/>
    <n v="0"/>
    <m/>
    <s v="Hospice"/>
    <m/>
    <m/>
    <n v="1440"/>
    <s v="No"/>
    <n v="297"/>
    <s v="Normal"/>
    <s v="Achieved"/>
    <n v="0"/>
    <m/>
    <m/>
    <m/>
    <m/>
    <x v="6"/>
    <s v="Week12"/>
    <x v="4"/>
    <x v="0"/>
    <n v="100"/>
    <n v="0"/>
    <n v="0"/>
    <s v="Aneesh"/>
    <s v="Aneesh"/>
    <s v="Aneesh"/>
    <s v=""/>
    <s v="12828958Sandeep S"/>
    <s v=""/>
    <s v=""/>
    <x v="0"/>
    <x v="0"/>
    <s v=""/>
    <n v="0"/>
    <x v="1"/>
    <x v="0"/>
    <x v="0"/>
    <b v="0"/>
    <s v="Top 25"/>
    <x v="0"/>
  </r>
  <r>
    <d v="2026-03-15T16:32:16"/>
    <d v="2026-03-15T22:02:16"/>
    <d v="2026-03-17T18:00:06"/>
    <d v="2026-03-17T23:30:06"/>
    <d v="2026-03-17T19:30:39"/>
    <d v="2026-03-17T23:30:06"/>
    <x v="0"/>
    <n v="178"/>
    <n v="239.45"/>
    <x v="0"/>
    <x v="84"/>
    <x v="13"/>
    <x v="0"/>
    <s v="Clinic"/>
    <s v="sandeepskn88@gmail.com"/>
    <x v="1"/>
    <s v="Trivandrum"/>
    <s v="Go"/>
    <n v="22.09"/>
    <n v="100"/>
    <x v="1"/>
    <n v="1"/>
    <m/>
    <s v="HAH_SLEEP"/>
    <m/>
    <m/>
    <n v="1440"/>
    <s v="No"/>
    <n v="142"/>
    <s v="Normal"/>
    <s v="Achieved"/>
    <n v="0"/>
    <m/>
    <m/>
    <m/>
    <m/>
    <x v="6"/>
    <s v="Week12"/>
    <x v="0"/>
    <x v="0"/>
    <n v="100"/>
    <n v="0"/>
    <n v="0"/>
    <s v="Aneesh"/>
    <s v="Aneesh"/>
    <s v="Aneesh"/>
    <s v="Minor"/>
    <s v="12829210Sandeep S"/>
    <s v="Minor"/>
    <n v="0"/>
    <x v="0"/>
    <x v="0"/>
    <n v="1"/>
    <n v="1"/>
    <x v="1"/>
    <x v="0"/>
    <x v="0"/>
    <b v="0"/>
    <s v="Others"/>
    <x v="0"/>
  </r>
  <r>
    <d v="2026-03-13T09:17:14"/>
    <d v="2026-03-13T14:47:14"/>
    <d v="2026-03-17T18:09:45"/>
    <d v="2026-03-17T23:39:45"/>
    <d v="2026-03-17T14:50:21"/>
    <d v="2026-03-17T23:39:45"/>
    <x v="0"/>
    <n v="533"/>
    <n v="529.4"/>
    <x v="0"/>
    <x v="85"/>
    <x v="24"/>
    <x v="4"/>
    <s v="Clinic"/>
    <s v="ushaaaam40@gmail.com"/>
    <x v="2"/>
    <s v="Trivandrum"/>
    <s v="Go"/>
    <n v="65.319999999999993"/>
    <n v="99"/>
    <x v="2"/>
    <n v="1"/>
    <m/>
    <s v="Operative report"/>
    <m/>
    <m/>
    <n v="1440"/>
    <s v="No"/>
    <n v="405"/>
    <s v="Normal"/>
    <s v="Achieved"/>
    <n v="2"/>
    <m/>
    <m/>
    <m/>
    <m/>
    <x v="6"/>
    <s v="Week12"/>
    <x v="4"/>
    <x v="1"/>
    <n v="98.469075321494188"/>
    <n v="1"/>
    <n v="1"/>
    <s v="Aneesh"/>
    <s v="Aneesh"/>
    <s v="Aneesh"/>
    <s v="Major"/>
    <s v="12828836Usha M"/>
    <s v="Major"/>
    <n v="1"/>
    <x v="0"/>
    <x v="1"/>
    <n v="1"/>
    <n v="1"/>
    <x v="2"/>
    <x v="0"/>
    <x v="1"/>
    <b v="1"/>
    <s v="Top 25"/>
    <x v="0"/>
  </r>
  <r>
    <d v="2026-03-13T09:17:14"/>
    <d v="2026-03-13T14:47:14"/>
    <d v="2026-03-17T18:09:45"/>
    <d v="2026-03-17T23:39:45"/>
    <d v="2026-03-17T14:50:21"/>
    <d v="2026-03-17T23:39:45"/>
    <x v="0"/>
    <n v="533"/>
    <n v="529.4"/>
    <x v="0"/>
    <x v="85"/>
    <x v="24"/>
    <x v="4"/>
    <s v="Clinic"/>
    <s v="ushaaaam40@gmail.com"/>
    <x v="2"/>
    <s v="Trivandrum"/>
    <s v="Go"/>
    <n v="65.319999999999993"/>
    <n v="99"/>
    <x v="1"/>
    <n v="1"/>
    <m/>
    <s v="Operative report"/>
    <m/>
    <m/>
    <n v="1440"/>
    <s v="No"/>
    <n v="405"/>
    <s v="Normal"/>
    <s v="Achieved"/>
    <n v="2"/>
    <m/>
    <m/>
    <m/>
    <m/>
    <x v="6"/>
    <s v="Week12"/>
    <x v="4"/>
    <x v="1"/>
    <n v="98.469075321494188"/>
    <n v="0"/>
    <n v="1"/>
    <s v="Aneesh"/>
    <s v="Aneesh"/>
    <s v="Aneesh"/>
    <s v="Minor"/>
    <s v="12828836Usha M"/>
    <s v="Minor"/>
    <n v="0"/>
    <x v="0"/>
    <x v="0"/>
    <n v="1"/>
    <n v="1"/>
    <x v="2"/>
    <x v="0"/>
    <x v="1"/>
    <b v="0"/>
    <s v="Top 25"/>
    <x v="0"/>
  </r>
  <r>
    <d v="2026-03-10T13:11:02"/>
    <d v="2026-03-10T18:41:02"/>
    <d v="2026-03-17T18:16:49"/>
    <d v="2026-03-17T23:46:49"/>
    <d v="2026-03-17T14:50:49"/>
    <d v="2026-03-17T23:46:49"/>
    <x v="0"/>
    <n v="413"/>
    <n v="536"/>
    <x v="0"/>
    <x v="86"/>
    <x v="29"/>
    <x v="4"/>
    <s v="Clinic"/>
    <s v="ushaaaam40@gmail.com"/>
    <x v="2"/>
    <s v="Trivandrum"/>
    <s v="Go"/>
    <n v="53.66"/>
    <n v="100"/>
    <x v="1"/>
    <n v="1"/>
    <m/>
    <s v="Consultation"/>
    <m/>
    <m/>
    <n v="720"/>
    <s v="No"/>
    <n v="412"/>
    <s v="Normal"/>
    <s v="Achieved"/>
    <n v="0"/>
    <m/>
    <m/>
    <m/>
    <m/>
    <x v="6"/>
    <s v="Week12"/>
    <x v="4"/>
    <x v="0"/>
    <n v="100"/>
    <n v="0"/>
    <n v="0"/>
    <s v="Aneesh"/>
    <s v="Aneesh"/>
    <s v="Aneesh"/>
    <s v="Minor"/>
    <s v="12827698Usha M"/>
    <s v="Minor"/>
    <n v="0"/>
    <x v="0"/>
    <x v="0"/>
    <n v="1"/>
    <n v="1"/>
    <x v="2"/>
    <x v="0"/>
    <x v="0"/>
    <b v="0"/>
    <s v="Top 25"/>
    <x v="0"/>
  </r>
  <r>
    <d v="2026-03-10T08:31:52"/>
    <d v="2026-03-10T14:01:52"/>
    <d v="2026-03-17T18:20:20"/>
    <d v="2026-03-17T23:50:20"/>
    <d v="2026-03-17T14:51:35"/>
    <d v="2026-03-17T23:50:20"/>
    <x v="0"/>
    <n v="231"/>
    <n v="538.75"/>
    <x v="0"/>
    <x v="87"/>
    <x v="0"/>
    <x v="0"/>
    <s v="Clinic"/>
    <s v="ushaaaam40@gmail.com"/>
    <x v="2"/>
    <s v="Trivandrum"/>
    <s v="Go"/>
    <n v="35.32"/>
    <n v="100"/>
    <x v="0"/>
    <n v="0"/>
    <m/>
    <s v="HAH_OP"/>
    <m/>
    <m/>
    <n v="120"/>
    <s v="No"/>
    <n v="152"/>
    <s v="Normal"/>
    <s v="Achieved"/>
    <n v="0"/>
    <m/>
    <m/>
    <m/>
    <m/>
    <x v="6"/>
    <s v="Week12"/>
    <x v="0"/>
    <x v="0"/>
    <n v="100"/>
    <n v="0"/>
    <n v="0"/>
    <s v="Aneesh"/>
    <s v="Aneesh"/>
    <s v="Aneesh"/>
    <s v=""/>
    <s v="12827628Usha M"/>
    <s v=""/>
    <s v=""/>
    <x v="0"/>
    <x v="0"/>
    <s v=""/>
    <n v="0"/>
    <x v="2"/>
    <x v="0"/>
    <x v="0"/>
    <b v="0"/>
    <s v="Others"/>
    <x v="0"/>
  </r>
  <r>
    <d v="2026-03-14T10:40:23"/>
    <d v="2026-03-14T16:10:23"/>
    <d v="2026-03-17T18:25:08"/>
    <d v="2026-03-17T23:55:08"/>
    <d v="2026-03-17T19:31:05"/>
    <d v="2026-03-17T23:55:08"/>
    <x v="0"/>
    <n v="269"/>
    <n v="264.05"/>
    <x v="0"/>
    <x v="88"/>
    <x v="13"/>
    <x v="0"/>
    <s v="Clinic"/>
    <s v="ushaaaam40@gmail.com"/>
    <x v="2"/>
    <s v="Trivandrum"/>
    <s v="Go"/>
    <n v="32.35"/>
    <n v="99"/>
    <x v="7"/>
    <n v="1"/>
    <m/>
    <s v="HAH_SLEEP"/>
    <m/>
    <m/>
    <n v="1440"/>
    <s v="No"/>
    <n v="180"/>
    <s v="Normal"/>
    <s v="Achieved"/>
    <n v="0"/>
    <m/>
    <m/>
    <m/>
    <m/>
    <x v="6"/>
    <s v="Week12"/>
    <x v="0"/>
    <x v="1"/>
    <n v="96.908809891808346"/>
    <n v="1"/>
    <n v="1"/>
    <s v="Aneesh"/>
    <s v="Aneesh"/>
    <s v="Aneesh"/>
    <s v="Major"/>
    <s v="12829125Usha M"/>
    <s v="Major"/>
    <n v="1"/>
    <x v="0"/>
    <x v="0"/>
    <n v="1"/>
    <n v="1"/>
    <x v="2"/>
    <x v="0"/>
    <x v="0"/>
    <b v="0"/>
    <s v="Others"/>
    <x v="0"/>
  </r>
  <r>
    <d v="2026-03-13T09:21:31"/>
    <d v="2026-03-13T14:51:31"/>
    <d v="2026-03-17T18:28:56"/>
    <d v="2026-03-17T23:58:56"/>
    <d v="2026-03-17T14:51:45"/>
    <d v="2026-03-17T23:58:56"/>
    <x v="0"/>
    <n v="215"/>
    <n v="547.18330000000003"/>
    <x v="0"/>
    <x v="89"/>
    <x v="44"/>
    <x v="4"/>
    <s v="Clinic"/>
    <s v="ushaaaam40@gmail.com"/>
    <x v="2"/>
    <s v="Trivandrum"/>
    <s v="Go"/>
    <n v="26.83"/>
    <n v="100"/>
    <x v="1"/>
    <n v="1"/>
    <m/>
    <s v="Operative report"/>
    <m/>
    <m/>
    <n v="1440"/>
    <s v="No"/>
    <n v="158"/>
    <s v="Normal"/>
    <s v="Achieved"/>
    <n v="0"/>
    <m/>
    <m/>
    <m/>
    <m/>
    <x v="6"/>
    <s v="Week12"/>
    <x v="4"/>
    <x v="0"/>
    <n v="100"/>
    <n v="0"/>
    <n v="0"/>
    <s v="Aneesh"/>
    <s v="Aneesh"/>
    <s v="Aneesh"/>
    <s v="Minor"/>
    <s v="12828838Usha M"/>
    <s v="Minor"/>
    <n v="0"/>
    <x v="0"/>
    <x v="0"/>
    <n v="1"/>
    <n v="1"/>
    <x v="2"/>
    <x v="0"/>
    <x v="0"/>
    <b v="0"/>
    <s v="Top 25"/>
    <x v="0"/>
  </r>
  <r>
    <d v="2026-03-10T11:49:01"/>
    <d v="2026-03-10T17:19:01"/>
    <d v="2026-03-17T18:33:18"/>
    <d v="2026-03-18T00:03:18"/>
    <d v="2026-03-17T14:50:07"/>
    <d v="2026-03-18T00:03:18"/>
    <x v="0"/>
    <n v="214"/>
    <n v="553.18330000000003"/>
    <x v="0"/>
    <x v="90"/>
    <x v="23"/>
    <x v="9"/>
    <s v="PACIFICBLVD"/>
    <s v="sandeepskn88@gmail.com"/>
    <x v="1"/>
    <s v="Trivandrum"/>
    <s v="Go"/>
    <n v="23.66"/>
    <n v="100"/>
    <x v="0"/>
    <n v="0"/>
    <m/>
    <s v="PACIFICBLVD_Clinic Notes"/>
    <m/>
    <m/>
    <n v="1440"/>
    <s v="No"/>
    <n v="124"/>
    <s v="Normal"/>
    <s v="Achieved"/>
    <n v="0"/>
    <m/>
    <m/>
    <m/>
    <m/>
    <x v="7"/>
    <s v="Week12"/>
    <x v="9"/>
    <x v="0"/>
    <n v="100"/>
    <n v="0"/>
    <n v="0"/>
    <s v="Aneesh"/>
    <s v="Aneesh"/>
    <s v="Aneesh"/>
    <s v=""/>
    <s v="12827711Sandeep S"/>
    <s v=""/>
    <s v=""/>
    <x v="0"/>
    <x v="0"/>
    <s v=""/>
    <n v="0"/>
    <x v="1"/>
    <x v="0"/>
    <x v="0"/>
    <b v="0"/>
    <s v="Others"/>
    <x v="0"/>
  </r>
  <r>
    <d v="2026-03-13T07:08:16"/>
    <d v="2026-03-13T12:38:16"/>
    <d v="2026-03-17T18:47:12"/>
    <d v="2026-03-18T00:17:12"/>
    <d v="2026-03-17T14:51:20"/>
    <d v="2026-03-18T00:17:12"/>
    <x v="0"/>
    <n v="603"/>
    <n v="565.86670000000004"/>
    <x v="0"/>
    <x v="91"/>
    <x v="45"/>
    <x v="15"/>
    <s v="Clinic"/>
    <s v="ushaaaam40@gmail.com"/>
    <x v="2"/>
    <s v="Trivandrum"/>
    <s v="Go"/>
    <n v="46.88"/>
    <n v="99"/>
    <x v="2"/>
    <n v="1"/>
    <m/>
    <s v="Operative Report"/>
    <m/>
    <m/>
    <n v="720"/>
    <s v="No"/>
    <n v="122"/>
    <s v="Normal"/>
    <s v="Achieved"/>
    <n v="0"/>
    <m/>
    <m/>
    <m/>
    <m/>
    <x v="7"/>
    <s v="Week12"/>
    <x v="15"/>
    <x v="1"/>
    <n v="97.86689419795222"/>
    <n v="1"/>
    <n v="1"/>
    <s v="Ankit"/>
    <s v="Aneesh"/>
    <s v="Aneesh"/>
    <s v="Major"/>
    <s v="12828799Usha M"/>
    <s v="Major"/>
    <n v="1"/>
    <x v="0"/>
    <x v="1"/>
    <n v="1"/>
    <n v="1"/>
    <x v="2"/>
    <x v="0"/>
    <x v="0"/>
    <b v="1"/>
    <s v="Others"/>
    <x v="0"/>
  </r>
  <r>
    <d v="2026-03-13T07:08:16"/>
    <d v="2026-03-13T12:38:16"/>
    <d v="2026-03-17T18:47:12"/>
    <d v="2026-03-18T00:17:12"/>
    <d v="2026-03-17T14:51:20"/>
    <d v="2026-03-18T00:17:12"/>
    <x v="0"/>
    <n v="603"/>
    <n v="565.86670000000004"/>
    <x v="0"/>
    <x v="91"/>
    <x v="45"/>
    <x v="15"/>
    <s v="Clinic"/>
    <s v="ushaaaam40@gmail.com"/>
    <x v="2"/>
    <s v="Trivandrum"/>
    <s v="Go"/>
    <n v="46.88"/>
    <n v="99"/>
    <x v="1"/>
    <n v="1"/>
    <m/>
    <s v="Operative Report"/>
    <m/>
    <m/>
    <n v="720"/>
    <s v="No"/>
    <n v="122"/>
    <s v="Normal"/>
    <s v="Achieved"/>
    <n v="0"/>
    <m/>
    <m/>
    <m/>
    <m/>
    <x v="7"/>
    <s v="Week12"/>
    <x v="15"/>
    <x v="1"/>
    <n v="97.86689419795222"/>
    <n v="0"/>
    <n v="1"/>
    <s v="Ankit"/>
    <s v="Aneesh"/>
    <s v="Aneesh"/>
    <s v="Minor"/>
    <s v="12828799Usha M"/>
    <s v="Minor"/>
    <n v="0"/>
    <x v="0"/>
    <x v="0"/>
    <n v="1"/>
    <n v="1"/>
    <x v="2"/>
    <x v="0"/>
    <x v="0"/>
    <b v="0"/>
    <s v="Others"/>
    <x v="0"/>
  </r>
  <r>
    <d v="2026-03-11T16:17:00"/>
    <d v="2026-03-11T21:47:00"/>
    <d v="2026-03-17T18:53:28"/>
    <d v="2026-03-18T00:23:28"/>
    <d v="2026-03-17T14:49:19"/>
    <d v="2026-03-18T00:23:28"/>
    <x v="0"/>
    <n v="1606"/>
    <n v="574.15"/>
    <x v="0"/>
    <x v="92"/>
    <x v="23"/>
    <x v="9"/>
    <s v="GARDENA"/>
    <s v="sandeepskn88@gmail.com"/>
    <x v="1"/>
    <s v="Trivandrum"/>
    <s v="Go"/>
    <n v="30.15"/>
    <n v="100"/>
    <x v="1"/>
    <n v="2"/>
    <m/>
    <s v="GARDENA_Clinic Notes"/>
    <m/>
    <m/>
    <n v="1440"/>
    <s v="No"/>
    <n v="195"/>
    <s v="Normal"/>
    <s v="Achieved"/>
    <n v="0"/>
    <m/>
    <m/>
    <m/>
    <m/>
    <x v="7"/>
    <s v="Week12"/>
    <x v="9"/>
    <x v="0"/>
    <n v="100"/>
    <n v="0"/>
    <n v="0"/>
    <s v="Aneesh"/>
    <s v="Aneesh"/>
    <s v="Aneesh"/>
    <s v="Minor"/>
    <s v="12828256Sandeep S"/>
    <s v="Minor"/>
    <n v="0"/>
    <x v="0"/>
    <x v="0"/>
    <n v="1"/>
    <n v="2"/>
    <x v="1"/>
    <x v="0"/>
    <x v="0"/>
    <b v="0"/>
    <s v="Others"/>
    <x v="0"/>
  </r>
  <r>
    <d v="2026-03-11T13:42:31"/>
    <d v="2026-03-11T19:12:31"/>
    <d v="2026-03-17T18:58:33"/>
    <d v="2026-03-18T00:28:33"/>
    <d v="2026-03-17T14:49:49"/>
    <d v="2026-03-18T00:28:33"/>
    <x v="0"/>
    <n v="701"/>
    <n v="578.73329999999999"/>
    <x v="0"/>
    <x v="93"/>
    <x v="28"/>
    <x v="9"/>
    <s v="LONGBEACH"/>
    <s v="sandeepskn88@gmail.com"/>
    <x v="1"/>
    <s v="Trivandrum"/>
    <s v="Go"/>
    <n v="37.54"/>
    <n v="99"/>
    <x v="2"/>
    <n v="1"/>
    <m/>
    <s v="LONGBEACH_Clinic Notes"/>
    <m/>
    <m/>
    <n v="1440"/>
    <s v="No"/>
    <n v="168"/>
    <s v="Normal"/>
    <s v="Achieved"/>
    <n v="0"/>
    <m/>
    <m/>
    <m/>
    <m/>
    <x v="7"/>
    <s v="Week12"/>
    <x v="9"/>
    <x v="1"/>
    <n v="97.336174746936607"/>
    <n v="1"/>
    <n v="1"/>
    <s v="Aneesh"/>
    <s v="Aneesh"/>
    <s v="Aneesh"/>
    <s v="Major"/>
    <s v="12828179Sandeep S"/>
    <s v="Major"/>
    <n v="1"/>
    <x v="0"/>
    <x v="1"/>
    <n v="1"/>
    <n v="1"/>
    <x v="1"/>
    <x v="0"/>
    <x v="0"/>
    <b v="1"/>
    <s v="Others"/>
    <x v="0"/>
  </r>
  <r>
    <d v="2026-03-11T13:42:31"/>
    <d v="2026-03-11T19:12:31"/>
    <d v="2026-03-17T18:58:33"/>
    <d v="2026-03-18T00:28:33"/>
    <d v="2026-03-17T14:49:49"/>
    <d v="2026-03-18T00:28:33"/>
    <x v="0"/>
    <n v="701"/>
    <n v="578.73329999999999"/>
    <x v="0"/>
    <x v="93"/>
    <x v="28"/>
    <x v="9"/>
    <s v="LONGBEACH"/>
    <s v="sandeepskn88@gmail.com"/>
    <x v="1"/>
    <s v="Trivandrum"/>
    <s v="Go"/>
    <n v="37.54"/>
    <n v="99"/>
    <x v="1"/>
    <n v="2"/>
    <m/>
    <s v="LONGBEACH_Clinic Notes"/>
    <m/>
    <m/>
    <n v="1440"/>
    <s v="No"/>
    <n v="168"/>
    <s v="Normal"/>
    <s v="Achieved"/>
    <n v="0"/>
    <m/>
    <m/>
    <m/>
    <m/>
    <x v="7"/>
    <s v="Week12"/>
    <x v="9"/>
    <x v="1"/>
    <n v="97.336174746936607"/>
    <n v="0"/>
    <n v="1"/>
    <s v="Aneesh"/>
    <s v="Aneesh"/>
    <s v="Aneesh"/>
    <s v="Minor"/>
    <s v="12828179Sandeep S"/>
    <s v="Minor"/>
    <n v="0"/>
    <x v="0"/>
    <x v="0"/>
    <n v="1"/>
    <n v="2"/>
    <x v="1"/>
    <x v="0"/>
    <x v="0"/>
    <b v="0"/>
    <s v="Others"/>
    <x v="0"/>
  </r>
  <r>
    <d v="2026-03-13T10:07:57"/>
    <d v="2026-03-13T15:37:57"/>
    <d v="2026-03-18T05:36:05"/>
    <d v="2026-03-18T11:06:05"/>
    <d v="2026-03-18T00:33:44"/>
    <d v="2026-03-18T11:06:05"/>
    <x v="0"/>
    <n v="500"/>
    <n v="632.35"/>
    <x v="0"/>
    <x v="94"/>
    <x v="20"/>
    <x v="7"/>
    <s v="NursingHome"/>
    <s v="jobs4savitha@gmail.com"/>
    <x v="5"/>
    <s v="Trivandrum"/>
    <s v="Go"/>
    <n v="39.35"/>
    <n v="99"/>
    <x v="2"/>
    <n v="1"/>
    <m/>
    <s v="Progress Note (Nursing Home)"/>
    <m/>
    <m/>
    <n v="720"/>
    <s v="Yes"/>
    <n v="142"/>
    <s v="Normal"/>
    <s v="Achieved"/>
    <n v="1"/>
    <m/>
    <m/>
    <m/>
    <m/>
    <x v="7"/>
    <s v="Week12"/>
    <x v="7"/>
    <x v="1"/>
    <n v="97.458703939008899"/>
    <n v="1"/>
    <n v="1"/>
    <s v="Aneesh"/>
    <s v="Aneesh"/>
    <s v="Aneesh"/>
    <s v="Major"/>
    <s v="12828837Savitha Arun"/>
    <s v="Major"/>
    <n v="1"/>
    <x v="0"/>
    <x v="0"/>
    <n v="1"/>
    <n v="1"/>
    <x v="4"/>
    <x v="1"/>
    <x v="0"/>
    <b v="0"/>
    <s v="Others"/>
    <x v="3"/>
  </r>
  <r>
    <d v="2026-03-12T10:41:10"/>
    <d v="2026-03-12T16:11:10"/>
    <d v="2026-03-18T05:37:20"/>
    <d v="2026-03-18T11:07:20"/>
    <d v="2026-03-18T00:33:20"/>
    <d v="2026-03-18T11:07:20"/>
    <x v="0"/>
    <n v="37"/>
    <n v="634"/>
    <x v="0"/>
    <x v="95"/>
    <x v="32"/>
    <x v="10"/>
    <s v="Clinic"/>
    <s v="gopalrajith@gmail.com"/>
    <x v="4"/>
    <s v="Trivandrum"/>
    <s v="Go"/>
    <n v="7.55"/>
    <n v="100"/>
    <x v="0"/>
    <n v="0"/>
    <m/>
    <s v="RMCA_PFT"/>
    <m/>
    <m/>
    <n v="360"/>
    <s v="No"/>
    <n v="31"/>
    <s v="Normal"/>
    <s v="Achieved"/>
    <n v="0"/>
    <m/>
    <m/>
    <m/>
    <m/>
    <x v="7"/>
    <s v="Week12"/>
    <x v="10"/>
    <x v="0"/>
    <n v="100"/>
    <n v="0"/>
    <n v="0"/>
    <s v="Ankit"/>
    <s v="Aneesh"/>
    <s v="Aneesh"/>
    <s v=""/>
    <s v="12828486Gopal Rajith"/>
    <s v=""/>
    <s v=""/>
    <x v="0"/>
    <x v="0"/>
    <s v=""/>
    <n v="0"/>
    <x v="4"/>
    <x v="0"/>
    <x v="0"/>
    <b v="0"/>
    <s v="Top 25"/>
    <x v="2"/>
  </r>
  <r>
    <d v="2026-03-10T10:10:52"/>
    <d v="2026-03-10T15:40:52"/>
    <d v="2026-03-18T05:43:05"/>
    <d v="2026-03-18T11:13:05"/>
    <d v="2026-03-16T10:57:42"/>
    <d v="2026-03-18T11:13:05"/>
    <x v="0"/>
    <n v="574"/>
    <n v="2895.3833"/>
    <x v="0"/>
    <x v="96"/>
    <x v="46"/>
    <x v="15"/>
    <s v="Clinic"/>
    <s v="jobs4savitha@gmail.com"/>
    <x v="5"/>
    <s v="Trivandrum"/>
    <s v="Go"/>
    <n v="22.11"/>
    <n v="100"/>
    <x v="0"/>
    <n v="0"/>
    <m/>
    <s v="Operative Report"/>
    <m/>
    <m/>
    <n v="720"/>
    <s v="No"/>
    <n v="137"/>
    <s v="Normal"/>
    <s v="Achieved"/>
    <n v="0"/>
    <m/>
    <m/>
    <m/>
    <m/>
    <x v="7"/>
    <s v="Week12"/>
    <x v="15"/>
    <x v="0"/>
    <n v="100"/>
    <n v="0"/>
    <n v="0"/>
    <s v="Ankit"/>
    <s v="Aneesh"/>
    <s v="Aneesh"/>
    <s v=""/>
    <s v="12827653Savitha Arun"/>
    <s v=""/>
    <s v=""/>
    <x v="0"/>
    <x v="0"/>
    <s v=""/>
    <n v="0"/>
    <x v="4"/>
    <x v="1"/>
    <x v="0"/>
    <b v="0"/>
    <s v="Others"/>
    <x v="3"/>
  </r>
  <r>
    <d v="2026-03-10T13:38:57"/>
    <d v="2026-03-10T19:08:57"/>
    <d v="2026-03-18T05:46:29"/>
    <d v="2026-03-18T11:16:29"/>
    <d v="2026-03-16T10:57:56"/>
    <d v="2026-03-18T11:16:29"/>
    <x v="0"/>
    <n v="209"/>
    <n v="2898.55"/>
    <x v="0"/>
    <x v="97"/>
    <x v="46"/>
    <x v="15"/>
    <s v="Clinic"/>
    <s v="PratheepKumar.a@cardioscribes.com"/>
    <x v="6"/>
    <s v="Chennai"/>
    <s v="Go"/>
    <n v="25.38"/>
    <n v="100"/>
    <x v="0"/>
    <n v="0"/>
    <m/>
    <s v="Operative Report"/>
    <m/>
    <m/>
    <n v="720"/>
    <s v="No"/>
    <n v="150"/>
    <s v="Normal"/>
    <s v="Achieved"/>
    <n v="0"/>
    <m/>
    <m/>
    <m/>
    <m/>
    <x v="7"/>
    <s v="Week12"/>
    <x v="15"/>
    <x v="0"/>
    <n v="100"/>
    <n v="0"/>
    <n v="0"/>
    <s v="Ankit"/>
    <s v="Aneesh"/>
    <s v="Aneesh"/>
    <s v=""/>
    <s v="12827708Pratheep Kumar"/>
    <s v=""/>
    <s v=""/>
    <x v="0"/>
    <x v="0"/>
    <s v=""/>
    <n v="0"/>
    <x v="6"/>
    <x v="0"/>
    <x v="0"/>
    <b v="0"/>
    <s v="Others"/>
    <x v="4"/>
  </r>
  <r>
    <d v="2026-03-10T16:21:52"/>
    <d v="2026-03-10T21:51:52"/>
    <d v="2026-03-18T05:51:42"/>
    <d v="2026-03-18T11:21:42"/>
    <d v="2026-03-18T00:32:43"/>
    <d v="2026-03-18T11:21:42"/>
    <x v="0"/>
    <n v="301"/>
    <n v="648.98329999999999"/>
    <x v="0"/>
    <x v="98"/>
    <x v="22"/>
    <x v="8"/>
    <s v="Clinic"/>
    <s v="sivasankari.a@cardioscribes.com"/>
    <x v="3"/>
    <s v="Chennai"/>
    <s v="Go"/>
    <n v="141.4"/>
    <n v="100"/>
    <x v="0"/>
    <n v="0"/>
    <m/>
    <s v="Integrated Care Unit_Progress Note_3"/>
    <m/>
    <m/>
    <n v="1440"/>
    <s v="No"/>
    <n v="358"/>
    <s v="Normal"/>
    <s v="Achieved"/>
    <n v="0"/>
    <m/>
    <m/>
    <m/>
    <m/>
    <x v="7"/>
    <s v="Week12"/>
    <x v="8"/>
    <x v="0"/>
    <n v="100"/>
    <n v="0"/>
    <n v="0"/>
    <s v="Aneesh"/>
    <s v="Aneesh"/>
    <s v="Aneesh"/>
    <s v=""/>
    <s v="12827748Sivasankari A"/>
    <s v=""/>
    <s v=""/>
    <x v="0"/>
    <x v="0"/>
    <s v=""/>
    <n v="0"/>
    <x v="5"/>
    <x v="0"/>
    <x v="0"/>
    <b v="0"/>
    <s v="Top 25"/>
    <x v="1"/>
  </r>
  <r>
    <d v="2026-03-13T16:42:58"/>
    <d v="2026-03-13T22:12:58"/>
    <d v="2026-03-18T05:55:38"/>
    <d v="2026-03-18T11:25:38"/>
    <d v="2026-03-18T00:33:29"/>
    <d v="2026-03-18T11:25:38"/>
    <x v="0"/>
    <n v="217"/>
    <n v="652.15"/>
    <x v="0"/>
    <x v="99"/>
    <x v="34"/>
    <x v="12"/>
    <s v="Clinic"/>
    <s v="PratheepKumar.a@cardioscribes.com"/>
    <x v="6"/>
    <s v="Chennai"/>
    <s v="Go"/>
    <n v="30.49"/>
    <n v="99"/>
    <x v="6"/>
    <n v="1"/>
    <m/>
    <s v="CAMG_OV"/>
    <m/>
    <m/>
    <n v="1440"/>
    <s v="No"/>
    <n v="106"/>
    <s v="Normal"/>
    <s v="Achieved"/>
    <n v="0"/>
    <m/>
    <m/>
    <m/>
    <m/>
    <x v="7"/>
    <s v="Week12"/>
    <x v="12"/>
    <x v="1"/>
    <n v="96.720236142997706"/>
    <n v="1"/>
    <n v="1"/>
    <s v="Harsh"/>
    <s v="Aneesh"/>
    <s v="Aneesh"/>
    <s v="Major"/>
    <s v="12829024Pratheep Kumar"/>
    <s v="Major"/>
    <n v="1"/>
    <x v="0"/>
    <x v="1"/>
    <n v="1"/>
    <n v="1"/>
    <x v="6"/>
    <x v="0"/>
    <x v="0"/>
    <b v="1"/>
    <s v="Top 25"/>
    <x v="4"/>
  </r>
  <r>
    <d v="2026-03-13T16:42:58"/>
    <d v="2026-03-13T22:12:58"/>
    <d v="2026-03-18T05:55:38"/>
    <d v="2026-03-18T11:25:38"/>
    <d v="2026-03-18T00:33:29"/>
    <d v="2026-03-18T11:25:38"/>
    <x v="0"/>
    <n v="217"/>
    <n v="652.15"/>
    <x v="0"/>
    <x v="99"/>
    <x v="34"/>
    <x v="12"/>
    <s v="Clinic"/>
    <s v="PratheepKumar.a@cardioscribes.com"/>
    <x v="6"/>
    <s v="Chennai"/>
    <s v="Go"/>
    <n v="30.49"/>
    <n v="99"/>
    <x v="1"/>
    <n v="1"/>
    <m/>
    <s v="CAMG_OV"/>
    <m/>
    <m/>
    <n v="1440"/>
    <s v="No"/>
    <n v="106"/>
    <s v="Normal"/>
    <s v="Achieved"/>
    <n v="0"/>
    <m/>
    <m/>
    <m/>
    <m/>
    <x v="7"/>
    <s v="Week12"/>
    <x v="12"/>
    <x v="1"/>
    <n v="96.720236142997706"/>
    <n v="0"/>
    <n v="1"/>
    <s v="Harsh"/>
    <s v="Aneesh"/>
    <s v="Aneesh"/>
    <s v="Minor"/>
    <s v="12829024Pratheep Kumar"/>
    <s v="Minor"/>
    <n v="0"/>
    <x v="0"/>
    <x v="0"/>
    <n v="1"/>
    <n v="1"/>
    <x v="6"/>
    <x v="0"/>
    <x v="0"/>
    <b v="0"/>
    <s v="Top 25"/>
    <x v="4"/>
  </r>
  <r>
    <d v="2026-03-12T17:03:49"/>
    <d v="2026-03-12T22:33:49"/>
    <d v="2026-03-18T06:14:25"/>
    <d v="2026-03-18T11:44:25"/>
    <d v="2026-03-18T00:32:29"/>
    <d v="2026-03-18T11:44:25"/>
    <x v="0"/>
    <n v="2246"/>
    <n v="671.93330000000003"/>
    <x v="0"/>
    <x v="100"/>
    <x v="22"/>
    <x v="8"/>
    <s v="Clinic"/>
    <s v="sivasankari.a@cardioscribes.com"/>
    <x v="3"/>
    <s v="Chennai"/>
    <s v="Go"/>
    <n v="146.97999999999999"/>
    <n v="100"/>
    <x v="1"/>
    <n v="1"/>
    <m/>
    <s v="Integrated Care Unit_Progress Note_3"/>
    <m/>
    <m/>
    <n v="1440"/>
    <s v="No"/>
    <n v="1116"/>
    <s v="Normal"/>
    <s v="Achieved"/>
    <n v="0"/>
    <m/>
    <m/>
    <m/>
    <m/>
    <x v="7"/>
    <s v="Week12"/>
    <x v="8"/>
    <x v="0"/>
    <n v="100"/>
    <n v="0"/>
    <n v="0"/>
    <s v="Aneesh"/>
    <s v="Aneesh"/>
    <s v="Aneesh"/>
    <s v="Minor"/>
    <s v="12828583Sivasankari A"/>
    <s v="Minor"/>
    <n v="0"/>
    <x v="0"/>
    <x v="0"/>
    <n v="1"/>
    <n v="1"/>
    <x v="5"/>
    <x v="0"/>
    <x v="0"/>
    <b v="0"/>
    <s v="Top 25"/>
    <x v="1"/>
  </r>
  <r>
    <d v="2026-03-11T16:18:36"/>
    <d v="2026-03-11T21:48:36"/>
    <d v="2026-03-18T06:49:06"/>
    <d v="2026-03-18T12:19:06"/>
    <d v="2026-03-18T00:32:50"/>
    <d v="2026-03-18T12:19:06"/>
    <x v="0"/>
    <n v="451"/>
    <n v="706.26670000000001"/>
    <x v="0"/>
    <x v="101"/>
    <x v="25"/>
    <x v="8"/>
    <s v="Clinic"/>
    <s v="sivasankari.a@cardioscribes.com"/>
    <x v="3"/>
    <s v="Chennai"/>
    <s v="Go"/>
    <n v="91.08"/>
    <n v="100"/>
    <x v="0"/>
    <n v="0"/>
    <m/>
    <s v="Cost Center CAS ICARE"/>
    <m/>
    <m/>
    <n v="1440"/>
    <s v="No"/>
    <n v="391"/>
    <s v="Normal"/>
    <s v="Achieved"/>
    <n v="0"/>
    <m/>
    <m/>
    <m/>
    <m/>
    <x v="7"/>
    <s v="Week12"/>
    <x v="8"/>
    <x v="0"/>
    <n v="100"/>
    <n v="0"/>
    <n v="0"/>
    <s v="Aneesh"/>
    <s v="Aneesh"/>
    <s v="Aneesh"/>
    <s v=""/>
    <s v="12828158Sivasankari A"/>
    <s v=""/>
    <s v=""/>
    <x v="0"/>
    <x v="0"/>
    <s v=""/>
    <n v="0"/>
    <x v="5"/>
    <x v="0"/>
    <x v="0"/>
    <b v="0"/>
    <s v="Top 25"/>
    <x v="1"/>
  </r>
  <r>
    <d v="2026-03-11T19:19:20"/>
    <d v="2026-03-12T00:49:20"/>
    <d v="2026-03-18T06:57:41"/>
    <d v="2026-03-18T12:27:41"/>
    <d v="2026-03-17T09:41:54"/>
    <d v="2026-03-18T12:27:41"/>
    <x v="0"/>
    <n v="379"/>
    <n v="1605.7833000000001"/>
    <x v="0"/>
    <x v="102"/>
    <x v="38"/>
    <x v="14"/>
    <s v="Clinic"/>
    <s v="jobs4savitha@gmail.com"/>
    <x v="5"/>
    <s v="Trivandrum"/>
    <s v="Go"/>
    <n v="44.23"/>
    <n v="100"/>
    <x v="0"/>
    <n v="0"/>
    <m/>
    <s v="Office Visit"/>
    <m/>
    <m/>
    <n v="1440"/>
    <s v="No"/>
    <n v="256"/>
    <s v="Normal"/>
    <s v="Achieved"/>
    <n v="0"/>
    <m/>
    <m/>
    <m/>
    <m/>
    <x v="7"/>
    <s v="Week12"/>
    <x v="14"/>
    <x v="0"/>
    <n v="100"/>
    <n v="0"/>
    <n v="0"/>
    <s v="Aneesh"/>
    <s v="Aneesh"/>
    <s v="Aneesh"/>
    <s v=""/>
    <s v="12828268Savitha Arun"/>
    <s v=""/>
    <s v=""/>
    <x v="0"/>
    <x v="0"/>
    <s v=""/>
    <n v="0"/>
    <x v="10"/>
    <x v="1"/>
    <x v="0"/>
    <b v="0"/>
    <s v="Others"/>
    <x v="3"/>
  </r>
  <r>
    <d v="2026-03-13T15:48:05"/>
    <d v="2026-03-13T21:18:05"/>
    <d v="2026-03-18T07:00:49"/>
    <d v="2026-03-18T12:30:49"/>
    <d v="2026-03-18T00:33:50"/>
    <d v="2026-03-18T12:30:49"/>
    <x v="0"/>
    <n v="165"/>
    <n v="716.98329999999999"/>
    <x v="0"/>
    <x v="103"/>
    <x v="38"/>
    <x v="14"/>
    <s v="Clinic"/>
    <s v="jobs4savitha@gmail.com"/>
    <x v="5"/>
    <s v="Trivandrum"/>
    <s v="Go"/>
    <n v="13.23"/>
    <n v="100"/>
    <x v="0"/>
    <n v="0"/>
    <m/>
    <s v="Holter Monitor"/>
    <m/>
    <m/>
    <n v="1440"/>
    <s v="No"/>
    <n v="84"/>
    <s v="Normal"/>
    <s v="Achieved"/>
    <n v="0"/>
    <m/>
    <m/>
    <m/>
    <m/>
    <x v="7"/>
    <s v="Week12"/>
    <x v="14"/>
    <x v="0"/>
    <n v="100"/>
    <n v="0"/>
    <n v="0"/>
    <s v="Aneesh"/>
    <s v="Aneesh"/>
    <s v="Aneesh"/>
    <s v=""/>
    <s v="12828956Savitha Arun"/>
    <s v=""/>
    <s v=""/>
    <x v="0"/>
    <x v="0"/>
    <s v=""/>
    <n v="0"/>
    <x v="9"/>
    <x v="1"/>
    <x v="0"/>
    <b v="0"/>
    <s v="Others"/>
    <x v="3"/>
  </r>
  <r>
    <d v="2026-03-11T19:11:07"/>
    <d v="2026-03-12T00:41:07"/>
    <d v="2026-03-18T07:06:33"/>
    <d v="2026-03-18T12:36:33"/>
    <d v="2026-03-17T09:42:08"/>
    <d v="2026-03-18T12:36:33"/>
    <x v="0"/>
    <n v="326"/>
    <n v="1614.4167"/>
    <x v="0"/>
    <x v="104"/>
    <x v="47"/>
    <x v="12"/>
    <s v="Clinic"/>
    <s v="Tejasahm@gmail.com"/>
    <x v="7"/>
    <s v="Ahmedabad"/>
    <s v="Go"/>
    <n v="34.46"/>
    <n v="100"/>
    <x v="0"/>
    <n v="0"/>
    <m/>
    <s v="CAMG_OV"/>
    <m/>
    <m/>
    <n v="1440"/>
    <s v="No"/>
    <n v="189"/>
    <s v="Normal"/>
    <s v="Achieved"/>
    <n v="0"/>
    <m/>
    <m/>
    <m/>
    <m/>
    <x v="7"/>
    <s v="Week12"/>
    <x v="12"/>
    <x v="0"/>
    <n v="100"/>
    <n v="0"/>
    <n v="0"/>
    <s v="Harsh"/>
    <s v="Ankit"/>
    <s v="Ankit"/>
    <s v=""/>
    <s v="12828384Tejas Patel"/>
    <s v=""/>
    <s v=""/>
    <x v="1"/>
    <x v="0"/>
    <s v=""/>
    <n v="0"/>
    <x v="8"/>
    <x v="0"/>
    <x v="0"/>
    <b v="0"/>
    <s v="Top 25"/>
    <x v="5"/>
  </r>
  <r>
    <d v="2026-03-12T16:55:05"/>
    <d v="2026-03-12T22:25:05"/>
    <d v="2026-03-18T07:14:31"/>
    <d v="2026-03-18T12:44:31"/>
    <d v="2026-03-17T10:57:17"/>
    <d v="2026-03-18T12:44:31"/>
    <x v="0"/>
    <n v="468"/>
    <n v="1547.2333000000001"/>
    <x v="0"/>
    <x v="105"/>
    <x v="48"/>
    <x v="5"/>
    <s v="Clinic"/>
    <s v="jobs4savitha@gmail.com"/>
    <x v="5"/>
    <s v="Trivandrum"/>
    <s v="Go"/>
    <n v="43.38"/>
    <n v="100"/>
    <x v="1"/>
    <n v="4"/>
    <m/>
    <s v="Operative Report"/>
    <m/>
    <m/>
    <n v="360"/>
    <s v="No"/>
    <n v="154"/>
    <s v="Normal"/>
    <s v="Missed"/>
    <n v="0"/>
    <m/>
    <m/>
    <m/>
    <m/>
    <x v="7"/>
    <s v="Week12"/>
    <x v="5"/>
    <x v="0"/>
    <n v="100"/>
    <n v="0"/>
    <n v="0"/>
    <s v="Ankit"/>
    <s v="Aneesh"/>
    <s v="Ankit"/>
    <s v="Minor"/>
    <s v="12828573Savitha Arun"/>
    <s v="Minor"/>
    <n v="0"/>
    <x v="0"/>
    <x v="0"/>
    <n v="1"/>
    <n v="4"/>
    <x v="11"/>
    <x v="1"/>
    <x v="0"/>
    <b v="0"/>
    <s v="Others"/>
    <x v="3"/>
  </r>
  <r>
    <d v="2026-03-13T16:48:47"/>
    <d v="2026-03-13T22:18:47"/>
    <d v="2026-03-18T07:16:55"/>
    <d v="2026-03-18T12:46:55"/>
    <d v="2026-03-18T00:33:55"/>
    <d v="2026-03-18T12:46:55"/>
    <x v="0"/>
    <n v="128"/>
    <n v="733"/>
    <x v="0"/>
    <x v="106"/>
    <x v="49"/>
    <x v="12"/>
    <s v="Clinic"/>
    <s v="PratheepKumar.a@cardioscribes.com"/>
    <x v="6"/>
    <s v="Chennai"/>
    <s v="Go"/>
    <n v="24.92"/>
    <n v="100"/>
    <x v="0"/>
    <n v="0"/>
    <m/>
    <s v="CAMG_OV"/>
    <m/>
    <m/>
    <n v="1440"/>
    <s v="No"/>
    <n v="117"/>
    <s v="Normal"/>
    <s v="Achieved"/>
    <n v="0"/>
    <m/>
    <m/>
    <m/>
    <m/>
    <x v="7"/>
    <s v="Week12"/>
    <x v="12"/>
    <x v="0"/>
    <n v="100"/>
    <n v="0"/>
    <n v="0"/>
    <s v="Harsh"/>
    <s v="Aneesh"/>
    <s v="Aneesh"/>
    <s v=""/>
    <s v="12829068Pratheep Kumar"/>
    <s v=""/>
    <s v=""/>
    <x v="0"/>
    <x v="0"/>
    <s v=""/>
    <n v="0"/>
    <x v="6"/>
    <x v="0"/>
    <x v="0"/>
    <b v="0"/>
    <s v="Top 25"/>
    <x v="4"/>
  </r>
  <r>
    <d v="2026-03-12T23:49:34"/>
    <d v="2026-03-13T05:19:34"/>
    <d v="2026-03-18T07:46:34"/>
    <d v="2026-03-18T13:16:34"/>
    <d v="2026-03-18T00:33:00"/>
    <d v="2026-03-18T13:16:34"/>
    <x v="0"/>
    <n v="1030"/>
    <n v="763.56669999999997"/>
    <x v="0"/>
    <x v="107"/>
    <x v="27"/>
    <x v="8"/>
    <s v="Clinic"/>
    <s v="sivasankari.a@cardioscribes.com"/>
    <x v="3"/>
    <s v="Chennai"/>
    <s v="Go"/>
    <n v="147.63"/>
    <n v="100"/>
    <x v="0"/>
    <n v="0"/>
    <m/>
    <s v="PACT_Progress Note 2"/>
    <m/>
    <m/>
    <n v="1440"/>
    <s v="No"/>
    <n v="663"/>
    <s v="Normal"/>
    <s v="Achieved"/>
    <n v="0"/>
    <m/>
    <m/>
    <m/>
    <m/>
    <x v="7"/>
    <s v="Week12"/>
    <x v="8"/>
    <x v="0"/>
    <n v="100"/>
    <n v="0"/>
    <n v="0"/>
    <s v="Aneesh"/>
    <s v="Aneesh"/>
    <s v="Aneesh"/>
    <s v=""/>
    <s v="12828775Sivasankari A"/>
    <s v=""/>
    <s v=""/>
    <x v="0"/>
    <x v="0"/>
    <s v=""/>
    <n v="0"/>
    <x v="5"/>
    <x v="0"/>
    <x v="0"/>
    <b v="0"/>
    <s v="Top 25"/>
    <x v="1"/>
  </r>
  <r>
    <d v="2026-03-12T12:15:04"/>
    <d v="2026-03-12T17:45:04"/>
    <d v="2026-03-18T08:19:57"/>
    <d v="2026-03-18T13:49:57"/>
    <d v="2026-03-18T00:32:19"/>
    <d v="2026-03-18T13:49:57"/>
    <x v="0"/>
    <n v="2795"/>
    <n v="797.63329999999996"/>
    <x v="0"/>
    <x v="108"/>
    <x v="25"/>
    <x v="8"/>
    <s v="Clinic"/>
    <s v="sivasankari.a@cardioscribes.com"/>
    <x v="3"/>
    <s v="Chennai"/>
    <s v="Go"/>
    <n v="235.49"/>
    <n v="99"/>
    <x v="2"/>
    <n v="1"/>
    <m/>
    <s v="Pediatric_Initial Psychiatric Evaluation"/>
    <m/>
    <m/>
    <n v="1440"/>
    <s v="No"/>
    <n v="1120"/>
    <s v="Normal"/>
    <s v="Achieved"/>
    <n v="0"/>
    <m/>
    <m/>
    <m/>
    <m/>
    <x v="7"/>
    <s v="Week12"/>
    <x v="8"/>
    <x v="0"/>
    <n v="99.575353518196096"/>
    <n v="1"/>
    <n v="1"/>
    <s v="Aneesh"/>
    <s v="Aneesh"/>
    <s v="Aneesh"/>
    <s v="Major"/>
    <s v="12828500Sivasankari A"/>
    <s v="Major"/>
    <n v="1"/>
    <x v="0"/>
    <x v="1"/>
    <n v="1"/>
    <n v="1"/>
    <x v="5"/>
    <x v="0"/>
    <x v="0"/>
    <b v="1"/>
    <s v="Top 25"/>
    <x v="1"/>
  </r>
  <r>
    <d v="2026-03-12T12:15:04"/>
    <d v="2026-03-12T17:45:04"/>
    <d v="2026-03-18T08:19:57"/>
    <d v="2026-03-18T13:49:57"/>
    <d v="2026-03-18T00:32:19"/>
    <d v="2026-03-18T13:49:57"/>
    <x v="0"/>
    <n v="2795"/>
    <n v="797.63329999999996"/>
    <x v="0"/>
    <x v="108"/>
    <x v="25"/>
    <x v="8"/>
    <s v="Clinic"/>
    <s v="sivasankari.a@cardioscribes.com"/>
    <x v="3"/>
    <s v="Chennai"/>
    <s v="Go"/>
    <n v="235.49"/>
    <n v="99"/>
    <x v="1"/>
    <n v="4"/>
    <m/>
    <s v="Pediatric_Initial Psychiatric Evaluation"/>
    <m/>
    <m/>
    <n v="1440"/>
    <s v="No"/>
    <n v="1120"/>
    <s v="Normal"/>
    <s v="Achieved"/>
    <n v="0"/>
    <m/>
    <m/>
    <m/>
    <m/>
    <x v="7"/>
    <s v="Week12"/>
    <x v="8"/>
    <x v="0"/>
    <n v="99.575353518196096"/>
    <n v="0"/>
    <n v="1"/>
    <s v="Aneesh"/>
    <s v="Aneesh"/>
    <s v="Aneesh"/>
    <s v="Minor"/>
    <s v="12828500Sivasankari A"/>
    <s v="Minor"/>
    <n v="0"/>
    <x v="0"/>
    <x v="0"/>
    <n v="1"/>
    <n v="4"/>
    <x v="5"/>
    <x v="0"/>
    <x v="0"/>
    <b v="0"/>
    <s v="Top 25"/>
    <x v="1"/>
  </r>
  <r>
    <d v="2026-03-16T21:26:40"/>
    <d v="2026-03-17T02:56:40"/>
    <d v="2026-03-18T17:50:01"/>
    <d v="2026-03-18T23:20:01"/>
    <d v="2026-03-18T15:02:08"/>
    <d v="2026-03-18T23:20:01"/>
    <x v="0"/>
    <n v="288"/>
    <n v="497.88330000000002"/>
    <x v="0"/>
    <x v="109"/>
    <x v="13"/>
    <x v="0"/>
    <s v="Clinic"/>
    <s v="sandeepskn88@gmail.com"/>
    <x v="1"/>
    <s v="Trivandrum"/>
    <s v="Go"/>
    <n v="33.25"/>
    <n v="100"/>
    <x v="0"/>
    <n v="0"/>
    <m/>
    <s v="HAH_SLEEP"/>
    <m/>
    <m/>
    <n v="1440"/>
    <s v="No"/>
    <n v="228"/>
    <s v="Normal"/>
    <s v="Null"/>
    <n v="0"/>
    <m/>
    <m/>
    <m/>
    <m/>
    <x v="7"/>
    <s v="Week12"/>
    <x v="0"/>
    <x v="0"/>
    <n v="100"/>
    <n v="0"/>
    <n v="0"/>
    <s v="Aneesh"/>
    <s v="Aneesh"/>
    <s v="Aneesh"/>
    <s v=""/>
    <s v="12829562Sandeep S"/>
    <s v=""/>
    <s v=""/>
    <x v="0"/>
    <x v="0"/>
    <s v=""/>
    <n v="0"/>
    <x v="1"/>
    <x v="0"/>
    <x v="0"/>
    <b v="0"/>
    <s v="Others"/>
    <x v="0"/>
  </r>
  <r>
    <d v="2026-03-13T13:50:40"/>
    <d v="2026-03-13T19:20:40"/>
    <d v="2026-03-18T17:54:06"/>
    <d v="2026-03-18T23:24:06"/>
    <d v="2026-03-18T15:02:17"/>
    <d v="2026-03-18T23:24:06"/>
    <x v="0"/>
    <n v="236"/>
    <n v="501.81670000000003"/>
    <x v="0"/>
    <x v="110"/>
    <x v="50"/>
    <x v="4"/>
    <s v="Clinic"/>
    <s v="ushaaaam40@gmail.com"/>
    <x v="2"/>
    <s v="Trivandrum"/>
    <s v="Go"/>
    <n v="29.91"/>
    <n v="100"/>
    <x v="0"/>
    <n v="0"/>
    <m/>
    <s v="Operative report"/>
    <m/>
    <m/>
    <n v="1440"/>
    <s v="No"/>
    <n v="148"/>
    <s v="Normal"/>
    <s v="Missed"/>
    <n v="0"/>
    <m/>
    <m/>
    <m/>
    <m/>
    <x v="7"/>
    <s v="Week12"/>
    <x v="4"/>
    <x v="0"/>
    <n v="100"/>
    <n v="0"/>
    <n v="0"/>
    <s v="Aneesh"/>
    <s v="Aneesh"/>
    <s v="Aneesh"/>
    <s v=""/>
    <s v="12828931Usha M"/>
    <s v=""/>
    <s v=""/>
    <x v="0"/>
    <x v="0"/>
    <s v=""/>
    <n v="0"/>
    <x v="2"/>
    <x v="0"/>
    <x v="0"/>
    <b v="0"/>
    <s v="Top 25"/>
    <x v="0"/>
  </r>
  <r>
    <d v="2026-03-13T13:26:22"/>
    <d v="2026-03-13T18:56:22"/>
    <d v="2026-03-18T17:58:59"/>
    <d v="2026-03-18T23:28:59"/>
    <d v="2026-03-18T15:02:26"/>
    <d v="2026-03-18T23:28:59"/>
    <x v="0"/>
    <n v="283"/>
    <n v="506.55"/>
    <x v="0"/>
    <x v="111"/>
    <x v="50"/>
    <x v="4"/>
    <s v="Clinic"/>
    <s v="sandeepskn88@gmail.com"/>
    <x v="1"/>
    <s v="Trivandrum"/>
    <s v="Go"/>
    <n v="26.51"/>
    <n v="99"/>
    <x v="2"/>
    <n v="1"/>
    <m/>
    <s v="Operative report"/>
    <m/>
    <m/>
    <n v="1440"/>
    <s v="No"/>
    <n v="134"/>
    <s v="Normal"/>
    <s v="Achieved"/>
    <n v="1"/>
    <m/>
    <m/>
    <m/>
    <m/>
    <x v="7"/>
    <s v="Week12"/>
    <x v="4"/>
    <x v="1"/>
    <n v="96.227838551490009"/>
    <n v="1"/>
    <n v="1"/>
    <s v="Aneesh"/>
    <s v="Aneesh"/>
    <s v="Aneesh"/>
    <s v="Major"/>
    <s v="12828915Sandeep S"/>
    <s v="Major"/>
    <n v="1"/>
    <x v="0"/>
    <x v="0"/>
    <n v="1"/>
    <n v="1"/>
    <x v="1"/>
    <x v="0"/>
    <x v="0"/>
    <b v="0"/>
    <s v="Top 25"/>
    <x v="0"/>
  </r>
  <r>
    <d v="2026-03-13T08:38:31"/>
    <d v="2026-03-13T14:08:31"/>
    <d v="2026-03-18T18:06:46"/>
    <d v="2026-03-18T23:36:46"/>
    <d v="2026-03-18T15:02:34"/>
    <d v="2026-03-18T23:36:46"/>
    <x v="0"/>
    <n v="441"/>
    <n v="514.20000000000005"/>
    <x v="0"/>
    <x v="112"/>
    <x v="51"/>
    <x v="8"/>
    <s v="Clinic"/>
    <s v="jobs4savitha@gmail.com"/>
    <x v="5"/>
    <s v="Trivandrum"/>
    <s v="No Go"/>
    <n v="31.89"/>
    <n v="98"/>
    <x v="2"/>
    <n v="1"/>
    <m/>
    <s v="SA_Progress Note"/>
    <m/>
    <m/>
    <n v="1440"/>
    <s v="No"/>
    <n v="288"/>
    <s v="Normal"/>
    <s v="Achieved"/>
    <n v="0"/>
    <m/>
    <m/>
    <m/>
    <m/>
    <x v="7"/>
    <s v="Week12"/>
    <x v="8"/>
    <x v="1"/>
    <n v="93.728441517717158"/>
    <n v="1"/>
    <n v="2"/>
    <s v="Aneesh"/>
    <s v="Aneesh"/>
    <s v="Aneesh"/>
    <s v="Major"/>
    <s v="12828809Savitha Arun"/>
    <s v="Major"/>
    <n v="1"/>
    <x v="0"/>
    <x v="1"/>
    <n v="1"/>
    <n v="1"/>
    <x v="5"/>
    <x v="1"/>
    <x v="0"/>
    <b v="1"/>
    <s v="Top 25"/>
    <x v="3"/>
  </r>
  <r>
    <d v="2026-03-13T08:38:31"/>
    <d v="2026-03-13T14:08:31"/>
    <d v="2026-03-18T18:06:46"/>
    <d v="2026-03-18T23:36:46"/>
    <d v="2026-03-18T15:02:34"/>
    <d v="2026-03-18T23:36:46"/>
    <x v="0"/>
    <n v="441"/>
    <n v="514.20000000000005"/>
    <x v="0"/>
    <x v="112"/>
    <x v="51"/>
    <x v="8"/>
    <s v="Clinic"/>
    <s v="jobs4savitha@gmail.com"/>
    <x v="5"/>
    <s v="Trivandrum"/>
    <s v="No Go"/>
    <n v="31.89"/>
    <n v="98"/>
    <x v="6"/>
    <n v="1"/>
    <m/>
    <s v="SA_Progress Note"/>
    <m/>
    <m/>
    <n v="1440"/>
    <s v="No"/>
    <n v="288"/>
    <s v="Normal"/>
    <s v="Achieved"/>
    <n v="0"/>
    <m/>
    <m/>
    <m/>
    <m/>
    <x v="7"/>
    <s v="Week12"/>
    <x v="8"/>
    <x v="1"/>
    <n v="93.728441517717158"/>
    <n v="1"/>
    <n v="2"/>
    <s v="Aneesh"/>
    <s v="Aneesh"/>
    <s v="Aneesh"/>
    <s v="Major"/>
    <s v="12828809Savitha Arun"/>
    <s v="Major"/>
    <n v="1"/>
    <x v="0"/>
    <x v="1"/>
    <n v="1"/>
    <n v="1"/>
    <x v="5"/>
    <x v="1"/>
    <x v="0"/>
    <b v="1"/>
    <s v="Top 25"/>
    <x v="3"/>
  </r>
  <r>
    <d v="2026-03-13T08:38:31"/>
    <d v="2026-03-13T14:08:31"/>
    <d v="2026-03-18T18:06:46"/>
    <d v="2026-03-18T23:36:46"/>
    <d v="2026-03-18T15:02:34"/>
    <d v="2026-03-18T23:36:46"/>
    <x v="0"/>
    <n v="441"/>
    <n v="514.20000000000005"/>
    <x v="0"/>
    <x v="112"/>
    <x v="51"/>
    <x v="8"/>
    <s v="Clinic"/>
    <s v="jobs4savitha@gmail.com"/>
    <x v="5"/>
    <s v="Trivandrum"/>
    <s v="No Go"/>
    <n v="31.89"/>
    <n v="98"/>
    <x v="1"/>
    <n v="2"/>
    <m/>
    <s v="SA_Progress Note"/>
    <m/>
    <m/>
    <n v="1440"/>
    <s v="No"/>
    <n v="288"/>
    <s v="Normal"/>
    <s v="Achieved"/>
    <n v="0"/>
    <m/>
    <m/>
    <m/>
    <m/>
    <x v="7"/>
    <s v="Week12"/>
    <x v="8"/>
    <x v="1"/>
    <n v="93.728441517717158"/>
    <n v="0"/>
    <n v="2"/>
    <s v="Aneesh"/>
    <s v="Aneesh"/>
    <s v="Aneesh"/>
    <s v="Minor"/>
    <s v="12828809Savitha Arun"/>
    <s v="Minor"/>
    <n v="0"/>
    <x v="0"/>
    <x v="0"/>
    <n v="1"/>
    <n v="2"/>
    <x v="5"/>
    <x v="1"/>
    <x v="0"/>
    <b v="0"/>
    <s v="Top 25"/>
    <x v="3"/>
  </r>
  <r>
    <d v="2026-03-13T09:15:44"/>
    <d v="2026-03-13T14:45:44"/>
    <d v="2026-03-18T18:11:28"/>
    <d v="2026-03-18T23:41:28"/>
    <d v="2026-03-18T15:02:41"/>
    <d v="2026-03-18T23:41:28"/>
    <x v="0"/>
    <n v="264"/>
    <n v="518.78330000000005"/>
    <x v="0"/>
    <x v="113"/>
    <x v="45"/>
    <x v="15"/>
    <s v="Clinic"/>
    <s v="ushaaaam40@gmail.com"/>
    <x v="2"/>
    <s v="Trivandrum"/>
    <s v="Go"/>
    <n v="56.86"/>
    <n v="99"/>
    <x v="6"/>
    <n v="1"/>
    <m/>
    <s v="Operative Report"/>
    <m/>
    <m/>
    <n v="720"/>
    <s v="No"/>
    <n v="128"/>
    <s v="Normal"/>
    <s v="Achieved"/>
    <n v="0"/>
    <m/>
    <m/>
    <m/>
    <m/>
    <x v="7"/>
    <s v="Week12"/>
    <x v="15"/>
    <x v="1"/>
    <n v="98.241294407316218"/>
    <n v="1"/>
    <n v="1"/>
    <s v="Ankit"/>
    <s v="Aneesh"/>
    <s v="Aneesh"/>
    <s v="Major"/>
    <s v="12828839Usha M"/>
    <s v="Major"/>
    <n v="1"/>
    <x v="0"/>
    <x v="1"/>
    <n v="1"/>
    <n v="1"/>
    <x v="2"/>
    <x v="0"/>
    <x v="0"/>
    <b v="1"/>
    <s v="Others"/>
    <x v="0"/>
  </r>
  <r>
    <d v="2026-03-13T09:15:44"/>
    <d v="2026-03-13T14:45:44"/>
    <d v="2026-03-18T18:11:28"/>
    <d v="2026-03-18T23:41:28"/>
    <d v="2026-03-18T15:02:41"/>
    <d v="2026-03-18T23:41:28"/>
    <x v="0"/>
    <n v="264"/>
    <n v="518.78330000000005"/>
    <x v="0"/>
    <x v="113"/>
    <x v="45"/>
    <x v="15"/>
    <s v="Clinic"/>
    <s v="ushaaaam40@gmail.com"/>
    <x v="2"/>
    <s v="Trivandrum"/>
    <s v="Go"/>
    <n v="56.86"/>
    <n v="99"/>
    <x v="1"/>
    <n v="1"/>
    <m/>
    <s v="Operative Report"/>
    <m/>
    <m/>
    <n v="720"/>
    <s v="No"/>
    <n v="128"/>
    <s v="Normal"/>
    <s v="Achieved"/>
    <n v="0"/>
    <m/>
    <m/>
    <m/>
    <m/>
    <x v="7"/>
    <s v="Week12"/>
    <x v="15"/>
    <x v="1"/>
    <n v="98.241294407316218"/>
    <n v="0"/>
    <n v="1"/>
    <s v="Ankit"/>
    <s v="Aneesh"/>
    <s v="Aneesh"/>
    <s v="Minor"/>
    <s v="12828839Usha M"/>
    <s v="Minor"/>
    <n v="0"/>
    <x v="0"/>
    <x v="0"/>
    <n v="1"/>
    <n v="1"/>
    <x v="2"/>
    <x v="0"/>
    <x v="0"/>
    <b v="0"/>
    <s v="Others"/>
    <x v="0"/>
  </r>
  <r>
    <d v="2026-03-03T18:50:15"/>
    <d v="2026-03-04T00:20:15"/>
    <d v="2026-03-19T05:22:02"/>
    <d v="2026-03-19T10:52:02"/>
    <d v="2026-03-18T23:43:51"/>
    <d v="2026-03-19T10:52:02"/>
    <x v="0"/>
    <n v="752"/>
    <n v="668.18330000000003"/>
    <x v="0"/>
    <x v="114"/>
    <x v="47"/>
    <x v="12"/>
    <s v="Clinic"/>
    <s v="Tejasahm@gmail.com"/>
    <x v="7"/>
    <s v="Ahmedabad"/>
    <s v="Go"/>
    <n v="26.45"/>
    <n v="100"/>
    <x v="0"/>
    <n v="0"/>
    <m/>
    <s v="CAMG_OV"/>
    <m/>
    <m/>
    <n v="1440"/>
    <s v="No"/>
    <n v="125"/>
    <s v="Normal"/>
    <s v="Achieved"/>
    <n v="0"/>
    <m/>
    <m/>
    <m/>
    <m/>
    <x v="8"/>
    <s v="Week12"/>
    <x v="12"/>
    <x v="0"/>
    <n v="100"/>
    <n v="0"/>
    <n v="0"/>
    <s v="Harsh"/>
    <s v="Ankit"/>
    <s v="Ankit"/>
    <s v=""/>
    <s v="12826034Tejas Patel"/>
    <s v=""/>
    <s v=""/>
    <x v="1"/>
    <x v="0"/>
    <s v=""/>
    <n v="0"/>
    <x v="8"/>
    <x v="0"/>
    <x v="0"/>
    <b v="0"/>
    <s v="Top 25"/>
    <x v="5"/>
  </r>
  <r>
    <d v="2026-03-04T13:31:22"/>
    <d v="2026-03-04T19:01:22"/>
    <d v="2026-03-19T05:46:32"/>
    <d v="2026-03-19T11:16:32"/>
    <d v="2026-03-18T23:43:45"/>
    <d v="2026-03-19T11:16:32"/>
    <x v="0"/>
    <n v="2720"/>
    <n v="692.78330000000005"/>
    <x v="0"/>
    <x v="115"/>
    <x v="6"/>
    <x v="3"/>
    <s v="Clinic"/>
    <s v="Tejasahm@gmail.com"/>
    <x v="7"/>
    <s v="Ahmedabad"/>
    <s v="No Go"/>
    <n v="144.11000000000001"/>
    <n v="97"/>
    <x v="2"/>
    <n v="2"/>
    <m/>
    <s v="PSYCHOLOGICAL REPORT"/>
    <m/>
    <m/>
    <n v="1440"/>
    <s v="No"/>
    <n v="731"/>
    <s v="Normal"/>
    <s v="Achieved"/>
    <n v="0"/>
    <m/>
    <m/>
    <m/>
    <m/>
    <x v="8"/>
    <s v="Week12"/>
    <x v="3"/>
    <x v="1"/>
    <n v="97.918256887100128"/>
    <n v="2"/>
    <n v="3"/>
    <s v="Harsh"/>
    <s v="Ankit"/>
    <s v="Ankit"/>
    <s v="Major"/>
    <s v="12826249Tejas Patel"/>
    <s v="Major"/>
    <n v="1"/>
    <x v="1"/>
    <x v="1"/>
    <n v="1"/>
    <n v="2"/>
    <x v="8"/>
    <x v="0"/>
    <x v="0"/>
    <b v="1"/>
    <s v="Top 25"/>
    <x v="5"/>
  </r>
  <r>
    <d v="2026-03-04T13:31:22"/>
    <d v="2026-03-04T19:01:22"/>
    <d v="2026-03-19T05:46:32"/>
    <d v="2026-03-19T11:16:32"/>
    <d v="2026-03-18T23:43:45"/>
    <d v="2026-03-19T11:16:32"/>
    <x v="0"/>
    <n v="2720"/>
    <n v="692.78330000000005"/>
    <x v="0"/>
    <x v="115"/>
    <x v="6"/>
    <x v="3"/>
    <s v="Clinic"/>
    <s v="Tejasahm@gmail.com"/>
    <x v="7"/>
    <s v="Ahmedabad"/>
    <s v="No Go"/>
    <n v="144.11000000000001"/>
    <n v="97"/>
    <x v="4"/>
    <n v="1"/>
    <m/>
    <s v="PSYCHOLOGICAL REPORT"/>
    <m/>
    <m/>
    <n v="1440"/>
    <s v="No"/>
    <n v="731"/>
    <s v="Normal"/>
    <s v="Achieved"/>
    <n v="0"/>
    <m/>
    <m/>
    <m/>
    <m/>
    <x v="8"/>
    <s v="Week12"/>
    <x v="3"/>
    <x v="1"/>
    <n v="97.918256887100128"/>
    <n v="1"/>
    <n v="3"/>
    <s v="Harsh"/>
    <s v="Ankit"/>
    <s v="Ankit"/>
    <s v="Major"/>
    <s v="12826249Tejas Patel"/>
    <s v="Major"/>
    <n v="1"/>
    <x v="1"/>
    <x v="1"/>
    <n v="1"/>
    <n v="1"/>
    <x v="8"/>
    <x v="0"/>
    <x v="0"/>
    <b v="1"/>
    <s v="Top 25"/>
    <x v="5"/>
  </r>
  <r>
    <d v="2026-03-04T13:31:22"/>
    <d v="2026-03-04T19:01:22"/>
    <d v="2026-03-19T05:46:32"/>
    <d v="2026-03-19T11:16:32"/>
    <d v="2026-03-18T23:43:45"/>
    <d v="2026-03-19T11:16:32"/>
    <x v="0"/>
    <n v="2720"/>
    <n v="692.78330000000005"/>
    <x v="0"/>
    <x v="115"/>
    <x v="6"/>
    <x v="3"/>
    <s v="Clinic"/>
    <s v="Tejasahm@gmail.com"/>
    <x v="7"/>
    <s v="Ahmedabad"/>
    <s v="No Go"/>
    <n v="144.11000000000001"/>
    <n v="97"/>
    <x v="1"/>
    <n v="3"/>
    <m/>
    <s v="PSYCHOLOGICAL REPORT"/>
    <m/>
    <m/>
    <n v="1440"/>
    <s v="No"/>
    <n v="731"/>
    <s v="Normal"/>
    <s v="Achieved"/>
    <n v="0"/>
    <m/>
    <m/>
    <m/>
    <m/>
    <x v="8"/>
    <s v="Week12"/>
    <x v="3"/>
    <x v="1"/>
    <n v="97.918256887100128"/>
    <n v="0"/>
    <n v="3"/>
    <s v="Harsh"/>
    <s v="Ankit"/>
    <s v="Ankit"/>
    <s v="Minor"/>
    <s v="12826249Tejas Patel"/>
    <s v="Minor"/>
    <n v="0"/>
    <x v="1"/>
    <x v="0"/>
    <n v="1"/>
    <n v="3"/>
    <x v="8"/>
    <x v="0"/>
    <x v="0"/>
    <b v="0"/>
    <s v="Top 25"/>
    <x v="5"/>
  </r>
  <r>
    <d v="2026-03-11T16:32:35"/>
    <d v="2026-03-11T22:02:35"/>
    <d v="2026-03-19T16:57:23"/>
    <d v="2026-03-19T22:27:23"/>
    <d v="2026-03-18T23:44:21"/>
    <d v="2026-03-19T22:27:23"/>
    <x v="0"/>
    <n v="181"/>
    <n v="1363.0333000000001"/>
    <x v="0"/>
    <x v="116"/>
    <x v="49"/>
    <x v="12"/>
    <s v="Clinic"/>
    <s v="Tejasahm@gmail.com"/>
    <x v="7"/>
    <s v="Ahmedabad"/>
    <s v="Go"/>
    <n v="27.6"/>
    <n v="100"/>
    <x v="1"/>
    <n v="1"/>
    <m/>
    <s v="CAMG_OV"/>
    <m/>
    <m/>
    <n v="1440"/>
    <s v="No"/>
    <n v="132"/>
    <s v="Normal"/>
    <s v="Achieved"/>
    <n v="0"/>
    <m/>
    <m/>
    <m/>
    <m/>
    <x v="8"/>
    <s v="Week12"/>
    <x v="12"/>
    <x v="0"/>
    <n v="100"/>
    <n v="0"/>
    <n v="0"/>
    <s v="Harsh"/>
    <s v="Ankit"/>
    <s v="Ankit"/>
    <s v="Minor"/>
    <s v="12828310Tejas Patel"/>
    <s v="Minor"/>
    <n v="0"/>
    <x v="1"/>
    <x v="0"/>
    <n v="1"/>
    <n v="1"/>
    <x v="8"/>
    <x v="0"/>
    <x v="0"/>
    <b v="0"/>
    <s v="Top 25"/>
    <x v="5"/>
  </r>
  <r>
    <d v="2026-03-16T16:23:11"/>
    <d v="2026-03-16T21:53:11"/>
    <d v="2026-03-19T17:08:52"/>
    <d v="2026-03-19T22:38:52"/>
    <d v="2026-03-18T23:46:33"/>
    <d v="2026-03-19T22:38:52"/>
    <x v="0"/>
    <n v="678"/>
    <n v="1372.3167000000001"/>
    <x v="0"/>
    <x v="117"/>
    <x v="52"/>
    <x v="3"/>
    <s v="Clinic"/>
    <s v="chintul.s@mediscribes.com"/>
    <x v="8"/>
    <s v="Ahmedabad"/>
    <s v="No Go"/>
    <n v="89.91"/>
    <n v="98"/>
    <x v="2"/>
    <n v="2"/>
    <m/>
    <s v="Internal Medicine"/>
    <m/>
    <m/>
    <n v="1440"/>
    <s v="No"/>
    <n v="629"/>
    <s v="Normal"/>
    <s v="Achieved"/>
    <n v="0"/>
    <m/>
    <m/>
    <m/>
    <m/>
    <x v="8"/>
    <s v="Week12"/>
    <x v="3"/>
    <x v="1"/>
    <n v="97.775553331108881"/>
    <n v="2"/>
    <n v="2"/>
    <s v="Harsh"/>
    <s v="Ankit"/>
    <s v="Ankit"/>
    <s v="Major"/>
    <s v="12829410Chintul Sutaria"/>
    <s v="Major"/>
    <n v="1"/>
    <x v="1"/>
    <x v="1"/>
    <n v="1"/>
    <n v="2"/>
    <x v="12"/>
    <x v="0"/>
    <x v="0"/>
    <b v="1"/>
    <s v="Top 25"/>
    <x v="5"/>
  </r>
  <r>
    <d v="2026-03-16T16:23:11"/>
    <d v="2026-03-16T21:53:11"/>
    <d v="2026-03-19T17:08:52"/>
    <d v="2026-03-19T22:38:52"/>
    <d v="2026-03-18T23:46:33"/>
    <d v="2026-03-19T22:38:52"/>
    <x v="0"/>
    <n v="678"/>
    <n v="1372.3167000000001"/>
    <x v="0"/>
    <x v="117"/>
    <x v="52"/>
    <x v="3"/>
    <s v="Clinic"/>
    <s v="chintul.s@mediscribes.com"/>
    <x v="8"/>
    <s v="Ahmedabad"/>
    <s v="No Go"/>
    <n v="89.91"/>
    <n v="98"/>
    <x v="1"/>
    <n v="2"/>
    <m/>
    <s v="Internal Medicine"/>
    <m/>
    <m/>
    <n v="1440"/>
    <s v="No"/>
    <n v="629"/>
    <s v="Normal"/>
    <s v="Achieved"/>
    <n v="0"/>
    <m/>
    <m/>
    <m/>
    <m/>
    <x v="8"/>
    <s v="Week12"/>
    <x v="3"/>
    <x v="1"/>
    <n v="97.775553331108881"/>
    <n v="0"/>
    <n v="2"/>
    <s v="Harsh"/>
    <s v="Ankit"/>
    <s v="Ankit"/>
    <s v="Minor"/>
    <s v="12829410Chintul Sutaria"/>
    <s v="Minor"/>
    <n v="0"/>
    <x v="1"/>
    <x v="0"/>
    <n v="1"/>
    <n v="2"/>
    <x v="12"/>
    <x v="0"/>
    <x v="0"/>
    <b v="0"/>
    <s v="Top 25"/>
    <x v="5"/>
  </r>
  <r>
    <d v="2026-03-12T16:46:22"/>
    <d v="2026-03-12T22:16:22"/>
    <d v="2026-03-19T17:31:41"/>
    <d v="2026-03-19T23:01:41"/>
    <d v="2026-03-18T23:44:32"/>
    <d v="2026-03-19T23:01:41"/>
    <x v="0"/>
    <n v="1060"/>
    <n v="1397.15"/>
    <x v="0"/>
    <x v="118"/>
    <x v="49"/>
    <x v="12"/>
    <s v="Clinic"/>
    <s v="Tejasahm@gmail.com"/>
    <x v="7"/>
    <s v="Ahmedabad"/>
    <s v="Go"/>
    <n v="25.86"/>
    <n v="100"/>
    <x v="1"/>
    <n v="1"/>
    <m/>
    <s v="CAMG_OV"/>
    <m/>
    <m/>
    <n v="1440"/>
    <s v="No"/>
    <n v="129"/>
    <s v="Normal"/>
    <s v="Achieved"/>
    <n v="0"/>
    <m/>
    <m/>
    <m/>
    <m/>
    <x v="8"/>
    <s v="Week12"/>
    <x v="12"/>
    <x v="0"/>
    <n v="100"/>
    <n v="0"/>
    <n v="0"/>
    <s v="Harsh"/>
    <s v="Ankit"/>
    <s v="Ankit"/>
    <s v="Minor"/>
    <s v="12828723Tejas Patel"/>
    <s v="Minor"/>
    <n v="0"/>
    <x v="1"/>
    <x v="0"/>
    <n v="1"/>
    <n v="1"/>
    <x v="8"/>
    <x v="0"/>
    <x v="0"/>
    <b v="0"/>
    <s v="Top 25"/>
    <x v="5"/>
  </r>
  <r>
    <d v="2026-03-16T13:04:04"/>
    <d v="2026-03-16T18:34:04"/>
    <d v="2026-03-19T17:47:02"/>
    <d v="2026-03-19T23:17:02"/>
    <d v="2026-03-18T23:46:22"/>
    <d v="2026-03-19T23:17:02"/>
    <x v="0"/>
    <n v="2085"/>
    <n v="1410.6667"/>
    <x v="0"/>
    <x v="119"/>
    <x v="53"/>
    <x v="3"/>
    <s v="Clinic"/>
    <s v="chintul.s@mediscribes.com"/>
    <x v="8"/>
    <s v="Ahmedabad"/>
    <s v="Go"/>
    <n v="171.06"/>
    <n v="100"/>
    <x v="1"/>
    <n v="1"/>
    <m/>
    <s v="PSYCHOLOGICAL REPORT"/>
    <m/>
    <m/>
    <n v="1440"/>
    <s v="No"/>
    <n v="795"/>
    <s v="Normal"/>
    <s v="Achieved"/>
    <n v="0"/>
    <m/>
    <m/>
    <m/>
    <m/>
    <x v="8"/>
    <s v="Week12"/>
    <x v="3"/>
    <x v="0"/>
    <n v="100"/>
    <n v="0"/>
    <n v="0"/>
    <s v="Harsh"/>
    <s v="Ankit"/>
    <s v="Ankit"/>
    <s v="Minor"/>
    <s v="12829342Chintul Sutaria"/>
    <s v="Minor"/>
    <n v="0"/>
    <x v="1"/>
    <x v="0"/>
    <n v="1"/>
    <n v="1"/>
    <x v="12"/>
    <x v="0"/>
    <x v="0"/>
    <b v="0"/>
    <s v="Top 25"/>
    <x v="5"/>
  </r>
  <r>
    <d v="2026-03-17T06:40:15"/>
    <d v="2026-03-17T12:10:15"/>
    <d v="2026-03-19T17:48:26"/>
    <d v="2026-03-19T23:18:26"/>
    <d v="2026-03-18T23:46:16"/>
    <d v="2026-03-19T23:18:26"/>
    <x v="0"/>
    <n v="73"/>
    <n v="1412.1667"/>
    <x v="0"/>
    <x v="120"/>
    <x v="54"/>
    <x v="16"/>
    <s v="Clinic"/>
    <s v="chintul.s@mediscribes.com"/>
    <x v="8"/>
    <s v="Ahmedabad"/>
    <s v="Go"/>
    <n v="10.45"/>
    <n v="100"/>
    <x v="0"/>
    <n v="0"/>
    <m/>
    <s v="GEMMS OV-CONS.TEMPLATE"/>
    <m/>
    <m/>
    <n v="2880"/>
    <s v="No"/>
    <n v="62"/>
    <s v="Normal"/>
    <s v="Achieved"/>
    <n v="0"/>
    <m/>
    <m/>
    <m/>
    <m/>
    <x v="8"/>
    <s v="Week12"/>
    <x v="16"/>
    <x v="0"/>
    <n v="100"/>
    <n v="0"/>
    <n v="0"/>
    <s v="Harsh"/>
    <s v="Ankit"/>
    <s v="Ankit"/>
    <s v=""/>
    <s v="12829607Chintul Sutaria"/>
    <s v=""/>
    <s v=""/>
    <x v="1"/>
    <x v="0"/>
    <s v=""/>
    <n v="0"/>
    <x v="12"/>
    <x v="0"/>
    <x v="0"/>
    <b v="0"/>
    <s v="Others"/>
    <x v="5"/>
  </r>
  <r>
    <d v="2026-03-15T13:31:22"/>
    <d v="2026-03-15T19:01:22"/>
    <d v="2026-03-19T18:03:34"/>
    <d v="2026-03-19T23:33:34"/>
    <d v="2026-03-18T23:44:41"/>
    <d v="2026-03-19T23:33:34"/>
    <x v="0"/>
    <n v="9472"/>
    <n v="1428.8833"/>
    <x v="0"/>
    <x v="121"/>
    <x v="55"/>
    <x v="17"/>
    <s v="Clinic"/>
    <s v="chintul.s@mediscribes.com"/>
    <x v="8"/>
    <s v="Ahmedabad"/>
    <s v="Go"/>
    <n v="161.77000000000001"/>
    <n v="100"/>
    <x v="1"/>
    <n v="4"/>
    <m/>
    <s v="Independent Medical Examination"/>
    <m/>
    <m/>
    <n v="1440"/>
    <s v="No"/>
    <n v="889"/>
    <s v="Normal"/>
    <s v="Achieved"/>
    <n v="0"/>
    <m/>
    <m/>
    <m/>
    <m/>
    <x v="8"/>
    <s v="Week12"/>
    <x v="17"/>
    <x v="0"/>
    <n v="100"/>
    <n v="0"/>
    <n v="0"/>
    <s v="Harsh"/>
    <s v="Ankit"/>
    <s v="Ankit"/>
    <s v="Minor"/>
    <s v="12829182Chintul Sutaria"/>
    <s v="Minor"/>
    <n v="0"/>
    <x v="1"/>
    <x v="0"/>
    <n v="1"/>
    <n v="4"/>
    <x v="12"/>
    <x v="0"/>
    <x v="2"/>
    <b v="0"/>
    <s v="Others"/>
    <x v="5"/>
  </r>
  <r>
    <d v="2026-03-10T16:49:30"/>
    <d v="2026-03-10T22:19:30"/>
    <d v="2026-03-19T18:10:23"/>
    <d v="2026-03-19T23:40:23"/>
    <d v="2026-03-16T10:57:11"/>
    <d v="2026-03-19T23:40:23"/>
    <x v="0"/>
    <n v="10652"/>
    <n v="5083.2"/>
    <x v="0"/>
    <x v="122"/>
    <x v="36"/>
    <x v="12"/>
    <s v="Clinic"/>
    <s v="PratheepKumar.a@cardioscribes.com"/>
    <x v="6"/>
    <s v="Chennai"/>
    <s v="No Go"/>
    <n v="58.4"/>
    <n v="98"/>
    <x v="2"/>
    <n v="2"/>
    <m/>
    <s v="CAMG_OV"/>
    <m/>
    <m/>
    <n v="1440"/>
    <s v="No"/>
    <n v="222"/>
    <s v="Normal"/>
    <s v="Achieved"/>
    <n v="0"/>
    <m/>
    <m/>
    <m/>
    <m/>
    <x v="8"/>
    <s v="Week12"/>
    <x v="12"/>
    <x v="1"/>
    <n v="96.575342465753423"/>
    <n v="2"/>
    <n v="2"/>
    <s v="Harsh"/>
    <s v="Aneesh"/>
    <s v="Aneesh"/>
    <s v="Major"/>
    <s v="12827892Pratheep Kumar"/>
    <s v="Major"/>
    <n v="1"/>
    <x v="0"/>
    <x v="1"/>
    <n v="1"/>
    <n v="2"/>
    <x v="6"/>
    <x v="0"/>
    <x v="0"/>
    <b v="1"/>
    <s v="Top 25"/>
    <x v="4"/>
  </r>
  <r>
    <d v="2026-03-10T16:49:30"/>
    <d v="2026-03-10T22:19:30"/>
    <d v="2026-03-19T18:10:23"/>
    <d v="2026-03-19T23:40:23"/>
    <d v="2026-03-16T10:57:11"/>
    <d v="2026-03-19T23:40:23"/>
    <x v="0"/>
    <n v="10652"/>
    <n v="5083.2"/>
    <x v="0"/>
    <x v="122"/>
    <x v="36"/>
    <x v="12"/>
    <s v="Clinic"/>
    <s v="PratheepKumar.a@cardioscribes.com"/>
    <x v="6"/>
    <s v="Chennai"/>
    <s v="No Go"/>
    <n v="58.4"/>
    <n v="98"/>
    <x v="1"/>
    <n v="5"/>
    <m/>
    <s v="CAMG_OV"/>
    <m/>
    <m/>
    <n v="1440"/>
    <s v="No"/>
    <n v="222"/>
    <s v="Normal"/>
    <s v="Achieved"/>
    <n v="0"/>
    <m/>
    <m/>
    <m/>
    <m/>
    <x v="8"/>
    <s v="Week12"/>
    <x v="12"/>
    <x v="1"/>
    <n v="96.575342465753423"/>
    <n v="0"/>
    <n v="2"/>
    <s v="Harsh"/>
    <s v="Aneesh"/>
    <s v="Aneesh"/>
    <s v="Minor"/>
    <s v="12827892Pratheep Kumar"/>
    <s v="Minor"/>
    <n v="0"/>
    <x v="0"/>
    <x v="0"/>
    <n v="1"/>
    <n v="5"/>
    <x v="6"/>
    <x v="0"/>
    <x v="0"/>
    <b v="0"/>
    <s v="Top 25"/>
    <x v="4"/>
  </r>
  <r>
    <d v="2026-03-11T16:48:57"/>
    <d v="2026-03-11T22:18:57"/>
    <d v="2026-03-19T18:15:52"/>
    <d v="2026-03-19T23:45:52"/>
    <d v="2026-03-16T10:58:21"/>
    <d v="2026-03-19T23:45:52"/>
    <x v="0"/>
    <n v="481"/>
    <n v="5087.5167000000001"/>
    <x v="0"/>
    <x v="123"/>
    <x v="36"/>
    <x v="12"/>
    <s v="Clinic"/>
    <s v="Tejasahm@gmail.com"/>
    <x v="7"/>
    <s v="Ahmedabad"/>
    <s v="Go"/>
    <n v="32.92"/>
    <n v="100"/>
    <x v="0"/>
    <n v="0"/>
    <m/>
    <s v="CAMG_OV"/>
    <m/>
    <m/>
    <n v="1440"/>
    <s v="No"/>
    <n v="122"/>
    <s v="Normal"/>
    <s v="Achieved"/>
    <n v="0"/>
    <m/>
    <m/>
    <m/>
    <m/>
    <x v="8"/>
    <s v="Week12"/>
    <x v="12"/>
    <x v="0"/>
    <n v="100"/>
    <n v="0"/>
    <n v="0"/>
    <s v="Harsh"/>
    <s v="Ankit"/>
    <s v="Ankit"/>
    <s v=""/>
    <s v="12828332Tejas Patel"/>
    <s v=""/>
    <s v=""/>
    <x v="1"/>
    <x v="0"/>
    <s v=""/>
    <n v="0"/>
    <x v="8"/>
    <x v="0"/>
    <x v="0"/>
    <b v="0"/>
    <s v="Top 25"/>
    <x v="5"/>
  </r>
  <r>
    <d v="2026-03-11T16:49:26"/>
    <d v="2026-03-11T22:19:26"/>
    <d v="2026-03-19T18:19:57"/>
    <d v="2026-03-19T23:49:57"/>
    <d v="2026-03-17T10:56:54"/>
    <d v="2026-03-19T23:49:57"/>
    <x v="0"/>
    <n v="232"/>
    <n v="3653.05"/>
    <x v="0"/>
    <x v="124"/>
    <x v="36"/>
    <x v="12"/>
    <s v="Clinic"/>
    <s v="Tejasahm@gmail.com"/>
    <x v="7"/>
    <s v="Ahmedabad"/>
    <s v="Go"/>
    <n v="38.549999999999997"/>
    <n v="100"/>
    <x v="1"/>
    <n v="2"/>
    <m/>
    <s v="CAMG_OV"/>
    <m/>
    <m/>
    <n v="1440"/>
    <s v="No"/>
    <n v="146"/>
    <s v="Normal"/>
    <s v="Achieved"/>
    <n v="0"/>
    <m/>
    <m/>
    <m/>
    <m/>
    <x v="8"/>
    <s v="Week12"/>
    <x v="12"/>
    <x v="0"/>
    <n v="100"/>
    <n v="0"/>
    <n v="0"/>
    <s v="Harsh"/>
    <s v="Ankit"/>
    <s v="Ankit"/>
    <s v="Minor"/>
    <s v="12828338Tejas Patel"/>
    <s v="Minor"/>
    <n v="0"/>
    <x v="1"/>
    <x v="0"/>
    <n v="1"/>
    <n v="2"/>
    <x v="8"/>
    <x v="0"/>
    <x v="0"/>
    <b v="0"/>
    <s v="Top 25"/>
    <x v="5"/>
  </r>
  <r>
    <d v="2026-03-11T16:49:56"/>
    <d v="2026-03-11T22:19:56"/>
    <d v="2026-03-19T18:26:04"/>
    <d v="2026-03-19T23:56:04"/>
    <d v="2026-03-17T10:57:04"/>
    <d v="2026-03-19T23:56:04"/>
    <x v="0"/>
    <n v="358"/>
    <n v="3659"/>
    <x v="0"/>
    <x v="125"/>
    <x v="36"/>
    <x v="12"/>
    <s v="Clinic"/>
    <s v="Tejasahm@gmail.com"/>
    <x v="7"/>
    <s v="Ahmedabad"/>
    <s v="No Go"/>
    <n v="51.82"/>
    <n v="98"/>
    <x v="2"/>
    <n v="1"/>
    <m/>
    <s v="CAMG_OV"/>
    <m/>
    <m/>
    <n v="1440"/>
    <s v="No"/>
    <n v="175"/>
    <s v="Normal"/>
    <s v="Achieved"/>
    <n v="0"/>
    <m/>
    <m/>
    <m/>
    <m/>
    <x v="8"/>
    <s v="Week12"/>
    <x v="12"/>
    <x v="1"/>
    <n v="96.140486298726358"/>
    <n v="1"/>
    <n v="2"/>
    <s v="Harsh"/>
    <s v="Ankit"/>
    <s v="Ankit"/>
    <s v="Major"/>
    <s v="12828335Tejas Patel"/>
    <s v="Major"/>
    <n v="1"/>
    <x v="1"/>
    <x v="1"/>
    <n v="1"/>
    <n v="1"/>
    <x v="8"/>
    <x v="0"/>
    <x v="0"/>
    <b v="1"/>
    <s v="Top 25"/>
    <x v="5"/>
  </r>
  <r>
    <d v="2026-03-11T16:49:56"/>
    <d v="2026-03-11T22:19:56"/>
    <d v="2026-03-19T18:26:04"/>
    <d v="2026-03-19T23:56:04"/>
    <d v="2026-03-17T10:57:04"/>
    <d v="2026-03-19T23:56:04"/>
    <x v="0"/>
    <n v="358"/>
    <n v="3659"/>
    <x v="0"/>
    <x v="125"/>
    <x v="36"/>
    <x v="12"/>
    <s v="Clinic"/>
    <s v="Tejasahm@gmail.com"/>
    <x v="7"/>
    <s v="Ahmedabad"/>
    <s v="No Go"/>
    <n v="51.82"/>
    <n v="98"/>
    <x v="4"/>
    <n v="1"/>
    <m/>
    <s v="CAMG_OV"/>
    <m/>
    <m/>
    <n v="1440"/>
    <s v="No"/>
    <n v="175"/>
    <s v="Normal"/>
    <s v="Achieved"/>
    <n v="0"/>
    <m/>
    <m/>
    <m/>
    <m/>
    <x v="8"/>
    <s v="Week12"/>
    <x v="12"/>
    <x v="1"/>
    <n v="96.140486298726358"/>
    <n v="1"/>
    <n v="2"/>
    <s v="Harsh"/>
    <s v="Ankit"/>
    <s v="Ankit"/>
    <s v="Major"/>
    <s v="12828335Tejas Patel"/>
    <s v="Major"/>
    <n v="1"/>
    <x v="1"/>
    <x v="1"/>
    <n v="1"/>
    <n v="1"/>
    <x v="8"/>
    <x v="0"/>
    <x v="0"/>
    <b v="1"/>
    <s v="Top 25"/>
    <x v="5"/>
  </r>
  <r>
    <d v="2026-03-11T16:49:56"/>
    <d v="2026-03-11T22:19:56"/>
    <d v="2026-03-19T18:26:04"/>
    <d v="2026-03-19T23:56:04"/>
    <d v="2026-03-17T10:57:04"/>
    <d v="2026-03-19T23:56:04"/>
    <x v="0"/>
    <n v="358"/>
    <n v="3659"/>
    <x v="0"/>
    <x v="125"/>
    <x v="36"/>
    <x v="12"/>
    <s v="Clinic"/>
    <s v="Tejasahm@gmail.com"/>
    <x v="7"/>
    <s v="Ahmedabad"/>
    <s v="No Go"/>
    <n v="51.82"/>
    <n v="98"/>
    <x v="1"/>
    <n v="1"/>
    <m/>
    <s v="CAMG_OV"/>
    <m/>
    <m/>
    <n v="1440"/>
    <s v="No"/>
    <n v="175"/>
    <s v="Normal"/>
    <s v="Achieved"/>
    <n v="0"/>
    <m/>
    <m/>
    <m/>
    <m/>
    <x v="8"/>
    <s v="Week12"/>
    <x v="12"/>
    <x v="1"/>
    <n v="96.140486298726358"/>
    <n v="0"/>
    <n v="2"/>
    <s v="Harsh"/>
    <s v="Ankit"/>
    <s v="Ankit"/>
    <s v="Minor"/>
    <s v="12828335Tejas Patel"/>
    <s v="Minor"/>
    <n v="0"/>
    <x v="1"/>
    <x v="0"/>
    <n v="1"/>
    <n v="1"/>
    <x v="8"/>
    <x v="0"/>
    <x v="0"/>
    <b v="0"/>
    <s v="Top 25"/>
    <x v="5"/>
  </r>
  <r>
    <d v="2026-03-11T16:50:20"/>
    <d v="2026-03-11T22:20:20"/>
    <d v="2026-03-19T18:30:41"/>
    <d v="2026-03-20T00:00:41"/>
    <d v="2026-03-18T23:44:26"/>
    <d v="2026-03-20T00:00:41"/>
    <x v="0"/>
    <n v="267"/>
    <n v="1456.25"/>
    <x v="0"/>
    <x v="126"/>
    <x v="36"/>
    <x v="12"/>
    <s v="Clinic"/>
    <s v="Tejasahm@gmail.com"/>
    <x v="7"/>
    <s v="Ahmedabad"/>
    <s v="Go"/>
    <n v="45.95"/>
    <n v="99"/>
    <x v="2"/>
    <n v="1"/>
    <m/>
    <s v="CAMG_OV"/>
    <m/>
    <m/>
    <n v="1440"/>
    <s v="No"/>
    <n v="174"/>
    <s v="Normal"/>
    <s v="Achieved"/>
    <n v="1"/>
    <m/>
    <m/>
    <m/>
    <m/>
    <x v="9"/>
    <s v="Week12"/>
    <x v="12"/>
    <x v="1"/>
    <n v="97.823721436343845"/>
    <n v="1"/>
    <n v="1"/>
    <s v="Harsh"/>
    <s v="Ankit"/>
    <s v="Ankit"/>
    <s v="Major"/>
    <s v="12828339Tejas Patel"/>
    <s v="Major"/>
    <n v="1"/>
    <x v="1"/>
    <x v="1"/>
    <n v="1"/>
    <n v="1"/>
    <x v="8"/>
    <x v="0"/>
    <x v="0"/>
    <b v="1"/>
    <s v="Top 25"/>
    <x v="5"/>
  </r>
  <r>
    <d v="2026-03-11T16:50:20"/>
    <d v="2026-03-11T22:20:20"/>
    <d v="2026-03-19T18:30:41"/>
    <d v="2026-03-20T00:00:41"/>
    <d v="2026-03-18T23:44:26"/>
    <d v="2026-03-20T00:00:41"/>
    <x v="0"/>
    <n v="267"/>
    <n v="1456.25"/>
    <x v="0"/>
    <x v="126"/>
    <x v="36"/>
    <x v="12"/>
    <s v="Clinic"/>
    <s v="Tejasahm@gmail.com"/>
    <x v="7"/>
    <s v="Ahmedabad"/>
    <s v="Go"/>
    <n v="45.95"/>
    <n v="99"/>
    <x v="1"/>
    <n v="1"/>
    <m/>
    <s v="CAMG_OV"/>
    <m/>
    <m/>
    <n v="1440"/>
    <s v="No"/>
    <n v="174"/>
    <s v="Normal"/>
    <s v="Achieved"/>
    <n v="1"/>
    <m/>
    <m/>
    <m/>
    <m/>
    <x v="9"/>
    <s v="Week12"/>
    <x v="12"/>
    <x v="1"/>
    <n v="97.823721436343845"/>
    <n v="0"/>
    <n v="1"/>
    <s v="Harsh"/>
    <s v="Ankit"/>
    <s v="Ankit"/>
    <s v="Minor"/>
    <s v="12828339Tejas Patel"/>
    <s v="Minor"/>
    <n v="0"/>
    <x v="1"/>
    <x v="0"/>
    <n v="1"/>
    <n v="1"/>
    <x v="8"/>
    <x v="0"/>
    <x v="0"/>
    <b v="0"/>
    <s v="Top 25"/>
    <x v="5"/>
  </r>
  <r>
    <d v="2026-03-16T09:29:32"/>
    <d v="2026-03-16T14:59:32"/>
    <d v="2026-03-20T02:12:06"/>
    <d v="2026-03-20T07:42:06"/>
    <d v="2026-03-18T23:45:55"/>
    <d v="2026-03-20T07:42:06"/>
    <x v="0"/>
    <n v="393"/>
    <n v="1916.1832999999999"/>
    <x v="0"/>
    <x v="127"/>
    <x v="20"/>
    <x v="7"/>
    <s v="NursingHome"/>
    <s v="chintul.s@mediscribes.com"/>
    <x v="8"/>
    <s v="Ahmedabad"/>
    <s v="Go"/>
    <n v="33.35"/>
    <n v="99"/>
    <x v="2"/>
    <n v="1"/>
    <m/>
    <s v="Progress Note (Nursing Home)"/>
    <m/>
    <m/>
    <n v="720"/>
    <s v="Yes"/>
    <n v="121"/>
    <s v="Normal"/>
    <s v="Achieved"/>
    <n v="1"/>
    <m/>
    <m/>
    <m/>
    <m/>
    <x v="9"/>
    <s v="Week12"/>
    <x v="7"/>
    <x v="1"/>
    <n v="97.001499250374806"/>
    <n v="1"/>
    <n v="1"/>
    <s v="Aneesh"/>
    <s v="Ankit"/>
    <s v="Aneesh"/>
    <s v="Major"/>
    <s v="12829277Chintul Sutaria"/>
    <s v="Major"/>
    <n v="1"/>
    <x v="1"/>
    <x v="1"/>
    <n v="1"/>
    <n v="1"/>
    <x v="4"/>
    <x v="1"/>
    <x v="0"/>
    <b v="1"/>
    <s v="Others"/>
    <x v="5"/>
  </r>
  <r>
    <d v="2026-03-16T09:29:32"/>
    <d v="2026-03-16T14:59:32"/>
    <d v="2026-03-20T02:12:06"/>
    <d v="2026-03-20T07:42:06"/>
    <d v="2026-03-18T23:45:55"/>
    <d v="2026-03-20T07:42:06"/>
    <x v="0"/>
    <n v="393"/>
    <n v="1916.1832999999999"/>
    <x v="0"/>
    <x v="127"/>
    <x v="20"/>
    <x v="7"/>
    <s v="NursingHome"/>
    <s v="chintul.s@mediscribes.com"/>
    <x v="8"/>
    <s v="Ahmedabad"/>
    <s v="Go"/>
    <n v="33.35"/>
    <n v="99"/>
    <x v="1"/>
    <n v="1"/>
    <m/>
    <s v="Progress Note (Nursing Home)"/>
    <m/>
    <m/>
    <n v="720"/>
    <s v="Yes"/>
    <n v="121"/>
    <s v="Normal"/>
    <s v="Achieved"/>
    <n v="1"/>
    <m/>
    <m/>
    <m/>
    <m/>
    <x v="9"/>
    <s v="Week12"/>
    <x v="7"/>
    <x v="1"/>
    <n v="97.001499250374806"/>
    <n v="0"/>
    <n v="1"/>
    <s v="Aneesh"/>
    <s v="Ankit"/>
    <s v="Aneesh"/>
    <s v="Minor"/>
    <s v="12829277Chintul Sutaria"/>
    <s v="Minor"/>
    <n v="0"/>
    <x v="1"/>
    <x v="0"/>
    <n v="1"/>
    <n v="1"/>
    <x v="4"/>
    <x v="1"/>
    <x v="0"/>
    <b v="0"/>
    <s v="Others"/>
    <x v="5"/>
  </r>
  <r>
    <d v="2026-03-12T07:55:21"/>
    <d v="2026-03-12T13:25:21"/>
    <d v="2026-03-20T02:16:14"/>
    <d v="2026-03-20T07:46:14"/>
    <d v="2026-03-17T10:57:30"/>
    <d v="2026-03-20T07:46:14"/>
    <x v="0"/>
    <n v="235"/>
    <n v="4128.7332999999999"/>
    <x v="0"/>
    <x v="128"/>
    <x v="56"/>
    <x v="10"/>
    <s v="Clinic"/>
    <s v="gopalrajith@gmail.com"/>
    <x v="4"/>
    <s v="Trivandrum"/>
    <s v="Go"/>
    <n v="39.619999999999997"/>
    <n v="100"/>
    <x v="1"/>
    <n v="2"/>
    <m/>
    <s v="RMCA_SLEEP_STUDY"/>
    <m/>
    <m/>
    <n v="1440"/>
    <s v="No"/>
    <n v="176"/>
    <s v="Normal"/>
    <s v="Achieved"/>
    <n v="0"/>
    <m/>
    <m/>
    <m/>
    <m/>
    <x v="9"/>
    <s v="Week12"/>
    <x v="10"/>
    <x v="0"/>
    <n v="100"/>
    <n v="0"/>
    <n v="0"/>
    <s v="Ankit"/>
    <s v="Aneesh"/>
    <s v="Aneesh"/>
    <s v="Minor"/>
    <s v="12828428Gopal Rajith"/>
    <s v="Minor"/>
    <n v="0"/>
    <x v="0"/>
    <x v="0"/>
    <n v="1"/>
    <n v="2"/>
    <x v="4"/>
    <x v="0"/>
    <x v="0"/>
    <b v="0"/>
    <s v="Top 25"/>
    <x v="2"/>
  </r>
  <r>
    <d v="2026-03-12T08:05:47"/>
    <d v="2026-03-12T13:35:47"/>
    <d v="2026-03-20T02:19:49"/>
    <d v="2026-03-20T07:49:49"/>
    <d v="2026-03-18T00:33:35"/>
    <d v="2026-03-20T07:49:49"/>
    <x v="0"/>
    <n v="206"/>
    <n v="3316.2332999999999"/>
    <x v="0"/>
    <x v="129"/>
    <x v="56"/>
    <x v="10"/>
    <s v="Clinic"/>
    <s v="gopalrajith@gmail.com"/>
    <x v="4"/>
    <s v="Trivandrum"/>
    <s v="Go"/>
    <n v="29.54"/>
    <n v="100"/>
    <x v="0"/>
    <n v="0"/>
    <m/>
    <s v="RMCA_SLEEP_STUDY"/>
    <m/>
    <m/>
    <n v="1440"/>
    <s v="No"/>
    <n v="120"/>
    <s v="Normal"/>
    <s v="Achieved"/>
    <n v="0"/>
    <m/>
    <m/>
    <m/>
    <m/>
    <x v="9"/>
    <s v="Week12"/>
    <x v="10"/>
    <x v="0"/>
    <n v="100"/>
    <n v="0"/>
    <n v="0"/>
    <s v="Ankit"/>
    <s v="Aneesh"/>
    <s v="Aneesh"/>
    <s v=""/>
    <s v="12828434Gopal Rajith"/>
    <s v=""/>
    <s v=""/>
    <x v="0"/>
    <x v="0"/>
    <s v=""/>
    <n v="0"/>
    <x v="4"/>
    <x v="0"/>
    <x v="0"/>
    <b v="0"/>
    <s v="Top 25"/>
    <x v="2"/>
  </r>
  <r>
    <d v="2026-03-12T08:08:17"/>
    <d v="2026-03-12T13:38:17"/>
    <d v="2026-03-20T02:24:19"/>
    <d v="2026-03-20T07:54:19"/>
    <d v="2026-03-17T10:57:36"/>
    <d v="2026-03-20T07:54:19"/>
    <x v="0"/>
    <n v="196"/>
    <n v="4136.7166999999999"/>
    <x v="0"/>
    <x v="130"/>
    <x v="56"/>
    <x v="10"/>
    <s v="Clinic"/>
    <s v="gopalrajith@gmail.com"/>
    <x v="4"/>
    <s v="Trivandrum"/>
    <s v="Go"/>
    <n v="31.31"/>
    <n v="100"/>
    <x v="0"/>
    <n v="0"/>
    <m/>
    <s v="RMCA_SLEEP_STUDY"/>
    <m/>
    <m/>
    <n v="1440"/>
    <s v="No"/>
    <n v="120"/>
    <s v="Normal"/>
    <s v="Achieved"/>
    <n v="0"/>
    <m/>
    <m/>
    <m/>
    <m/>
    <x v="9"/>
    <s v="Week12"/>
    <x v="10"/>
    <x v="0"/>
    <n v="100"/>
    <n v="0"/>
    <n v="0"/>
    <s v="Ankit"/>
    <s v="Aneesh"/>
    <s v="Aneesh"/>
    <s v=""/>
    <s v="12828433Gopal Rajith"/>
    <s v=""/>
    <s v=""/>
    <x v="0"/>
    <x v="0"/>
    <s v=""/>
    <n v="0"/>
    <x v="4"/>
    <x v="0"/>
    <x v="0"/>
    <b v="0"/>
    <s v="Top 25"/>
    <x v="2"/>
  </r>
  <r>
    <d v="2026-03-11T08:24:06"/>
    <d v="2026-03-11T13:54:06"/>
    <d v="2026-03-20T02:30:38"/>
    <d v="2026-03-20T08:00:38"/>
    <d v="2026-03-18T23:44:15"/>
    <d v="2026-03-20T08:00:38"/>
    <x v="0"/>
    <n v="868"/>
    <n v="1936.3833"/>
    <x v="0"/>
    <x v="131"/>
    <x v="47"/>
    <x v="12"/>
    <s v="Clinic"/>
    <s v="Tejasahm@gmail.com"/>
    <x v="7"/>
    <s v="Ahmedabad"/>
    <s v="Go"/>
    <n v="41.89"/>
    <n v="100"/>
    <x v="1"/>
    <n v="3"/>
    <m/>
    <s v="CAMG_OV"/>
    <m/>
    <m/>
    <n v="1440"/>
    <s v="No"/>
    <n v="262"/>
    <s v="Normal"/>
    <s v="Achieved"/>
    <n v="0"/>
    <m/>
    <m/>
    <m/>
    <m/>
    <x v="9"/>
    <s v="Week12"/>
    <x v="12"/>
    <x v="0"/>
    <n v="100"/>
    <n v="0"/>
    <n v="0"/>
    <s v="Harsh"/>
    <s v="Ankit"/>
    <s v="Ankit"/>
    <s v="Minor"/>
    <s v="12828049Tejas Patel"/>
    <s v="Minor"/>
    <n v="0"/>
    <x v="1"/>
    <x v="0"/>
    <n v="1"/>
    <n v="3"/>
    <x v="8"/>
    <x v="0"/>
    <x v="0"/>
    <b v="0"/>
    <s v="Top 25"/>
    <x v="5"/>
  </r>
  <r>
    <d v="2026-03-16T14:44:09"/>
    <d v="2026-03-16T20:14:09"/>
    <d v="2026-03-20T03:41:43"/>
    <d v="2026-03-20T09:11:43"/>
    <d v="2026-03-20T07:50:06"/>
    <d v="2026-03-20T09:11:43"/>
    <x v="0"/>
    <n v="3613"/>
    <n v="81.616699999999994"/>
    <x v="0"/>
    <x v="132"/>
    <x v="55"/>
    <x v="17"/>
    <s v="Clinic"/>
    <s v="shiny.iype@cardioscribes.com"/>
    <x v="9"/>
    <s v="Ahmedabad"/>
    <s v="Go"/>
    <n v="123.42"/>
    <n v="99"/>
    <x v="2"/>
    <n v="1"/>
    <m/>
    <s v="Independent Medical Examination"/>
    <m/>
    <m/>
    <n v="1440"/>
    <s v="No"/>
    <n v="949"/>
    <s v="Normal"/>
    <s v="Achieved"/>
    <n v="0"/>
    <m/>
    <m/>
    <m/>
    <m/>
    <x v="9"/>
    <s v="Week12"/>
    <x v="17"/>
    <x v="0"/>
    <n v="99.189758548047323"/>
    <n v="1"/>
    <n v="1"/>
    <s v="Harsh"/>
    <s v="Ankit"/>
    <s v="Ankit"/>
    <s v="Major"/>
    <s v="12829352Shiny Iype"/>
    <s v="Major"/>
    <n v="1"/>
    <x v="1"/>
    <x v="1"/>
    <n v="1"/>
    <n v="1"/>
    <x v="13"/>
    <x v="0"/>
    <x v="2"/>
    <b v="1"/>
    <s v="Others"/>
    <x v="0"/>
  </r>
  <r>
    <d v="2026-03-16T14:44:09"/>
    <d v="2026-03-16T20:14:09"/>
    <d v="2026-03-20T03:41:43"/>
    <d v="2026-03-20T09:11:43"/>
    <d v="2026-03-20T07:50:06"/>
    <d v="2026-03-20T09:11:43"/>
    <x v="0"/>
    <n v="3613"/>
    <n v="81.616699999999994"/>
    <x v="0"/>
    <x v="132"/>
    <x v="55"/>
    <x v="17"/>
    <s v="Clinic"/>
    <s v="shiny.iype@cardioscribes.com"/>
    <x v="9"/>
    <s v="Ahmedabad"/>
    <s v="Go"/>
    <n v="123.42"/>
    <n v="99"/>
    <x v="1"/>
    <n v="4"/>
    <m/>
    <s v="Independent Medical Examination"/>
    <m/>
    <m/>
    <n v="1440"/>
    <s v="No"/>
    <n v="949"/>
    <s v="Normal"/>
    <s v="Achieved"/>
    <n v="0"/>
    <m/>
    <m/>
    <m/>
    <m/>
    <x v="9"/>
    <s v="Week12"/>
    <x v="17"/>
    <x v="0"/>
    <n v="99.189758548047323"/>
    <n v="0"/>
    <n v="1"/>
    <s v="Harsh"/>
    <s v="Ankit"/>
    <s v="Ankit"/>
    <s v="Minor"/>
    <s v="12829352Shiny Iype"/>
    <s v="Minor"/>
    <n v="0"/>
    <x v="1"/>
    <x v="0"/>
    <n v="1"/>
    <n v="4"/>
    <x v="13"/>
    <x v="0"/>
    <x v="2"/>
    <b v="0"/>
    <s v="Others"/>
    <x v="0"/>
  </r>
  <r>
    <d v="2026-03-17T12:39:10"/>
    <d v="2026-03-17T18:09:10"/>
    <d v="2026-03-20T07:59:12"/>
    <d v="2026-03-20T13:29:12"/>
    <d v="2026-03-20T07:50:21"/>
    <d v="2026-03-20T13:29:12"/>
    <x v="0"/>
    <n v="10103"/>
    <n v="338.85"/>
    <x v="0"/>
    <x v="133"/>
    <x v="57"/>
    <x v="3"/>
    <s v="Clinic"/>
    <s v="chintul.s@mediscribes.com"/>
    <x v="8"/>
    <s v="Ahmedabad"/>
    <s v="Go"/>
    <n v="160.4"/>
    <n v="100"/>
    <x v="1"/>
    <n v="2"/>
    <m/>
    <s v="PSYCHOLOGICAL REPORT"/>
    <m/>
    <m/>
    <n v="1440"/>
    <s v="No"/>
    <n v="541"/>
    <s v="Normal"/>
    <s v="Achieved"/>
    <n v="0"/>
    <m/>
    <m/>
    <m/>
    <m/>
    <x v="9"/>
    <s v="Week12"/>
    <x v="3"/>
    <x v="0"/>
    <n v="100"/>
    <n v="0"/>
    <n v="0"/>
    <s v="Harsh"/>
    <s v="Ankit"/>
    <s v="Harsh"/>
    <s v="Minor"/>
    <s v="12829708Chintul Sutaria"/>
    <s v="Minor"/>
    <n v="0"/>
    <x v="1"/>
    <x v="0"/>
    <n v="1"/>
    <n v="2"/>
    <x v="14"/>
    <x v="1"/>
    <x v="0"/>
    <b v="0"/>
    <s v="Top 25"/>
    <x v="5"/>
  </r>
  <r>
    <d v="2026-03-16T11:37:55"/>
    <d v="2026-03-16T17:07:55"/>
    <d v="2026-03-20T08:17:02"/>
    <d v="2026-03-20T13:47:02"/>
    <d v="2026-03-20T07:50:14"/>
    <d v="2026-03-20T13:47:02"/>
    <x v="0"/>
    <n v="846"/>
    <n v="356.8"/>
    <x v="0"/>
    <x v="134"/>
    <x v="40"/>
    <x v="18"/>
    <s v="Clinic"/>
    <s v="chintul.s@mediscribes.com"/>
    <x v="8"/>
    <s v="Ahmedabad"/>
    <s v="Go"/>
    <n v="68.349999999999994"/>
    <n v="99"/>
    <x v="4"/>
    <n v="1"/>
    <m/>
    <s v="Internal Medicine"/>
    <m/>
    <m/>
    <n v="1440"/>
    <s v="No"/>
    <n v="499"/>
    <s v="Normal"/>
    <s v="Achieved"/>
    <n v="0"/>
    <m/>
    <m/>
    <m/>
    <m/>
    <x v="9"/>
    <s v="Week12"/>
    <x v="18"/>
    <x v="0"/>
    <n v="98.536942209217258"/>
    <n v="1"/>
    <n v="1"/>
    <s v="Harsh"/>
    <s v="Ankit"/>
    <s v="Ankit"/>
    <s v="Major"/>
    <s v="12829325Chintul Sutaria"/>
    <s v="Major"/>
    <n v="1"/>
    <x v="1"/>
    <x v="0"/>
    <n v="1"/>
    <n v="1"/>
    <x v="12"/>
    <x v="0"/>
    <x v="0"/>
    <b v="0"/>
    <s v="Others"/>
    <x v="5"/>
  </r>
  <r>
    <d v="2026-03-15T20:29:08"/>
    <d v="2026-03-16T01:59:08"/>
    <d v="2026-03-20T08:34:06"/>
    <d v="2026-03-20T14:04:06"/>
    <d v="2026-03-18T23:45:24"/>
    <d v="2026-03-20T14:04:06"/>
    <x v="0"/>
    <n v="2407"/>
    <n v="2298.6999999999998"/>
    <x v="0"/>
    <x v="135"/>
    <x v="58"/>
    <x v="19"/>
    <s v="Clinic"/>
    <s v="shiny.iype@cardioscribes.com"/>
    <x v="9"/>
    <s v="Ahmedabad"/>
    <s v="No Go"/>
    <n v="59.82"/>
    <n v="98"/>
    <x v="4"/>
    <n v="1"/>
    <m/>
    <s v="Office Visits"/>
    <m/>
    <m/>
    <n v="1440"/>
    <s v="No"/>
    <n v="440"/>
    <s v="Normal"/>
    <s v="Achieved"/>
    <n v="0"/>
    <m/>
    <m/>
    <m/>
    <m/>
    <x v="9"/>
    <s v="Week12"/>
    <x v="19"/>
    <x v="1"/>
    <n v="96.656636576395854"/>
    <n v="1"/>
    <n v="2"/>
    <s v="Ankit"/>
    <s v="Ankit"/>
    <s v="Ankit"/>
    <s v="Major"/>
    <s v="12829230Shiny Iype"/>
    <s v="Major"/>
    <n v="1"/>
    <x v="1"/>
    <x v="1"/>
    <n v="1"/>
    <n v="1"/>
    <x v="13"/>
    <x v="0"/>
    <x v="0"/>
    <b v="1"/>
    <s v="Others"/>
    <x v="0"/>
  </r>
  <r>
    <d v="2026-03-15T20:29:08"/>
    <d v="2026-03-16T01:59:08"/>
    <d v="2026-03-20T08:34:06"/>
    <d v="2026-03-20T14:04:06"/>
    <d v="2026-03-18T23:45:24"/>
    <d v="2026-03-20T14:04:06"/>
    <x v="0"/>
    <n v="2407"/>
    <n v="2298.6999999999998"/>
    <x v="0"/>
    <x v="135"/>
    <x v="58"/>
    <x v="19"/>
    <s v="Clinic"/>
    <s v="shiny.iype@cardioscribes.com"/>
    <x v="9"/>
    <s v="Ahmedabad"/>
    <s v="No Go"/>
    <n v="59.82"/>
    <n v="98"/>
    <x v="6"/>
    <n v="1"/>
    <m/>
    <s v="Office Visits"/>
    <m/>
    <m/>
    <n v="1440"/>
    <s v="No"/>
    <n v="440"/>
    <s v="Normal"/>
    <s v="Achieved"/>
    <n v="0"/>
    <m/>
    <m/>
    <m/>
    <m/>
    <x v="9"/>
    <s v="Week12"/>
    <x v="19"/>
    <x v="1"/>
    <n v="96.656636576395854"/>
    <n v="1"/>
    <n v="2"/>
    <s v="Ankit"/>
    <s v="Ankit"/>
    <s v="Ankit"/>
    <s v="Major"/>
    <s v="12829230Shiny Iype"/>
    <s v="Major"/>
    <n v="1"/>
    <x v="1"/>
    <x v="1"/>
    <n v="1"/>
    <n v="1"/>
    <x v="13"/>
    <x v="0"/>
    <x v="0"/>
    <b v="1"/>
    <s v="Others"/>
    <x v="0"/>
  </r>
  <r>
    <d v="2026-03-15T20:29:08"/>
    <d v="2026-03-16T01:59:08"/>
    <d v="2026-03-20T08:34:06"/>
    <d v="2026-03-20T14:04:06"/>
    <d v="2026-03-18T23:45:24"/>
    <d v="2026-03-20T14:04:06"/>
    <x v="0"/>
    <n v="2407"/>
    <n v="2298.6999999999998"/>
    <x v="0"/>
    <x v="135"/>
    <x v="58"/>
    <x v="19"/>
    <s v="Clinic"/>
    <s v="shiny.iype@cardioscribes.com"/>
    <x v="9"/>
    <s v="Ahmedabad"/>
    <s v="No Go"/>
    <n v="59.82"/>
    <n v="98"/>
    <x v="1"/>
    <n v="3"/>
    <m/>
    <s v="Office Visits"/>
    <m/>
    <m/>
    <n v="1440"/>
    <s v="No"/>
    <n v="440"/>
    <s v="Normal"/>
    <s v="Achieved"/>
    <n v="0"/>
    <m/>
    <m/>
    <m/>
    <m/>
    <x v="9"/>
    <s v="Week12"/>
    <x v="19"/>
    <x v="1"/>
    <n v="96.656636576395854"/>
    <n v="0"/>
    <n v="2"/>
    <s v="Ankit"/>
    <s v="Ankit"/>
    <s v="Ankit"/>
    <s v="Minor"/>
    <s v="12829230Shiny Iype"/>
    <s v="Minor"/>
    <n v="0"/>
    <x v="1"/>
    <x v="0"/>
    <n v="1"/>
    <n v="3"/>
    <x v="13"/>
    <x v="0"/>
    <x v="0"/>
    <b v="0"/>
    <s v="Others"/>
    <x v="0"/>
  </r>
  <r>
    <d v="2026-03-18T12:42:52"/>
    <d v="2026-03-18T18:12:52"/>
    <d v="2026-03-22T08:53:51"/>
    <d v="2026-03-22T14:23:51"/>
    <d v="2026-03-22T09:50:08"/>
    <d v="2026-03-22T14:23:51"/>
    <x v="0"/>
    <n v="195"/>
    <n v="273.7167"/>
    <x v="0"/>
    <x v="136"/>
    <x v="56"/>
    <x v="10"/>
    <s v="Clinic"/>
    <s v="gopalrajith@gmail.com"/>
    <x v="4"/>
    <s v="Trivandrum"/>
    <s v="Go"/>
    <n v="10.98"/>
    <n v="100"/>
    <x v="1"/>
    <n v="1"/>
    <m/>
    <s v="RMCA_PFT"/>
    <m/>
    <m/>
    <n v="360"/>
    <s v="No"/>
    <n v="60"/>
    <s v="Normal"/>
    <s v="Achieved"/>
    <n v="0"/>
    <m/>
    <m/>
    <m/>
    <m/>
    <x v="10"/>
    <s v="Week13"/>
    <x v="10"/>
    <x v="0"/>
    <n v="100"/>
    <n v="0"/>
    <n v="0"/>
    <s v="Ankit"/>
    <s v="Aneesh"/>
    <s v="Aneesh"/>
    <s v="Minor"/>
    <s v="12830174Gopal Rajith"/>
    <s v="Minor"/>
    <n v="0"/>
    <x v="0"/>
    <x v="0"/>
    <n v="1"/>
    <n v="1"/>
    <x v="4"/>
    <x v="0"/>
    <x v="0"/>
    <b v="0"/>
    <s v="Top 25"/>
    <x v="2"/>
  </r>
  <r>
    <d v="2026-03-17T17:13:43"/>
    <d v="2026-03-17T22:43:43"/>
    <d v="2026-03-22T09:00:17"/>
    <d v="2026-03-22T14:30:17"/>
    <d v="2026-03-22T09:50:14"/>
    <d v="2026-03-22T14:30:17"/>
    <x v="0"/>
    <n v="358"/>
    <n v="280.05"/>
    <x v="0"/>
    <x v="137"/>
    <x v="34"/>
    <x v="12"/>
    <s v="Clinic"/>
    <s v="shiny.iype@cardioscribes.com"/>
    <x v="9"/>
    <s v="Ahmedabad"/>
    <s v="No Go"/>
    <n v="42.11"/>
    <n v="97"/>
    <x v="2"/>
    <n v="2"/>
    <m/>
    <s v="CAMG_OV"/>
    <m/>
    <m/>
    <n v="1440"/>
    <s v="No"/>
    <n v="162"/>
    <s v="Normal"/>
    <s v="Achieved"/>
    <n v="0"/>
    <m/>
    <m/>
    <m/>
    <m/>
    <x v="10"/>
    <s v="Week13"/>
    <x v="12"/>
    <x v="1"/>
    <n v="92.875801472334359"/>
    <n v="2"/>
    <n v="3"/>
    <s v="Harsh"/>
    <s v="Ankit"/>
    <s v="Ankit"/>
    <s v="Major"/>
    <s v="12829981Shiny Iype"/>
    <s v="Major"/>
    <n v="1"/>
    <x v="1"/>
    <x v="1"/>
    <n v="1"/>
    <n v="2"/>
    <x v="13"/>
    <x v="0"/>
    <x v="0"/>
    <b v="1"/>
    <s v="Top 25"/>
    <x v="0"/>
  </r>
  <r>
    <d v="2026-03-17T17:13:43"/>
    <d v="2026-03-17T22:43:43"/>
    <d v="2026-03-22T09:00:17"/>
    <d v="2026-03-22T14:30:17"/>
    <d v="2026-03-22T09:50:14"/>
    <d v="2026-03-22T14:30:17"/>
    <x v="0"/>
    <n v="358"/>
    <n v="280.05"/>
    <x v="0"/>
    <x v="137"/>
    <x v="34"/>
    <x v="12"/>
    <s v="Clinic"/>
    <s v="shiny.iype@cardioscribes.com"/>
    <x v="9"/>
    <s v="Ahmedabad"/>
    <s v="No Go"/>
    <n v="42.11"/>
    <n v="97"/>
    <x v="4"/>
    <n v="1"/>
    <m/>
    <s v="CAMG_OV"/>
    <m/>
    <m/>
    <n v="1440"/>
    <s v="No"/>
    <n v="162"/>
    <s v="Normal"/>
    <s v="Achieved"/>
    <n v="0"/>
    <m/>
    <m/>
    <m/>
    <m/>
    <x v="10"/>
    <s v="Week13"/>
    <x v="12"/>
    <x v="1"/>
    <n v="92.875801472334359"/>
    <n v="1"/>
    <n v="3"/>
    <s v="Harsh"/>
    <s v="Ankit"/>
    <s v="Ankit"/>
    <s v="Major"/>
    <s v="12829981Shiny Iype"/>
    <s v="Major"/>
    <n v="1"/>
    <x v="1"/>
    <x v="1"/>
    <n v="1"/>
    <n v="1"/>
    <x v="13"/>
    <x v="0"/>
    <x v="0"/>
    <b v="1"/>
    <s v="Top 25"/>
    <x v="0"/>
  </r>
  <r>
    <d v="2026-03-17T17:13:43"/>
    <d v="2026-03-17T22:43:43"/>
    <d v="2026-03-22T09:00:17"/>
    <d v="2026-03-22T14:30:17"/>
    <d v="2026-03-22T09:50:14"/>
    <d v="2026-03-22T14:30:17"/>
    <x v="0"/>
    <n v="358"/>
    <n v="280.05"/>
    <x v="0"/>
    <x v="137"/>
    <x v="34"/>
    <x v="12"/>
    <s v="Clinic"/>
    <s v="shiny.iype@cardioscribes.com"/>
    <x v="9"/>
    <s v="Ahmedabad"/>
    <s v="No Go"/>
    <n v="42.11"/>
    <n v="97"/>
    <x v="1"/>
    <n v="4"/>
    <m/>
    <s v="CAMG_OV"/>
    <m/>
    <m/>
    <n v="1440"/>
    <s v="No"/>
    <n v="162"/>
    <s v="Normal"/>
    <s v="Achieved"/>
    <n v="0"/>
    <m/>
    <m/>
    <m/>
    <m/>
    <x v="10"/>
    <s v="Week13"/>
    <x v="12"/>
    <x v="1"/>
    <n v="92.875801472334359"/>
    <n v="0"/>
    <n v="3"/>
    <s v="Harsh"/>
    <s v="Ankit"/>
    <s v="Ankit"/>
    <s v="Minor"/>
    <s v="12829981Shiny Iype"/>
    <s v="Minor"/>
    <n v="0"/>
    <x v="1"/>
    <x v="0"/>
    <n v="1"/>
    <n v="4"/>
    <x v="13"/>
    <x v="0"/>
    <x v="0"/>
    <b v="0"/>
    <s v="Top 25"/>
    <x v="0"/>
  </r>
  <r>
    <d v="2026-03-17T17:14:32"/>
    <d v="2026-03-17T22:44:32"/>
    <d v="2026-03-22T09:05:11"/>
    <d v="2026-03-22T14:35:11"/>
    <d v="2026-03-20T08:01:34"/>
    <d v="2026-03-22T14:35:11"/>
    <x v="0"/>
    <n v="269"/>
    <n v="3273.6167"/>
    <x v="0"/>
    <x v="138"/>
    <x v="34"/>
    <x v="12"/>
    <s v="Clinic"/>
    <s v="shiny.iype@cardioscribes.com"/>
    <x v="9"/>
    <s v="Ahmedabad"/>
    <s v="Go"/>
    <n v="31.34"/>
    <n v="99"/>
    <x v="2"/>
    <n v="1"/>
    <m/>
    <s v="CAMG_OV"/>
    <m/>
    <m/>
    <n v="1440"/>
    <s v="No"/>
    <n v="121"/>
    <s v="Normal"/>
    <s v="Achieved"/>
    <n v="0"/>
    <m/>
    <m/>
    <m/>
    <m/>
    <x v="10"/>
    <s v="Week13"/>
    <x v="12"/>
    <x v="1"/>
    <n v="96.809189534141666"/>
    <n v="1"/>
    <n v="1"/>
    <s v="Harsh"/>
    <s v="Ankit"/>
    <s v="Ankit"/>
    <s v="Major"/>
    <s v="12829982Shiny Iype"/>
    <s v="Major"/>
    <n v="1"/>
    <x v="1"/>
    <x v="1"/>
    <n v="1"/>
    <n v="1"/>
    <x v="13"/>
    <x v="0"/>
    <x v="0"/>
    <b v="1"/>
    <s v="Top 25"/>
    <x v="0"/>
  </r>
  <r>
    <d v="2026-03-17T17:14:32"/>
    <d v="2026-03-17T22:44:32"/>
    <d v="2026-03-22T09:05:11"/>
    <d v="2026-03-22T14:35:11"/>
    <d v="2026-03-20T08:01:34"/>
    <d v="2026-03-22T14:35:11"/>
    <x v="0"/>
    <n v="269"/>
    <n v="3273.6167"/>
    <x v="0"/>
    <x v="138"/>
    <x v="34"/>
    <x v="12"/>
    <s v="Clinic"/>
    <s v="shiny.iype@cardioscribes.com"/>
    <x v="9"/>
    <s v="Ahmedabad"/>
    <s v="Go"/>
    <n v="31.34"/>
    <n v="99"/>
    <x v="1"/>
    <n v="5"/>
    <m/>
    <s v="CAMG_OV"/>
    <m/>
    <m/>
    <n v="1440"/>
    <s v="No"/>
    <n v="121"/>
    <s v="Normal"/>
    <s v="Achieved"/>
    <n v="0"/>
    <m/>
    <m/>
    <m/>
    <m/>
    <x v="10"/>
    <s v="Week13"/>
    <x v="12"/>
    <x v="1"/>
    <n v="96.809189534141666"/>
    <n v="0"/>
    <n v="1"/>
    <s v="Harsh"/>
    <s v="Ankit"/>
    <s v="Ankit"/>
    <s v="Minor"/>
    <s v="12829982Shiny Iype"/>
    <s v="Minor"/>
    <n v="0"/>
    <x v="1"/>
    <x v="0"/>
    <n v="1"/>
    <n v="5"/>
    <x v="13"/>
    <x v="0"/>
    <x v="0"/>
    <b v="0"/>
    <s v="Top 25"/>
    <x v="0"/>
  </r>
  <r>
    <d v="2026-03-17T15:39:16"/>
    <d v="2026-03-17T21:09:16"/>
    <d v="2026-03-22T09:39:41"/>
    <d v="2026-03-22T15:09:41"/>
    <d v="2026-03-20T08:01:08"/>
    <d v="2026-03-22T15:09:41"/>
    <x v="0"/>
    <n v="398"/>
    <n v="3308.55"/>
    <x v="0"/>
    <x v="139"/>
    <x v="17"/>
    <x v="6"/>
    <s v="Clinic"/>
    <s v="shiny.iype@cardioscribes.com"/>
    <x v="9"/>
    <s v="Ahmedabad"/>
    <s v="No Go"/>
    <n v="39.89"/>
    <n v="98"/>
    <x v="2"/>
    <n v="1"/>
    <m/>
    <s v="Operative Report"/>
    <m/>
    <m/>
    <n v="720"/>
    <s v="No"/>
    <n v="182"/>
    <s v="Normal"/>
    <s v="Achieved"/>
    <n v="0"/>
    <m/>
    <m/>
    <m/>
    <m/>
    <x v="10"/>
    <s v="Week13"/>
    <x v="6"/>
    <x v="1"/>
    <n v="94.986212083228878"/>
    <n v="1"/>
    <n v="2"/>
    <s v="Ankit"/>
    <s v="Ankit"/>
    <s v="Ankit"/>
    <s v="Major"/>
    <s v="12829761Shiny Iype"/>
    <s v="Major"/>
    <n v="1"/>
    <x v="1"/>
    <x v="1"/>
    <n v="1"/>
    <n v="1"/>
    <x v="13"/>
    <x v="0"/>
    <x v="1"/>
    <b v="1"/>
    <s v="Others"/>
    <x v="0"/>
  </r>
  <r>
    <d v="2026-03-17T15:39:16"/>
    <d v="2026-03-17T21:09:16"/>
    <d v="2026-03-22T09:39:41"/>
    <d v="2026-03-22T15:09:41"/>
    <d v="2026-03-20T08:01:08"/>
    <d v="2026-03-22T15:09:41"/>
    <x v="0"/>
    <n v="398"/>
    <n v="3308.55"/>
    <x v="0"/>
    <x v="139"/>
    <x v="17"/>
    <x v="6"/>
    <s v="Clinic"/>
    <s v="shiny.iype@cardioscribes.com"/>
    <x v="9"/>
    <s v="Ahmedabad"/>
    <s v="No Go"/>
    <n v="39.89"/>
    <n v="98"/>
    <x v="6"/>
    <n v="1"/>
    <m/>
    <s v="Operative Report"/>
    <m/>
    <m/>
    <n v="720"/>
    <s v="No"/>
    <n v="182"/>
    <s v="Normal"/>
    <s v="Achieved"/>
    <n v="0"/>
    <m/>
    <m/>
    <m/>
    <m/>
    <x v="10"/>
    <s v="Week13"/>
    <x v="6"/>
    <x v="1"/>
    <n v="94.986212083228878"/>
    <n v="1"/>
    <n v="2"/>
    <s v="Ankit"/>
    <s v="Ankit"/>
    <s v="Ankit"/>
    <s v="Major"/>
    <s v="12829761Shiny Iype"/>
    <s v="Major"/>
    <n v="1"/>
    <x v="1"/>
    <x v="1"/>
    <n v="1"/>
    <n v="1"/>
    <x v="13"/>
    <x v="0"/>
    <x v="1"/>
    <b v="1"/>
    <s v="Others"/>
    <x v="0"/>
  </r>
  <r>
    <d v="2026-03-17T15:39:16"/>
    <d v="2026-03-17T21:09:16"/>
    <d v="2026-03-22T09:39:41"/>
    <d v="2026-03-22T15:09:41"/>
    <d v="2026-03-20T08:01:08"/>
    <d v="2026-03-22T15:09:41"/>
    <x v="0"/>
    <n v="398"/>
    <n v="3308.55"/>
    <x v="0"/>
    <x v="139"/>
    <x v="17"/>
    <x v="6"/>
    <s v="Clinic"/>
    <s v="shiny.iype@cardioscribes.com"/>
    <x v="9"/>
    <s v="Ahmedabad"/>
    <s v="No Go"/>
    <n v="39.89"/>
    <n v="98"/>
    <x v="1"/>
    <n v="4"/>
    <m/>
    <s v="Operative Report"/>
    <m/>
    <m/>
    <n v="720"/>
    <s v="No"/>
    <n v="182"/>
    <s v="Normal"/>
    <s v="Achieved"/>
    <n v="0"/>
    <m/>
    <m/>
    <m/>
    <m/>
    <x v="10"/>
    <s v="Week13"/>
    <x v="6"/>
    <x v="1"/>
    <n v="94.986212083228878"/>
    <n v="0"/>
    <n v="2"/>
    <s v="Ankit"/>
    <s v="Ankit"/>
    <s v="Ankit"/>
    <s v="Minor"/>
    <s v="12829761Shiny Iype"/>
    <s v="Minor"/>
    <n v="0"/>
    <x v="1"/>
    <x v="0"/>
    <n v="1"/>
    <n v="4"/>
    <x v="13"/>
    <x v="0"/>
    <x v="1"/>
    <b v="0"/>
    <s v="Others"/>
    <x v="0"/>
  </r>
  <r>
    <d v="2026-03-17T15:35:16"/>
    <d v="2026-03-17T21:05:16"/>
    <d v="2026-03-22T09:45:06"/>
    <d v="2026-03-22T15:15:06"/>
    <d v="2026-03-20T08:01:02"/>
    <d v="2026-03-22T15:15:06"/>
    <x v="0"/>
    <n v="919"/>
    <n v="3314.0666999999999"/>
    <x v="0"/>
    <x v="140"/>
    <x v="17"/>
    <x v="6"/>
    <s v="Clinic"/>
    <s v="shiny.iype@cardioscribes.com"/>
    <x v="9"/>
    <s v="Ahmedabad"/>
    <s v="Go"/>
    <n v="34.42"/>
    <n v="100"/>
    <x v="1"/>
    <n v="1"/>
    <m/>
    <s v="Operative Report"/>
    <m/>
    <m/>
    <n v="720"/>
    <s v="No"/>
    <n v="165"/>
    <s v="Normal"/>
    <s v="Achieved"/>
    <n v="0"/>
    <m/>
    <m/>
    <m/>
    <m/>
    <x v="10"/>
    <s v="Week13"/>
    <x v="6"/>
    <x v="0"/>
    <n v="100"/>
    <n v="0"/>
    <n v="0"/>
    <s v="Ankit"/>
    <s v="Ankit"/>
    <s v="Ankit"/>
    <s v="Minor"/>
    <s v="12829759Shiny Iype"/>
    <s v="Minor"/>
    <n v="0"/>
    <x v="1"/>
    <x v="0"/>
    <n v="1"/>
    <n v="1"/>
    <x v="13"/>
    <x v="0"/>
    <x v="0"/>
    <b v="0"/>
    <s v="Others"/>
    <x v="0"/>
  </r>
  <r>
    <d v="2026-03-15T20:14:22"/>
    <d v="2026-03-16T01:44:22"/>
    <d v="2026-03-22T17:25:47"/>
    <d v="2026-03-22T22:55:47"/>
    <d v="2026-03-18T23:45:18"/>
    <d v="2026-03-22T22:55:47"/>
    <x v="0"/>
    <n v="912"/>
    <n v="5710.4832999999999"/>
    <x v="0"/>
    <x v="141"/>
    <x v="58"/>
    <x v="19"/>
    <s v="Clinic"/>
    <s v="shiny.iype@cardioscribes.com"/>
    <x v="9"/>
    <s v="Ahmedabad"/>
    <s v="Go"/>
    <n v="36.75"/>
    <n v="99"/>
    <x v="6"/>
    <n v="1"/>
    <m/>
    <s v="Office Visits"/>
    <m/>
    <m/>
    <n v="1440"/>
    <s v="No"/>
    <n v="200"/>
    <s v="Normal"/>
    <s v="Achieved"/>
    <n v="0"/>
    <m/>
    <m/>
    <m/>
    <m/>
    <x v="10"/>
    <s v="Week13"/>
    <x v="19"/>
    <x v="1"/>
    <n v="97.278911564625844"/>
    <n v="1"/>
    <n v="1"/>
    <s v="Ankit"/>
    <s v="Ankit"/>
    <s v="Ankit"/>
    <s v="Major"/>
    <s v="12829227Shiny Iype"/>
    <s v="Major"/>
    <n v="1"/>
    <x v="1"/>
    <x v="1"/>
    <n v="1"/>
    <n v="1"/>
    <x v="13"/>
    <x v="0"/>
    <x v="0"/>
    <b v="1"/>
    <s v="Others"/>
    <x v="0"/>
  </r>
  <r>
    <d v="2026-03-15T20:14:22"/>
    <d v="2026-03-16T01:44:22"/>
    <d v="2026-03-22T17:25:47"/>
    <d v="2026-03-22T22:55:47"/>
    <d v="2026-03-18T23:45:18"/>
    <d v="2026-03-22T22:55:47"/>
    <x v="0"/>
    <n v="912"/>
    <n v="5710.4832999999999"/>
    <x v="0"/>
    <x v="141"/>
    <x v="58"/>
    <x v="19"/>
    <s v="Clinic"/>
    <s v="shiny.iype@cardioscribes.com"/>
    <x v="9"/>
    <s v="Ahmedabad"/>
    <s v="Go"/>
    <n v="36.75"/>
    <n v="99"/>
    <x v="1"/>
    <n v="1"/>
    <m/>
    <s v="Office Visits"/>
    <m/>
    <m/>
    <n v="1440"/>
    <s v="No"/>
    <n v="200"/>
    <s v="Normal"/>
    <s v="Achieved"/>
    <n v="0"/>
    <m/>
    <m/>
    <m/>
    <m/>
    <x v="10"/>
    <s v="Week13"/>
    <x v="19"/>
    <x v="1"/>
    <n v="97.278911564625844"/>
    <n v="0"/>
    <n v="1"/>
    <s v="Ankit"/>
    <s v="Ankit"/>
    <s v="Ankit"/>
    <s v="Minor"/>
    <s v="12829227Shiny Iype"/>
    <s v="Minor"/>
    <n v="0"/>
    <x v="1"/>
    <x v="0"/>
    <n v="1"/>
    <n v="1"/>
    <x v="13"/>
    <x v="0"/>
    <x v="0"/>
    <b v="0"/>
    <s v="Others"/>
    <x v="0"/>
  </r>
  <r>
    <d v="2026-03-15T20:45:40"/>
    <d v="2026-03-16T02:15:40"/>
    <d v="2026-03-22T17:32:28"/>
    <d v="2026-03-22T23:02:28"/>
    <d v="2026-03-18T23:45:50"/>
    <d v="2026-03-22T23:02:28"/>
    <x v="0"/>
    <n v="377"/>
    <n v="5716.6333000000004"/>
    <x v="0"/>
    <x v="142"/>
    <x v="58"/>
    <x v="19"/>
    <s v="Clinic"/>
    <s v="shiny.iype@cardioscribes.com"/>
    <x v="9"/>
    <s v="Ahmedabad"/>
    <s v="No Go"/>
    <n v="37.78"/>
    <n v="98"/>
    <x v="2"/>
    <n v="2"/>
    <m/>
    <s v="Office Visits"/>
    <m/>
    <m/>
    <n v="1440"/>
    <s v="No"/>
    <n v="186"/>
    <s v="Normal"/>
    <s v="Achieved"/>
    <n v="0"/>
    <m/>
    <m/>
    <m/>
    <m/>
    <x v="10"/>
    <s v="Week13"/>
    <x v="19"/>
    <x v="1"/>
    <n v="94.706193753308625"/>
    <n v="2"/>
    <n v="2"/>
    <s v="Ankit"/>
    <s v="Ankit"/>
    <s v="Ankit"/>
    <s v="Major"/>
    <s v="12829233Shiny Iype"/>
    <s v="Major"/>
    <n v="1"/>
    <x v="1"/>
    <x v="1"/>
    <n v="1"/>
    <n v="2"/>
    <x v="13"/>
    <x v="0"/>
    <x v="0"/>
    <b v="1"/>
    <s v="Others"/>
    <x v="0"/>
  </r>
  <r>
    <d v="2026-03-15T20:45:40"/>
    <d v="2026-03-16T02:15:40"/>
    <d v="2026-03-22T17:32:28"/>
    <d v="2026-03-22T23:02:28"/>
    <d v="2026-03-18T23:45:50"/>
    <d v="2026-03-22T23:02:28"/>
    <x v="0"/>
    <n v="377"/>
    <n v="5716.6333000000004"/>
    <x v="0"/>
    <x v="142"/>
    <x v="58"/>
    <x v="19"/>
    <s v="Clinic"/>
    <s v="shiny.iype@cardioscribes.com"/>
    <x v="9"/>
    <s v="Ahmedabad"/>
    <s v="No Go"/>
    <n v="37.78"/>
    <n v="98"/>
    <x v="1"/>
    <n v="1"/>
    <m/>
    <s v="Office Visits"/>
    <m/>
    <m/>
    <n v="1440"/>
    <s v="No"/>
    <n v="186"/>
    <s v="Normal"/>
    <s v="Achieved"/>
    <n v="0"/>
    <m/>
    <m/>
    <m/>
    <m/>
    <x v="10"/>
    <s v="Week13"/>
    <x v="19"/>
    <x v="1"/>
    <n v="94.706193753308625"/>
    <n v="0"/>
    <n v="2"/>
    <s v="Ankit"/>
    <s v="Ankit"/>
    <s v="Ankit"/>
    <s v="Minor"/>
    <s v="12829233Shiny Iype"/>
    <s v="Minor"/>
    <n v="0"/>
    <x v="1"/>
    <x v="0"/>
    <n v="1"/>
    <n v="1"/>
    <x v="13"/>
    <x v="0"/>
    <x v="0"/>
    <b v="0"/>
    <s v="Others"/>
    <x v="0"/>
  </r>
  <r>
    <d v="2026-03-18T11:49:07"/>
    <d v="2026-03-18T17:19:07"/>
    <d v="2026-03-22T17:35:32"/>
    <d v="2026-03-22T23:05:32"/>
    <d v="2026-03-22T09:50:50"/>
    <d v="2026-03-22T23:05:32"/>
    <x v="0"/>
    <n v="166"/>
    <n v="794.7"/>
    <x v="0"/>
    <x v="143"/>
    <x v="25"/>
    <x v="8"/>
    <s v="Clinic"/>
    <s v="sivasankari.a@cardioscribes.com"/>
    <x v="3"/>
    <s v="Chennai"/>
    <s v="Go"/>
    <n v="35.97"/>
    <n v="100"/>
    <x v="1"/>
    <n v="1"/>
    <m/>
    <s v="Cost Center CAS ICARE"/>
    <m/>
    <m/>
    <n v="1440"/>
    <s v="No"/>
    <n v="148"/>
    <s v="Normal"/>
    <s v="Achieved"/>
    <n v="0"/>
    <m/>
    <m/>
    <m/>
    <m/>
    <x v="10"/>
    <s v="Week13"/>
    <x v="8"/>
    <x v="0"/>
    <n v="100"/>
    <n v="0"/>
    <n v="0"/>
    <s v="Aneesh"/>
    <s v="Aneesh"/>
    <s v="Aneesh"/>
    <s v="Minor"/>
    <s v="12830153Sivasankari A"/>
    <s v="Minor"/>
    <n v="0"/>
    <x v="0"/>
    <x v="0"/>
    <n v="1"/>
    <n v="1"/>
    <x v="5"/>
    <x v="0"/>
    <x v="0"/>
    <b v="0"/>
    <s v="Top 25"/>
    <x v="1"/>
  </r>
  <r>
    <d v="2026-03-18T11:45:56"/>
    <d v="2026-03-18T17:15:56"/>
    <d v="2026-03-22T17:40:24"/>
    <d v="2026-03-22T23:10:24"/>
    <d v="2026-03-22T09:50:44"/>
    <d v="2026-03-22T23:10:24"/>
    <x v="0"/>
    <n v="280"/>
    <n v="799.66669999999999"/>
    <x v="0"/>
    <x v="144"/>
    <x v="25"/>
    <x v="8"/>
    <s v="Clinic"/>
    <s v="sivasankari.a@cardioscribes.com"/>
    <x v="3"/>
    <s v="Chennai"/>
    <s v="Go"/>
    <n v="117.43"/>
    <n v="100"/>
    <x v="0"/>
    <n v="0"/>
    <m/>
    <s v="Cost Center CAS ICARE"/>
    <m/>
    <m/>
    <n v="1440"/>
    <s v="No"/>
    <n v="290"/>
    <s v="Normal"/>
    <s v="Achieved"/>
    <n v="0"/>
    <m/>
    <m/>
    <m/>
    <m/>
    <x v="10"/>
    <s v="Week13"/>
    <x v="8"/>
    <x v="0"/>
    <n v="100"/>
    <n v="0"/>
    <n v="0"/>
    <s v="Aneesh"/>
    <s v="Aneesh"/>
    <s v="Aneesh"/>
    <s v=""/>
    <s v="12830151Sivasankari A"/>
    <s v=""/>
    <s v=""/>
    <x v="0"/>
    <x v="0"/>
    <s v=""/>
    <n v="0"/>
    <x v="5"/>
    <x v="0"/>
    <x v="0"/>
    <b v="0"/>
    <s v="Top 25"/>
    <x v="1"/>
  </r>
  <r>
    <d v="2026-03-17T16:21:45"/>
    <d v="2026-03-17T21:51:45"/>
    <d v="2026-03-22T17:55:39"/>
    <d v="2026-03-22T23:25:39"/>
    <d v="2026-03-21T09:03:25"/>
    <d v="2026-03-22T23:25:39"/>
    <x v="0"/>
    <n v="6066"/>
    <n v="2302.2332999999999"/>
    <x v="0"/>
    <x v="145"/>
    <x v="22"/>
    <x v="8"/>
    <s v="Clinic"/>
    <s v="sivasankari.a@cardioscribes.com"/>
    <x v="3"/>
    <s v="Chennai"/>
    <s v="No Go"/>
    <n v="117.25"/>
    <n v="98"/>
    <x v="2"/>
    <n v="2"/>
    <m/>
    <s v="Integrated Care Unit_Progress Note_3"/>
    <m/>
    <m/>
    <n v="1440"/>
    <s v="No"/>
    <n v="701"/>
    <s v="Normal"/>
    <s v="Achieved"/>
    <n v="0"/>
    <m/>
    <m/>
    <m/>
    <m/>
    <x v="10"/>
    <s v="Week13"/>
    <x v="8"/>
    <x v="1"/>
    <n v="98.294243070362469"/>
    <n v="2"/>
    <n v="2"/>
    <s v="Aneesh"/>
    <s v="Aneesh"/>
    <s v="Aneesh"/>
    <s v="Major"/>
    <s v="12829807Sivasankari A"/>
    <s v="Major"/>
    <n v="1"/>
    <x v="0"/>
    <x v="0"/>
    <n v="1"/>
    <n v="2"/>
    <x v="5"/>
    <x v="0"/>
    <x v="0"/>
    <b v="0"/>
    <s v="Top 25"/>
    <x v="1"/>
  </r>
  <r>
    <d v="2026-03-16T09:36:20"/>
    <d v="2026-03-16T15:06:20"/>
    <d v="2026-03-22T18:32:40"/>
    <d v="2026-03-23T00:02:40"/>
    <d v="2026-03-18T23:46:02"/>
    <d v="2026-03-23T00:02:40"/>
    <x v="0"/>
    <n v="331"/>
    <n v="5776.6333000000004"/>
    <x v="0"/>
    <x v="146"/>
    <x v="20"/>
    <x v="7"/>
    <s v="NursingHome"/>
    <s v="chintul.s@mediscribes.com"/>
    <x v="8"/>
    <s v="Ahmedabad"/>
    <s v="Go"/>
    <n v="38.119999999999997"/>
    <n v="100"/>
    <x v="1"/>
    <n v="1"/>
    <m/>
    <s v="Progress Note (Nursing Home)"/>
    <m/>
    <m/>
    <n v="720"/>
    <s v="Yes"/>
    <n v="142"/>
    <s v="Normal"/>
    <s v="Achieved"/>
    <n v="0"/>
    <m/>
    <m/>
    <m/>
    <m/>
    <x v="11"/>
    <s v="Week13"/>
    <x v="7"/>
    <x v="0"/>
    <n v="100"/>
    <n v="0"/>
    <n v="0"/>
    <s v="Aneesh"/>
    <s v="Ankit"/>
    <s v="Aneesh"/>
    <s v="Minor"/>
    <s v="12829280Chintul Sutaria"/>
    <s v="Minor"/>
    <n v="0"/>
    <x v="1"/>
    <x v="0"/>
    <n v="1"/>
    <n v="1"/>
    <x v="4"/>
    <x v="1"/>
    <x v="0"/>
    <b v="0"/>
    <s v="Others"/>
    <x v="5"/>
  </r>
  <r>
    <d v="2026-03-16T10:08:58"/>
    <d v="2026-03-16T15:38:58"/>
    <d v="2026-03-23T09:00:47"/>
    <d v="2026-03-23T14:30:47"/>
    <d v="2026-03-18T23:45:12"/>
    <d v="2026-03-23T14:30:47"/>
    <x v="0"/>
    <n v="9180"/>
    <n v="6645.5833000000002"/>
    <x v="0"/>
    <x v="147"/>
    <x v="20"/>
    <x v="7"/>
    <s v="NursingHome"/>
    <s v="chintul.s@mediscribes.com"/>
    <x v="8"/>
    <s v="Ahmedabad"/>
    <s v="Go"/>
    <n v="64.08"/>
    <n v="99"/>
    <x v="4"/>
    <n v="1"/>
    <m/>
    <s v="History and Physical (Nursing Home)"/>
    <m/>
    <m/>
    <n v="480"/>
    <s v="Yes"/>
    <n v="257"/>
    <s v="Normal"/>
    <s v="Achieved"/>
    <n v="0"/>
    <m/>
    <m/>
    <m/>
    <m/>
    <x v="11"/>
    <s v="Week13"/>
    <x v="7"/>
    <x v="1"/>
    <n v="98.439450686641692"/>
    <n v="1"/>
    <n v="1"/>
    <s v="Aneesh"/>
    <s v="Ankit"/>
    <s v="Aneesh"/>
    <s v="Major"/>
    <s v="12829289Chintul Sutaria"/>
    <s v="Major"/>
    <n v="1"/>
    <x v="1"/>
    <x v="1"/>
    <n v="1"/>
    <n v="1"/>
    <x v="4"/>
    <x v="1"/>
    <x v="0"/>
    <b v="1"/>
    <s v="Others"/>
    <x v="5"/>
  </r>
  <r>
    <d v="2026-03-16T10:08:58"/>
    <d v="2026-03-16T15:38:58"/>
    <d v="2026-03-23T09:00:47"/>
    <d v="2026-03-23T14:30:47"/>
    <d v="2026-03-18T23:45:12"/>
    <d v="2026-03-23T14:30:47"/>
    <x v="0"/>
    <n v="9180"/>
    <n v="6645.5833000000002"/>
    <x v="0"/>
    <x v="147"/>
    <x v="20"/>
    <x v="7"/>
    <s v="NursingHome"/>
    <s v="chintul.s@mediscribes.com"/>
    <x v="8"/>
    <s v="Ahmedabad"/>
    <s v="Go"/>
    <n v="64.08"/>
    <n v="99"/>
    <x v="1"/>
    <n v="2"/>
    <m/>
    <s v="History and Physical (Nursing Home)"/>
    <m/>
    <m/>
    <n v="480"/>
    <s v="Yes"/>
    <n v="257"/>
    <s v="Normal"/>
    <s v="Achieved"/>
    <n v="0"/>
    <m/>
    <m/>
    <m/>
    <m/>
    <x v="11"/>
    <s v="Week13"/>
    <x v="7"/>
    <x v="1"/>
    <n v="98.439450686641692"/>
    <n v="0"/>
    <n v="1"/>
    <s v="Aneesh"/>
    <s v="Ankit"/>
    <s v="Aneesh"/>
    <s v="Minor"/>
    <s v="12829289Chintul Sutaria"/>
    <s v="Minor"/>
    <n v="0"/>
    <x v="1"/>
    <x v="0"/>
    <n v="1"/>
    <n v="2"/>
    <x v="4"/>
    <x v="1"/>
    <x v="0"/>
    <b v="0"/>
    <s v="Others"/>
    <x v="5"/>
  </r>
  <r>
    <d v="2026-03-18T14:07:23"/>
    <d v="2026-03-18T19:37:23"/>
    <d v="2026-03-23T17:01:14"/>
    <d v="2026-03-23T22:31:14"/>
    <d v="2026-03-23T00:03:01"/>
    <d v="2026-03-23T22:31:14"/>
    <x v="0"/>
    <n v="1112"/>
    <n v="1348.2166999999999"/>
    <x v="0"/>
    <x v="148"/>
    <x v="6"/>
    <x v="3"/>
    <s v="Clinic"/>
    <s v="Tejasahm@gmail.com"/>
    <x v="7"/>
    <s v="Ahmedabad"/>
    <s v="Go"/>
    <n v="148.16999999999999"/>
    <n v="100"/>
    <x v="1"/>
    <n v="10"/>
    <m/>
    <s v="PSYCHOLOGICAL REPORT"/>
    <m/>
    <m/>
    <n v="1440"/>
    <s v="No"/>
    <n v="845"/>
    <s v="Normal"/>
    <s v="Achieved"/>
    <n v="0"/>
    <m/>
    <m/>
    <m/>
    <m/>
    <x v="11"/>
    <s v="Week13"/>
    <x v="3"/>
    <x v="0"/>
    <n v="100"/>
    <n v="0"/>
    <n v="0"/>
    <s v="Harsh"/>
    <s v="Ankit"/>
    <s v="Ankit"/>
    <s v="Minor"/>
    <s v="12830236Tejas Patel"/>
    <s v="Minor"/>
    <n v="0"/>
    <x v="1"/>
    <x v="0"/>
    <n v="1"/>
    <n v="10"/>
    <x v="8"/>
    <x v="0"/>
    <x v="0"/>
    <b v="0"/>
    <s v="Top 25"/>
    <x v="5"/>
  </r>
  <r>
    <d v="2026-03-18T12:04:04"/>
    <d v="2026-03-18T17:34:04"/>
    <d v="2026-03-23T18:04:16"/>
    <d v="2026-03-23T23:34:16"/>
    <d v="2026-03-23T00:02:55"/>
    <d v="2026-03-23T23:34:16"/>
    <x v="0"/>
    <n v="6838"/>
    <n v="1411.35"/>
    <x v="0"/>
    <x v="149"/>
    <x v="25"/>
    <x v="8"/>
    <s v="Clinic"/>
    <s v="sivasankari.a@cardioscribes.com"/>
    <x v="3"/>
    <s v="Chennai"/>
    <s v="Go"/>
    <n v="139.12"/>
    <n v="100"/>
    <x v="1"/>
    <n v="5"/>
    <m/>
    <s v="Cost Center CAS ICARE"/>
    <m/>
    <m/>
    <n v="1440"/>
    <s v="No"/>
    <n v="766"/>
    <s v="Normal"/>
    <s v="Achieved"/>
    <n v="0"/>
    <m/>
    <m/>
    <m/>
    <m/>
    <x v="11"/>
    <s v="Week13"/>
    <x v="8"/>
    <x v="0"/>
    <n v="100"/>
    <n v="0"/>
    <n v="0"/>
    <s v="Aneesh"/>
    <s v="Aneesh"/>
    <s v="Aneesh"/>
    <s v="Minor"/>
    <s v="12830160Sivasankari A"/>
    <s v="Minor"/>
    <n v="0"/>
    <x v="0"/>
    <x v="0"/>
    <n v="1"/>
    <n v="5"/>
    <x v="5"/>
    <x v="0"/>
    <x v="0"/>
    <b v="0"/>
    <s v="Top 25"/>
    <x v="1"/>
  </r>
  <r>
    <d v="2026-03-19T13:43:12"/>
    <d v="2026-03-19T19:13:12"/>
    <d v="2026-03-23T18:10:39"/>
    <d v="2026-03-23T23:40:39"/>
    <d v="2026-03-23T00:03:13"/>
    <d v="2026-03-23T23:40:39"/>
    <x v="0"/>
    <n v="369"/>
    <n v="1417.4332999999999"/>
    <x v="0"/>
    <x v="150"/>
    <x v="25"/>
    <x v="8"/>
    <s v="Clinic"/>
    <s v="sivasankari.a@cardioscribes.com"/>
    <x v="3"/>
    <s v="Chennai"/>
    <s v="Go"/>
    <n v="96.86"/>
    <n v="100"/>
    <x v="0"/>
    <n v="0"/>
    <m/>
    <s v="Cost Center CAS ICARE"/>
    <m/>
    <m/>
    <n v="1440"/>
    <s v="No"/>
    <n v="387"/>
    <s v="Normal"/>
    <s v="Achieved"/>
    <n v="0"/>
    <m/>
    <m/>
    <m/>
    <m/>
    <x v="11"/>
    <s v="Week13"/>
    <x v="8"/>
    <x v="0"/>
    <n v="100"/>
    <n v="0"/>
    <n v="0"/>
    <s v="Aneesh"/>
    <s v="Aneesh"/>
    <s v="Aneesh"/>
    <s v=""/>
    <s v="12830691Sivasankari A"/>
    <s v=""/>
    <s v=""/>
    <x v="0"/>
    <x v="0"/>
    <s v=""/>
    <n v="0"/>
    <x v="5"/>
    <x v="0"/>
    <x v="0"/>
    <b v="0"/>
    <s v="Top 25"/>
    <x v="1"/>
  </r>
  <r>
    <d v="2026-03-19T16:32:19"/>
    <d v="2026-03-19T22:02:19"/>
    <d v="2026-03-23T18:18:09"/>
    <d v="2026-03-23T23:48:09"/>
    <d v="2026-03-23T00:03:31"/>
    <d v="2026-03-23T23:48:09"/>
    <x v="0"/>
    <n v="441"/>
    <n v="1424.6333"/>
    <x v="0"/>
    <x v="151"/>
    <x v="59"/>
    <x v="12"/>
    <s v="Clinic"/>
    <s v="PratheepKumar.a@cardioscribes.com"/>
    <x v="6"/>
    <s v="Chennai"/>
    <s v="Go"/>
    <n v="54.98"/>
    <n v="100"/>
    <x v="1"/>
    <n v="3"/>
    <m/>
    <s v="CAMG_OV"/>
    <m/>
    <m/>
    <n v="1440"/>
    <s v="No"/>
    <n v="387"/>
    <s v="Normal"/>
    <s v="Achieved"/>
    <n v="0"/>
    <m/>
    <m/>
    <m/>
    <m/>
    <x v="11"/>
    <s v="Week13"/>
    <x v="12"/>
    <x v="0"/>
    <n v="100"/>
    <n v="0"/>
    <n v="0"/>
    <s v="Harsh"/>
    <s v="Aneesh"/>
    <s v="Aneesh"/>
    <s v="Minor"/>
    <s v="12830831Pratheep Kumar"/>
    <s v="Minor"/>
    <n v="0"/>
    <x v="0"/>
    <x v="0"/>
    <n v="1"/>
    <n v="3"/>
    <x v="6"/>
    <x v="0"/>
    <x v="0"/>
    <b v="0"/>
    <s v="Top 25"/>
    <x v="4"/>
  </r>
  <r>
    <d v="2026-03-16T16:56:03"/>
    <d v="2026-03-16T22:26:03"/>
    <d v="2026-03-23T18:25:57"/>
    <d v="2026-03-23T23:55:57"/>
    <d v="2026-03-20T07:50:29"/>
    <d v="2026-03-23T23:55:57"/>
    <x v="0"/>
    <n v="7582"/>
    <n v="5285.4666999999999"/>
    <x v="0"/>
    <x v="152"/>
    <x v="36"/>
    <x v="12"/>
    <s v="Clinic"/>
    <s v="shiny.iype@cardioscribes.com"/>
    <x v="9"/>
    <s v="Ahmedabad"/>
    <s v="Go"/>
    <n v="72.52"/>
    <n v="99"/>
    <x v="2"/>
    <n v="1"/>
    <m/>
    <s v="CAMG_OV"/>
    <m/>
    <m/>
    <n v="1440"/>
    <s v="No"/>
    <n v="262"/>
    <s v="Normal"/>
    <s v="Achieved"/>
    <n v="0"/>
    <m/>
    <m/>
    <m/>
    <m/>
    <x v="11"/>
    <s v="Week13"/>
    <x v="12"/>
    <x v="0"/>
    <n v="98.621070049641474"/>
    <n v="1"/>
    <n v="1"/>
    <s v="Harsh"/>
    <s v="Ankit"/>
    <s v="Ankit"/>
    <s v="Major"/>
    <s v="12829545Shiny Iype"/>
    <s v="Major"/>
    <n v="1"/>
    <x v="1"/>
    <x v="1"/>
    <n v="1"/>
    <n v="1"/>
    <x v="13"/>
    <x v="0"/>
    <x v="0"/>
    <b v="1"/>
    <s v="Top 25"/>
    <x v="0"/>
  </r>
  <r>
    <d v="2026-03-16T16:56:03"/>
    <d v="2026-03-16T22:26:03"/>
    <d v="2026-03-23T18:25:57"/>
    <d v="2026-03-23T23:55:57"/>
    <d v="2026-03-20T07:50:29"/>
    <d v="2026-03-23T23:55:57"/>
    <x v="0"/>
    <n v="7582"/>
    <n v="5285.4666999999999"/>
    <x v="0"/>
    <x v="152"/>
    <x v="36"/>
    <x v="12"/>
    <s v="Clinic"/>
    <s v="shiny.iype@cardioscribes.com"/>
    <x v="9"/>
    <s v="Ahmedabad"/>
    <s v="Go"/>
    <n v="72.52"/>
    <n v="99"/>
    <x v="1"/>
    <n v="5"/>
    <m/>
    <s v="CAMG_OV"/>
    <m/>
    <m/>
    <n v="1440"/>
    <s v="No"/>
    <n v="262"/>
    <s v="Normal"/>
    <s v="Achieved"/>
    <n v="0"/>
    <m/>
    <m/>
    <m/>
    <m/>
    <x v="11"/>
    <s v="Week13"/>
    <x v="12"/>
    <x v="0"/>
    <n v="98.621070049641474"/>
    <n v="0"/>
    <n v="1"/>
    <s v="Harsh"/>
    <s v="Ankit"/>
    <s v="Ankit"/>
    <s v="Minor"/>
    <s v="12829545Shiny Iype"/>
    <s v="Minor"/>
    <n v="0"/>
    <x v="1"/>
    <x v="0"/>
    <n v="1"/>
    <n v="5"/>
    <x v="13"/>
    <x v="0"/>
    <x v="0"/>
    <b v="0"/>
    <s v="Top 25"/>
    <x v="0"/>
  </r>
  <r>
    <d v="2026-03-16T18:22:12"/>
    <d v="2026-03-16T23:52:12"/>
    <d v="2026-03-24T03:12:14"/>
    <d v="2026-03-24T08:42:14"/>
    <d v="2026-03-22T09:45:53"/>
    <d v="2026-03-24T08:42:14"/>
    <x v="0"/>
    <n v="334"/>
    <n v="2816.35"/>
    <x v="0"/>
    <x v="153"/>
    <x v="42"/>
    <x v="12"/>
    <s v="Clinic"/>
    <s v="PratheepKumar.a@cardioscribes.com"/>
    <x v="6"/>
    <s v="Chennai"/>
    <s v="Go"/>
    <n v="44.35"/>
    <n v="100"/>
    <x v="1"/>
    <n v="1"/>
    <m/>
    <s v="CAMG_OV"/>
    <m/>
    <m/>
    <n v="1440"/>
    <s v="No"/>
    <n v="184"/>
    <s v="Normal"/>
    <s v="Achieved"/>
    <n v="0"/>
    <m/>
    <m/>
    <m/>
    <m/>
    <x v="12"/>
    <s v="Week13"/>
    <x v="12"/>
    <x v="0"/>
    <n v="100"/>
    <n v="0"/>
    <n v="0"/>
    <s v="Harsh"/>
    <s v="Aneesh"/>
    <s v="Aneesh"/>
    <s v="Minor"/>
    <s v="12829555Pratheep Kumar"/>
    <s v="Minor"/>
    <n v="0"/>
    <x v="0"/>
    <x v="0"/>
    <n v="1"/>
    <n v="1"/>
    <x v="6"/>
    <x v="0"/>
    <x v="0"/>
    <b v="0"/>
    <s v="Top 25"/>
    <x v="4"/>
  </r>
  <r>
    <d v="2026-03-18T16:47:33"/>
    <d v="2026-03-18T22:17:33"/>
    <d v="2026-03-24T03:15:19"/>
    <d v="2026-03-24T08:45:19"/>
    <d v="2026-03-24T00:21:06"/>
    <d v="2026-03-24T08:45:19"/>
    <x v="0"/>
    <n v="169"/>
    <n v="504.2167"/>
    <x v="0"/>
    <x v="154"/>
    <x v="34"/>
    <x v="12"/>
    <s v="Clinic"/>
    <s v="PratheepKumar.a@cardioscribes.com"/>
    <x v="6"/>
    <s v="Chennai"/>
    <s v="Go"/>
    <n v="11.14"/>
    <n v="100"/>
    <x v="1"/>
    <n v="1"/>
    <m/>
    <s v="CAMG_OV"/>
    <m/>
    <m/>
    <n v="1440"/>
    <s v="No"/>
    <n v="218"/>
    <s v="Normal"/>
    <s v="Achieved"/>
    <n v="0"/>
    <m/>
    <m/>
    <m/>
    <m/>
    <x v="12"/>
    <s v="Week13"/>
    <x v="12"/>
    <x v="0"/>
    <n v="100"/>
    <n v="0"/>
    <n v="0"/>
    <s v="Harsh"/>
    <s v="Aneesh"/>
    <s v="Aneesh"/>
    <s v="Minor"/>
    <s v="12830390Pratheep Kumar"/>
    <s v="Minor"/>
    <n v="0"/>
    <x v="0"/>
    <x v="0"/>
    <n v="1"/>
    <n v="1"/>
    <x v="6"/>
    <x v="0"/>
    <x v="0"/>
    <b v="0"/>
    <s v="Top 25"/>
    <x v="4"/>
  </r>
  <r>
    <d v="2026-03-18T11:36:44"/>
    <d v="2026-03-18T17:06:44"/>
    <d v="2026-03-24T03:21:28"/>
    <d v="2026-03-24T08:51:28"/>
    <d v="2026-03-22T09:51:01"/>
    <d v="2026-03-24T08:51:28"/>
    <x v="0"/>
    <n v="350"/>
    <n v="2820.45"/>
    <x v="0"/>
    <x v="155"/>
    <x v="42"/>
    <x v="12"/>
    <s v="Clinic"/>
    <s v="Tejasahm@gmail.com"/>
    <x v="7"/>
    <s v="Ahmedabad"/>
    <s v="Go"/>
    <n v="44.2"/>
    <n v="99"/>
    <x v="2"/>
    <n v="1"/>
    <m/>
    <s v="CAMG_OV"/>
    <m/>
    <m/>
    <n v="1440"/>
    <s v="No"/>
    <n v="202"/>
    <s v="Normal"/>
    <s v="Achieved"/>
    <n v="0"/>
    <m/>
    <m/>
    <m/>
    <m/>
    <x v="12"/>
    <s v="Week13"/>
    <x v="12"/>
    <x v="1"/>
    <n v="97.737556561085967"/>
    <n v="1"/>
    <n v="1"/>
    <s v="Harsh"/>
    <s v="Ankit"/>
    <s v="Ankit"/>
    <s v="Major"/>
    <s v="12830205Tejas Patel"/>
    <s v="Major"/>
    <n v="1"/>
    <x v="1"/>
    <x v="1"/>
    <n v="1"/>
    <n v="1"/>
    <x v="8"/>
    <x v="0"/>
    <x v="0"/>
    <b v="1"/>
    <s v="Top 25"/>
    <x v="5"/>
  </r>
  <r>
    <d v="2026-03-18T11:36:44"/>
    <d v="2026-03-18T17:06:44"/>
    <d v="2026-03-24T03:21:28"/>
    <d v="2026-03-24T08:51:28"/>
    <d v="2026-03-22T09:51:01"/>
    <d v="2026-03-24T08:51:28"/>
    <x v="0"/>
    <n v="350"/>
    <n v="2820.45"/>
    <x v="0"/>
    <x v="155"/>
    <x v="42"/>
    <x v="12"/>
    <s v="Clinic"/>
    <s v="Tejasahm@gmail.com"/>
    <x v="7"/>
    <s v="Ahmedabad"/>
    <s v="Go"/>
    <n v="44.2"/>
    <n v="99"/>
    <x v="1"/>
    <n v="1"/>
    <m/>
    <s v="CAMG_OV"/>
    <m/>
    <m/>
    <n v="1440"/>
    <s v="No"/>
    <n v="202"/>
    <s v="Normal"/>
    <s v="Achieved"/>
    <n v="0"/>
    <m/>
    <m/>
    <m/>
    <m/>
    <x v="12"/>
    <s v="Week13"/>
    <x v="12"/>
    <x v="1"/>
    <n v="97.737556561085967"/>
    <n v="0"/>
    <n v="1"/>
    <s v="Harsh"/>
    <s v="Ankit"/>
    <s v="Ankit"/>
    <s v="Minor"/>
    <s v="12830205Tejas Patel"/>
    <s v="Minor"/>
    <n v="0"/>
    <x v="1"/>
    <x v="0"/>
    <n v="1"/>
    <n v="1"/>
    <x v="8"/>
    <x v="0"/>
    <x v="0"/>
    <b v="0"/>
    <s v="Top 25"/>
    <x v="5"/>
  </r>
  <r>
    <d v="2026-03-16T18:23:20"/>
    <d v="2026-03-16T23:53:20"/>
    <d v="2026-03-24T04:39:05"/>
    <d v="2026-03-24T10:09:05"/>
    <d v="2026-03-20T08:00:56"/>
    <d v="2026-03-24T10:09:05"/>
    <x v="0"/>
    <n v="1008"/>
    <n v="5888.15"/>
    <x v="0"/>
    <x v="156"/>
    <x v="42"/>
    <x v="12"/>
    <s v="Clinic"/>
    <s v="shiny.iype@cardioscribes.com"/>
    <x v="9"/>
    <s v="Ahmedabad"/>
    <s v="No Go"/>
    <n v="55.85"/>
    <n v="96"/>
    <x v="4"/>
    <n v="1"/>
    <m/>
    <s v="CAMG_OV"/>
    <m/>
    <m/>
    <n v="1440"/>
    <s v="No"/>
    <n v="206"/>
    <s v="Normal"/>
    <s v="Achieved"/>
    <n v="1"/>
    <m/>
    <m/>
    <m/>
    <m/>
    <x v="12"/>
    <s v="Week13"/>
    <x v="12"/>
    <x v="1"/>
    <n v="92.837958818263203"/>
    <n v="1"/>
    <n v="4"/>
    <s v="Harsh"/>
    <s v="Ankit"/>
    <s v="Ankit"/>
    <s v="Major"/>
    <s v="12829548Shiny Iype"/>
    <s v="Major"/>
    <n v="1"/>
    <x v="1"/>
    <x v="1"/>
    <n v="1"/>
    <n v="1"/>
    <x v="13"/>
    <x v="0"/>
    <x v="0"/>
    <b v="1"/>
    <s v="Top 25"/>
    <x v="0"/>
  </r>
  <r>
    <d v="2026-03-16T18:23:20"/>
    <d v="2026-03-16T23:53:20"/>
    <d v="2026-03-24T04:39:05"/>
    <d v="2026-03-24T10:09:05"/>
    <d v="2026-03-20T08:00:56"/>
    <d v="2026-03-24T10:09:05"/>
    <x v="0"/>
    <n v="1008"/>
    <n v="5888.15"/>
    <x v="0"/>
    <x v="156"/>
    <x v="42"/>
    <x v="12"/>
    <s v="Clinic"/>
    <s v="shiny.iype@cardioscribes.com"/>
    <x v="9"/>
    <s v="Ahmedabad"/>
    <s v="No Go"/>
    <n v="55.85"/>
    <n v="96"/>
    <x v="6"/>
    <n v="3"/>
    <m/>
    <s v="CAMG_OV"/>
    <m/>
    <m/>
    <n v="1440"/>
    <s v="No"/>
    <n v="206"/>
    <s v="Normal"/>
    <s v="Achieved"/>
    <n v="1"/>
    <m/>
    <m/>
    <m/>
    <m/>
    <x v="12"/>
    <s v="Week13"/>
    <x v="12"/>
    <x v="1"/>
    <n v="92.837958818263203"/>
    <n v="3"/>
    <n v="4"/>
    <s v="Harsh"/>
    <s v="Ankit"/>
    <s v="Ankit"/>
    <s v="Major"/>
    <s v="12829548Shiny Iype"/>
    <s v="Major"/>
    <n v="1"/>
    <x v="1"/>
    <x v="1"/>
    <n v="1"/>
    <n v="3"/>
    <x v="13"/>
    <x v="0"/>
    <x v="0"/>
    <b v="1"/>
    <s v="Top 25"/>
    <x v="0"/>
  </r>
  <r>
    <d v="2026-03-16T18:23:20"/>
    <d v="2026-03-16T23:53:20"/>
    <d v="2026-03-24T04:39:05"/>
    <d v="2026-03-24T10:09:05"/>
    <d v="2026-03-20T08:00:56"/>
    <d v="2026-03-24T10:09:05"/>
    <x v="0"/>
    <n v="1008"/>
    <n v="5888.15"/>
    <x v="0"/>
    <x v="156"/>
    <x v="42"/>
    <x v="12"/>
    <s v="Clinic"/>
    <s v="shiny.iype@cardioscribes.com"/>
    <x v="9"/>
    <s v="Ahmedabad"/>
    <s v="No Go"/>
    <n v="55.85"/>
    <n v="96"/>
    <x v="1"/>
    <n v="2"/>
    <m/>
    <s v="CAMG_OV"/>
    <m/>
    <m/>
    <n v="1440"/>
    <s v="No"/>
    <n v="206"/>
    <s v="Normal"/>
    <s v="Achieved"/>
    <n v="1"/>
    <m/>
    <m/>
    <m/>
    <m/>
    <x v="12"/>
    <s v="Week13"/>
    <x v="12"/>
    <x v="1"/>
    <n v="92.837958818263203"/>
    <n v="0"/>
    <n v="4"/>
    <s v="Harsh"/>
    <s v="Ankit"/>
    <s v="Ankit"/>
    <s v="Minor"/>
    <s v="12829548Shiny Iype"/>
    <s v="Minor"/>
    <n v="0"/>
    <x v="1"/>
    <x v="0"/>
    <n v="1"/>
    <n v="2"/>
    <x v="13"/>
    <x v="0"/>
    <x v="0"/>
    <b v="0"/>
    <s v="Top 25"/>
    <x v="0"/>
  </r>
  <r>
    <d v="2026-03-18T18:59:06"/>
    <d v="2026-03-19T00:29:06"/>
    <d v="2026-03-24T05:21:53"/>
    <d v="2026-03-24T10:51:53"/>
    <d v="2026-03-24T00:21:24"/>
    <d v="2026-03-24T10:51:53"/>
    <x v="0"/>
    <n v="823"/>
    <n v="630.48329999999999"/>
    <x v="0"/>
    <x v="157"/>
    <x v="47"/>
    <x v="12"/>
    <s v="Clinic"/>
    <s v="Tejasahm@gmail.com"/>
    <x v="7"/>
    <s v="Ahmedabad"/>
    <s v="Go"/>
    <n v="42.05"/>
    <n v="100"/>
    <x v="0"/>
    <n v="0"/>
    <m/>
    <s v="CAMG_OV"/>
    <m/>
    <m/>
    <n v="1440"/>
    <s v="No"/>
    <n v="306"/>
    <s v="Normal"/>
    <s v="Achieved"/>
    <n v="0"/>
    <m/>
    <m/>
    <m/>
    <m/>
    <x v="12"/>
    <s v="Week13"/>
    <x v="12"/>
    <x v="0"/>
    <n v="100"/>
    <n v="0"/>
    <n v="0"/>
    <s v="Harsh"/>
    <s v="Ankit"/>
    <s v="Ankit"/>
    <s v=""/>
    <s v="12830459Tejas Patel"/>
    <s v=""/>
    <s v=""/>
    <x v="1"/>
    <x v="0"/>
    <s v=""/>
    <n v="0"/>
    <x v="8"/>
    <x v="0"/>
    <x v="0"/>
    <b v="0"/>
    <s v="Top 25"/>
    <x v="5"/>
  </r>
  <r>
    <d v="2026-03-18T16:46:29"/>
    <d v="2026-03-18T22:16:29"/>
    <d v="2026-03-24T05:33:51"/>
    <d v="2026-03-24T11:03:51"/>
    <d v="2026-03-24T00:20:55"/>
    <d v="2026-03-24T11:03:51"/>
    <x v="0"/>
    <n v="181"/>
    <n v="642.93330000000003"/>
    <x v="0"/>
    <x v="158"/>
    <x v="34"/>
    <x v="12"/>
    <s v="Clinic"/>
    <s v="PratheepKumar.a@cardioscribes.com"/>
    <x v="6"/>
    <s v="Chennai"/>
    <s v="Go"/>
    <n v="27.74"/>
    <n v="100"/>
    <x v="1"/>
    <n v="3"/>
    <m/>
    <s v="CAMG_OV"/>
    <m/>
    <m/>
    <n v="1440"/>
    <s v="No"/>
    <n v="120"/>
    <s v="Normal"/>
    <s v="Achieved"/>
    <n v="0"/>
    <m/>
    <m/>
    <m/>
    <m/>
    <x v="12"/>
    <s v="Week13"/>
    <x v="12"/>
    <x v="0"/>
    <n v="100"/>
    <n v="0"/>
    <n v="0"/>
    <s v="Harsh"/>
    <s v="Aneesh"/>
    <s v="Aneesh"/>
    <s v="Minor"/>
    <s v="12830380Pratheep Kumar"/>
    <s v="Minor"/>
    <n v="0"/>
    <x v="0"/>
    <x v="0"/>
    <n v="1"/>
    <n v="3"/>
    <x v="6"/>
    <x v="0"/>
    <x v="0"/>
    <b v="0"/>
    <s v="Top 25"/>
    <x v="4"/>
  </r>
  <r>
    <d v="2026-03-19T09:42:55"/>
    <d v="2026-03-19T15:12:55"/>
    <d v="2026-03-24T05:44:29"/>
    <d v="2026-03-24T11:14:29"/>
    <d v="2026-03-24T00:21:36"/>
    <d v="2026-03-24T11:14:29"/>
    <x v="0"/>
    <n v="235"/>
    <n v="652.88329999999996"/>
    <x v="0"/>
    <x v="159"/>
    <x v="60"/>
    <x v="20"/>
    <s v="Clinic"/>
    <s v="jobs4savitha@gmail.com"/>
    <x v="5"/>
    <s v="Trivandrum"/>
    <s v="Go"/>
    <n v="17.54"/>
    <n v="100"/>
    <x v="1"/>
    <n v="1"/>
    <m/>
    <s v="Clinic Template (OHH)"/>
    <m/>
    <m/>
    <n v="1440"/>
    <s v="No"/>
    <n v="98"/>
    <s v="Normal"/>
    <s v="Achieved"/>
    <n v="0"/>
    <m/>
    <m/>
    <m/>
    <m/>
    <x v="12"/>
    <s v="Week13"/>
    <x v="20"/>
    <x v="0"/>
    <n v="100"/>
    <n v="0"/>
    <n v="0"/>
    <s v="Aneesh"/>
    <s v="Aneesh"/>
    <s v="Aneesh"/>
    <s v="Minor"/>
    <s v="12830621Savitha Arun"/>
    <s v="Minor"/>
    <n v="0"/>
    <x v="0"/>
    <x v="0"/>
    <n v="1"/>
    <n v="1"/>
    <x v="4"/>
    <x v="1"/>
    <x v="1"/>
    <b v="0"/>
    <s v="Top 25"/>
    <x v="3"/>
  </r>
  <r>
    <d v="2026-03-18T18:58:14"/>
    <d v="2026-03-19T00:28:14"/>
    <d v="2026-03-24T08:58:45"/>
    <d v="2026-03-24T14:28:45"/>
    <d v="2026-03-24T00:21:19"/>
    <d v="2026-03-24T14:28:45"/>
    <x v="0"/>
    <n v="347"/>
    <n v="847.43330000000003"/>
    <x v="0"/>
    <x v="160"/>
    <x v="47"/>
    <x v="12"/>
    <s v="Clinic"/>
    <s v="Tejasahm@gmail.com"/>
    <x v="7"/>
    <s v="Ahmedabad"/>
    <s v="Go"/>
    <n v="39.08"/>
    <n v="100"/>
    <x v="0"/>
    <n v="0"/>
    <m/>
    <s v="CAMG_OV"/>
    <m/>
    <m/>
    <n v="1440"/>
    <s v="No"/>
    <n v="219"/>
    <s v="Normal"/>
    <s v="Achieved"/>
    <n v="0"/>
    <m/>
    <m/>
    <m/>
    <m/>
    <x v="12"/>
    <s v="Week13"/>
    <x v="12"/>
    <x v="0"/>
    <n v="100"/>
    <n v="0"/>
    <n v="0"/>
    <s v="Harsh"/>
    <s v="Ankit"/>
    <s v="Ankit"/>
    <s v=""/>
    <s v="12830460Tejas Patel"/>
    <s v=""/>
    <s v=""/>
    <x v="1"/>
    <x v="0"/>
    <s v=""/>
    <n v="0"/>
    <x v="8"/>
    <x v="0"/>
    <x v="0"/>
    <b v="0"/>
    <s v="Top 25"/>
    <x v="5"/>
  </r>
  <r>
    <d v="2026-03-16T16:56:21"/>
    <d v="2026-03-16T22:26:21"/>
    <d v="2026-03-24T17:54:39"/>
    <d v="2026-03-24T23:24:39"/>
    <d v="2026-03-22T09:45:15"/>
    <d v="2026-03-24T23:24:39"/>
    <x v="0"/>
    <n v="2484"/>
    <n v="3699.4"/>
    <x v="0"/>
    <x v="161"/>
    <x v="36"/>
    <x v="12"/>
    <s v="Clinic"/>
    <s v="shiny.iype@cardioscribes.com"/>
    <x v="9"/>
    <s v="Ahmedabad"/>
    <s v="Go"/>
    <n v="52.02"/>
    <n v="100"/>
    <x v="1"/>
    <n v="5"/>
    <m/>
    <s v="CAMG_OV"/>
    <m/>
    <m/>
    <n v="1440"/>
    <s v="No"/>
    <n v="205"/>
    <s v="Normal"/>
    <s v="Achieved"/>
    <n v="0"/>
    <m/>
    <m/>
    <m/>
    <m/>
    <x v="12"/>
    <s v="Week13"/>
    <x v="12"/>
    <x v="0"/>
    <n v="100"/>
    <n v="0"/>
    <n v="0"/>
    <s v="Harsh"/>
    <s v="Ankit"/>
    <s v="Ankit"/>
    <s v="Minor"/>
    <s v="12829479Shiny Iype"/>
    <s v="Minor"/>
    <n v="0"/>
    <x v="1"/>
    <x v="0"/>
    <n v="1"/>
    <n v="5"/>
    <x v="13"/>
    <x v="0"/>
    <x v="0"/>
    <b v="0"/>
    <s v="Top 25"/>
    <x v="0"/>
  </r>
  <r>
    <d v="2026-03-19T17:29:20"/>
    <d v="2026-03-19T22:59:20"/>
    <d v="2026-03-24T18:03:33"/>
    <d v="2026-03-24T23:33:33"/>
    <d v="2026-03-24T00:22:11"/>
    <d v="2026-03-24T23:33:33"/>
    <x v="0"/>
    <n v="1554"/>
    <n v="1391.3667"/>
    <x v="0"/>
    <x v="162"/>
    <x v="36"/>
    <x v="12"/>
    <s v="Clinic"/>
    <s v="PratheepKumar.a@cardioscribes.com"/>
    <x v="6"/>
    <s v="Chennai"/>
    <s v="No Go"/>
    <n v="77.72"/>
    <n v="98"/>
    <x v="2"/>
    <n v="1"/>
    <m/>
    <s v="CAMG_OV"/>
    <m/>
    <m/>
    <n v="1440"/>
    <s v="No"/>
    <n v="316"/>
    <s v="Normal"/>
    <s v="Achieved"/>
    <n v="0"/>
    <m/>
    <m/>
    <m/>
    <m/>
    <x v="12"/>
    <s v="Week13"/>
    <x v="12"/>
    <x v="1"/>
    <n v="97.426659804426151"/>
    <n v="1"/>
    <n v="2"/>
    <s v="Harsh"/>
    <s v="Aneesh"/>
    <s v="Aneesh"/>
    <s v="Major"/>
    <s v="12830872Pratheep Kumar"/>
    <s v="Major"/>
    <n v="1"/>
    <x v="0"/>
    <x v="1"/>
    <n v="1"/>
    <n v="1"/>
    <x v="6"/>
    <x v="0"/>
    <x v="0"/>
    <b v="1"/>
    <s v="Top 25"/>
    <x v="4"/>
  </r>
  <r>
    <d v="2026-03-19T17:29:20"/>
    <d v="2026-03-19T22:59:20"/>
    <d v="2026-03-24T18:03:33"/>
    <d v="2026-03-24T23:33:33"/>
    <d v="2026-03-24T00:22:11"/>
    <d v="2026-03-24T23:33:33"/>
    <x v="0"/>
    <n v="1554"/>
    <n v="1391.3667"/>
    <x v="0"/>
    <x v="162"/>
    <x v="36"/>
    <x v="12"/>
    <s v="Clinic"/>
    <s v="PratheepKumar.a@cardioscribes.com"/>
    <x v="6"/>
    <s v="Chennai"/>
    <s v="No Go"/>
    <n v="77.72"/>
    <n v="98"/>
    <x v="4"/>
    <n v="1"/>
    <m/>
    <s v="CAMG_OV"/>
    <m/>
    <m/>
    <n v="1440"/>
    <s v="No"/>
    <n v="316"/>
    <s v="Normal"/>
    <s v="Achieved"/>
    <n v="0"/>
    <m/>
    <m/>
    <m/>
    <m/>
    <x v="12"/>
    <s v="Week13"/>
    <x v="12"/>
    <x v="1"/>
    <n v="97.426659804426151"/>
    <n v="1"/>
    <n v="2"/>
    <s v="Harsh"/>
    <s v="Aneesh"/>
    <s v="Aneesh"/>
    <s v="Major"/>
    <s v="12830872Pratheep Kumar"/>
    <s v="Major"/>
    <n v="1"/>
    <x v="0"/>
    <x v="1"/>
    <n v="1"/>
    <n v="1"/>
    <x v="6"/>
    <x v="0"/>
    <x v="0"/>
    <b v="1"/>
    <s v="Top 25"/>
    <x v="4"/>
  </r>
  <r>
    <d v="2026-03-19T17:29:20"/>
    <d v="2026-03-19T22:59:20"/>
    <d v="2026-03-24T18:03:33"/>
    <d v="2026-03-24T23:33:33"/>
    <d v="2026-03-24T00:22:11"/>
    <d v="2026-03-24T23:33:33"/>
    <x v="0"/>
    <n v="1554"/>
    <n v="1391.3667"/>
    <x v="0"/>
    <x v="162"/>
    <x v="36"/>
    <x v="12"/>
    <s v="Clinic"/>
    <s v="PratheepKumar.a@cardioscribes.com"/>
    <x v="6"/>
    <s v="Chennai"/>
    <s v="No Go"/>
    <n v="77.72"/>
    <n v="98"/>
    <x v="1"/>
    <n v="3"/>
    <m/>
    <s v="CAMG_OV"/>
    <m/>
    <m/>
    <n v="1440"/>
    <s v="No"/>
    <n v="316"/>
    <s v="Normal"/>
    <s v="Achieved"/>
    <n v="0"/>
    <m/>
    <m/>
    <m/>
    <m/>
    <x v="12"/>
    <s v="Week13"/>
    <x v="12"/>
    <x v="1"/>
    <n v="97.426659804426151"/>
    <n v="0"/>
    <n v="2"/>
    <s v="Harsh"/>
    <s v="Aneesh"/>
    <s v="Aneesh"/>
    <s v="Minor"/>
    <s v="12830872Pratheep Kumar"/>
    <s v="Minor"/>
    <n v="0"/>
    <x v="0"/>
    <x v="0"/>
    <n v="1"/>
    <n v="3"/>
    <x v="6"/>
    <x v="0"/>
    <x v="0"/>
    <b v="0"/>
    <s v="Top 25"/>
    <x v="4"/>
  </r>
  <r>
    <d v="2026-03-16T18:24:02"/>
    <d v="2026-03-16T23:54:02"/>
    <d v="2026-03-24T18:10:39"/>
    <d v="2026-03-24T23:40:39"/>
    <d v="2026-03-22T09:49:49"/>
    <d v="2026-03-24T23:40:39"/>
    <x v="0"/>
    <n v="402"/>
    <n v="3710.8332999999998"/>
    <x v="0"/>
    <x v="163"/>
    <x v="42"/>
    <x v="12"/>
    <s v="Clinic"/>
    <s v="shiny.iype@cardioscribes.com"/>
    <x v="9"/>
    <s v="Ahmedabad"/>
    <s v="Go"/>
    <n v="38.630000000000003"/>
    <n v="99"/>
    <x v="4"/>
    <n v="1"/>
    <m/>
    <s v="CAMG_OV"/>
    <m/>
    <m/>
    <n v="1440"/>
    <s v="No"/>
    <n v="183"/>
    <s v="Normal"/>
    <s v="Achieved"/>
    <n v="0"/>
    <m/>
    <m/>
    <m/>
    <m/>
    <x v="12"/>
    <s v="Week13"/>
    <x v="12"/>
    <x v="1"/>
    <n v="97.411338338079219"/>
    <n v="1"/>
    <n v="1"/>
    <s v="Harsh"/>
    <s v="Ankit"/>
    <s v="Ankit"/>
    <s v="Major"/>
    <s v="12829557Shiny Iype"/>
    <s v="Major"/>
    <n v="1"/>
    <x v="1"/>
    <x v="0"/>
    <n v="1"/>
    <n v="1"/>
    <x v="13"/>
    <x v="0"/>
    <x v="0"/>
    <b v="0"/>
    <s v="Top 25"/>
    <x v="0"/>
  </r>
  <r>
    <d v="2026-03-19T18:49:33"/>
    <d v="2026-03-20T00:19:33"/>
    <d v="2026-03-24T18:22:06"/>
    <d v="2026-03-24T23:52:06"/>
    <d v="2026-03-24T00:22:33"/>
    <d v="2026-03-24T23:52:06"/>
    <x v="0"/>
    <n v="413"/>
    <n v="1409.55"/>
    <x v="0"/>
    <x v="164"/>
    <x v="47"/>
    <x v="12"/>
    <s v="Clinic"/>
    <s v="Tejasahm@gmail.com"/>
    <x v="7"/>
    <s v="Ahmedabad"/>
    <s v="Go"/>
    <n v="28.43"/>
    <n v="100"/>
    <x v="1"/>
    <n v="1"/>
    <m/>
    <s v="CAMG_OV"/>
    <m/>
    <m/>
    <n v="1440"/>
    <s v="No"/>
    <n v="197"/>
    <s v="Normal"/>
    <s v="Achieved"/>
    <n v="0"/>
    <m/>
    <m/>
    <m/>
    <m/>
    <x v="12"/>
    <s v="Week13"/>
    <x v="12"/>
    <x v="0"/>
    <n v="100"/>
    <n v="0"/>
    <n v="0"/>
    <s v="Harsh"/>
    <s v="Ankit"/>
    <s v="Ankit"/>
    <s v="Minor"/>
    <s v="12830914Tejas Patel"/>
    <s v="Minor"/>
    <n v="0"/>
    <x v="1"/>
    <x v="0"/>
    <n v="1"/>
    <n v="1"/>
    <x v="8"/>
    <x v="0"/>
    <x v="0"/>
    <b v="0"/>
    <s v="Top 25"/>
    <x v="5"/>
  </r>
  <r>
    <d v="2026-03-16T16:57:34"/>
    <d v="2026-03-16T22:27:34"/>
    <d v="2026-03-24T18:29:35"/>
    <d v="2026-03-24T23:59:35"/>
    <d v="2026-03-22T09:45:47"/>
    <d v="2026-03-24T23:59:35"/>
    <x v="0"/>
    <n v="673"/>
    <n v="3733.8"/>
    <x v="0"/>
    <x v="165"/>
    <x v="36"/>
    <x v="12"/>
    <s v="Clinic"/>
    <s v="shiny.iype@cardioscribes.com"/>
    <x v="9"/>
    <s v="Ahmedabad"/>
    <s v="No Go"/>
    <n v="63.23"/>
    <n v="97"/>
    <x v="6"/>
    <n v="3"/>
    <m/>
    <s v="CAMG_OV"/>
    <m/>
    <m/>
    <n v="1440"/>
    <s v="No"/>
    <n v="247"/>
    <s v="Normal"/>
    <s v="Achieved"/>
    <n v="0"/>
    <m/>
    <m/>
    <m/>
    <m/>
    <x v="12"/>
    <s v="Week13"/>
    <x v="12"/>
    <x v="1"/>
    <n v="95.25541673256366"/>
    <n v="3"/>
    <n v="3"/>
    <s v="Harsh"/>
    <s v="Ankit"/>
    <s v="Ankit"/>
    <s v="Major"/>
    <s v="12829549Shiny Iype"/>
    <s v="Major"/>
    <n v="1"/>
    <x v="1"/>
    <x v="1"/>
    <n v="1"/>
    <n v="3"/>
    <x v="13"/>
    <x v="0"/>
    <x v="0"/>
    <b v="1"/>
    <s v="Top 25"/>
    <x v="0"/>
  </r>
  <r>
    <d v="2026-03-16T16:57:34"/>
    <d v="2026-03-16T22:27:34"/>
    <d v="2026-03-24T18:29:35"/>
    <d v="2026-03-24T23:59:35"/>
    <d v="2026-03-22T09:45:47"/>
    <d v="2026-03-24T23:59:35"/>
    <x v="0"/>
    <n v="673"/>
    <n v="3733.8"/>
    <x v="0"/>
    <x v="165"/>
    <x v="36"/>
    <x v="12"/>
    <s v="Clinic"/>
    <s v="shiny.iype@cardioscribes.com"/>
    <x v="9"/>
    <s v="Ahmedabad"/>
    <s v="No Go"/>
    <n v="63.23"/>
    <n v="97"/>
    <x v="1"/>
    <n v="5"/>
    <m/>
    <s v="CAMG_OV"/>
    <m/>
    <m/>
    <n v="1440"/>
    <s v="No"/>
    <n v="247"/>
    <s v="Normal"/>
    <s v="Achieved"/>
    <n v="0"/>
    <m/>
    <m/>
    <m/>
    <m/>
    <x v="12"/>
    <s v="Week13"/>
    <x v="12"/>
    <x v="1"/>
    <n v="95.25541673256366"/>
    <n v="0"/>
    <n v="3"/>
    <s v="Harsh"/>
    <s v="Ankit"/>
    <s v="Ankit"/>
    <s v="Minor"/>
    <s v="12829549Shiny Iype"/>
    <s v="Minor"/>
    <n v="0"/>
    <x v="1"/>
    <x v="0"/>
    <n v="1"/>
    <n v="5"/>
    <x v="13"/>
    <x v="0"/>
    <x v="0"/>
    <b v="0"/>
    <s v="Top 25"/>
    <x v="0"/>
  </r>
  <r>
    <d v="2026-03-16T16:56:39"/>
    <d v="2026-03-16T22:26:39"/>
    <d v="2026-03-25T03:35:26"/>
    <d v="2026-03-25T09:05:26"/>
    <d v="2026-03-22T09:45:41"/>
    <d v="2026-03-25T09:05:26"/>
    <x v="0"/>
    <n v="1480"/>
    <n v="4279.75"/>
    <x v="0"/>
    <x v="166"/>
    <x v="36"/>
    <x v="12"/>
    <s v="Clinic"/>
    <s v="shiny.iype@cardioscribes.com"/>
    <x v="9"/>
    <s v="Ahmedabad"/>
    <s v="Go"/>
    <n v="55.49"/>
    <n v="100"/>
    <x v="1"/>
    <n v="2"/>
    <m/>
    <s v="CAMG_OV"/>
    <m/>
    <m/>
    <n v="1440"/>
    <s v="No"/>
    <n v="221"/>
    <s v="Normal"/>
    <s v="Achieved"/>
    <n v="0"/>
    <m/>
    <m/>
    <m/>
    <m/>
    <x v="13"/>
    <s v="Week13"/>
    <x v="12"/>
    <x v="0"/>
    <n v="100"/>
    <n v="0"/>
    <n v="0"/>
    <s v="Harsh"/>
    <s v="Ankit"/>
    <s v="Ankit"/>
    <s v="Minor"/>
    <s v="12829539Shiny Iype"/>
    <s v="Minor"/>
    <n v="0"/>
    <x v="1"/>
    <x v="0"/>
    <n v="1"/>
    <n v="2"/>
    <x v="13"/>
    <x v="0"/>
    <x v="0"/>
    <b v="0"/>
    <s v="Top 25"/>
    <x v="0"/>
  </r>
  <r>
    <d v="2026-03-16T16:57:15"/>
    <d v="2026-03-16T22:27:15"/>
    <d v="2026-03-25T03:43:14"/>
    <d v="2026-03-25T09:13:14"/>
    <d v="2026-03-20T07:50:34"/>
    <d v="2026-03-25T09:13:14"/>
    <x v="0"/>
    <n v="365"/>
    <n v="7282.6666999999998"/>
    <x v="0"/>
    <x v="167"/>
    <x v="36"/>
    <x v="12"/>
    <s v="Clinic"/>
    <s v="shiny.iype@cardioscribes.com"/>
    <x v="9"/>
    <s v="Ahmedabad"/>
    <s v="Go"/>
    <n v="44.23"/>
    <n v="99"/>
    <x v="6"/>
    <n v="1"/>
    <m/>
    <s v="CAMG_OV"/>
    <m/>
    <m/>
    <n v="1440"/>
    <s v="No"/>
    <n v="180"/>
    <s v="Normal"/>
    <s v="Achieved"/>
    <n v="0"/>
    <m/>
    <m/>
    <m/>
    <m/>
    <x v="13"/>
    <s v="Week13"/>
    <x v="12"/>
    <x v="1"/>
    <n v="97.739091114628081"/>
    <n v="1"/>
    <n v="1"/>
    <s v="Harsh"/>
    <s v="Ankit"/>
    <s v="Ankit"/>
    <s v="Major"/>
    <s v="12829546Shiny Iype"/>
    <s v="Major"/>
    <n v="1"/>
    <x v="1"/>
    <x v="1"/>
    <n v="1"/>
    <n v="1"/>
    <x v="13"/>
    <x v="0"/>
    <x v="0"/>
    <b v="1"/>
    <s v="Top 25"/>
    <x v="0"/>
  </r>
  <r>
    <d v="2026-03-16T16:57:15"/>
    <d v="2026-03-16T22:27:15"/>
    <d v="2026-03-25T03:43:14"/>
    <d v="2026-03-25T09:13:14"/>
    <d v="2026-03-20T07:50:34"/>
    <d v="2026-03-25T09:13:14"/>
    <x v="0"/>
    <n v="365"/>
    <n v="7282.6666999999998"/>
    <x v="0"/>
    <x v="167"/>
    <x v="36"/>
    <x v="12"/>
    <s v="Clinic"/>
    <s v="shiny.iype@cardioscribes.com"/>
    <x v="9"/>
    <s v="Ahmedabad"/>
    <s v="Go"/>
    <n v="44.23"/>
    <n v="99"/>
    <x v="1"/>
    <n v="7"/>
    <m/>
    <s v="CAMG_OV"/>
    <m/>
    <m/>
    <n v="1440"/>
    <s v="No"/>
    <n v="180"/>
    <s v="Normal"/>
    <s v="Achieved"/>
    <n v="0"/>
    <m/>
    <m/>
    <m/>
    <m/>
    <x v="13"/>
    <s v="Week13"/>
    <x v="12"/>
    <x v="1"/>
    <n v="97.739091114628081"/>
    <n v="0"/>
    <n v="1"/>
    <s v="Harsh"/>
    <s v="Ankit"/>
    <s v="Ankit"/>
    <s v="Minor"/>
    <s v="12829546Shiny Iype"/>
    <s v="Minor"/>
    <n v="0"/>
    <x v="1"/>
    <x v="0"/>
    <n v="1"/>
    <n v="7"/>
    <x v="13"/>
    <x v="0"/>
    <x v="0"/>
    <b v="0"/>
    <s v="Top 25"/>
    <x v="0"/>
  </r>
  <r>
    <d v="2026-03-19T11:24:40"/>
    <d v="2026-03-19T16:54:40"/>
    <d v="2026-03-25T05:51:09"/>
    <d v="2026-03-25T11:21:09"/>
    <d v="2026-03-24T00:21:41"/>
    <d v="2026-03-25T11:21:09"/>
    <x v="0"/>
    <n v="853"/>
    <n v="2099.4666999999999"/>
    <x v="0"/>
    <x v="168"/>
    <x v="61"/>
    <x v="6"/>
    <s v="Clinic"/>
    <s v="shiny.iype@cardioscribes.com"/>
    <x v="9"/>
    <s v="Ahmedabad"/>
    <s v="Go"/>
    <n v="72.75"/>
    <n v="99"/>
    <x v="2"/>
    <n v="1"/>
    <m/>
    <s v="Operative Report"/>
    <m/>
    <m/>
    <n v="720"/>
    <s v="No"/>
    <n v="251"/>
    <s v="Normal"/>
    <s v="Achieved"/>
    <n v="0"/>
    <m/>
    <m/>
    <m/>
    <m/>
    <x v="13"/>
    <s v="Week13"/>
    <x v="6"/>
    <x v="0"/>
    <n v="98.62542955326461"/>
    <n v="1"/>
    <n v="1"/>
    <s v="Ankit"/>
    <s v="Ankit"/>
    <s v="Ankit"/>
    <s v="Major"/>
    <s v="12830631Shiny Iype"/>
    <s v="Major"/>
    <n v="1"/>
    <x v="1"/>
    <x v="1"/>
    <n v="1"/>
    <n v="1"/>
    <x v="13"/>
    <x v="0"/>
    <x v="0"/>
    <b v="1"/>
    <s v="Others"/>
    <x v="0"/>
  </r>
  <r>
    <d v="2026-03-19T11:24:40"/>
    <d v="2026-03-19T16:54:40"/>
    <d v="2026-03-25T05:51:09"/>
    <d v="2026-03-25T11:21:09"/>
    <d v="2026-03-24T00:21:41"/>
    <d v="2026-03-25T11:21:09"/>
    <x v="0"/>
    <n v="853"/>
    <n v="2099.4666999999999"/>
    <x v="0"/>
    <x v="168"/>
    <x v="61"/>
    <x v="6"/>
    <s v="Clinic"/>
    <s v="shiny.iype@cardioscribes.com"/>
    <x v="9"/>
    <s v="Ahmedabad"/>
    <s v="Go"/>
    <n v="72.75"/>
    <n v="99"/>
    <x v="1"/>
    <n v="5"/>
    <m/>
    <s v="Operative Report"/>
    <m/>
    <m/>
    <n v="720"/>
    <s v="No"/>
    <n v="251"/>
    <s v="Normal"/>
    <s v="Achieved"/>
    <n v="0"/>
    <m/>
    <m/>
    <m/>
    <m/>
    <x v="13"/>
    <s v="Week13"/>
    <x v="6"/>
    <x v="0"/>
    <n v="98.62542955326461"/>
    <n v="0"/>
    <n v="1"/>
    <s v="Ankit"/>
    <s v="Ankit"/>
    <s v="Ankit"/>
    <s v="Minor"/>
    <s v="12830631Shiny Iype"/>
    <s v="Minor"/>
    <n v="0"/>
    <x v="1"/>
    <x v="0"/>
    <n v="1"/>
    <n v="5"/>
    <x v="13"/>
    <x v="0"/>
    <x v="0"/>
    <b v="0"/>
    <s v="Others"/>
    <x v="0"/>
  </r>
  <r>
    <d v="2026-03-19T11:39:33"/>
    <d v="2026-03-19T17:09:33"/>
    <d v="2026-03-25T06:02:53"/>
    <d v="2026-03-25T11:32:53"/>
    <d v="2026-03-24T00:21:48"/>
    <d v="2026-03-25T11:32:53"/>
    <x v="0"/>
    <n v="662"/>
    <n v="2111.0832999999998"/>
    <x v="0"/>
    <x v="169"/>
    <x v="62"/>
    <x v="12"/>
    <s v="Clinic"/>
    <s v="shiny.iype@cardioscribes.com"/>
    <x v="9"/>
    <s v="Ahmedabad"/>
    <s v="No Go"/>
    <n v="35.28"/>
    <n v="98"/>
    <x v="2"/>
    <n v="2"/>
    <m/>
    <s v="CAMG_OV"/>
    <m/>
    <m/>
    <n v="1440"/>
    <s v="No"/>
    <n v="204"/>
    <s v="Normal"/>
    <s v="Achieved"/>
    <n v="0"/>
    <m/>
    <m/>
    <m/>
    <m/>
    <x v="13"/>
    <s v="Week13"/>
    <x v="12"/>
    <x v="1"/>
    <n v="94.331065759637184"/>
    <n v="2"/>
    <n v="2"/>
    <s v="Harsh"/>
    <s v="Ankit"/>
    <s v="Ankit"/>
    <s v="Major"/>
    <s v="12830719Shiny Iype"/>
    <s v="Major"/>
    <n v="1"/>
    <x v="1"/>
    <x v="1"/>
    <n v="1"/>
    <n v="2"/>
    <x v="13"/>
    <x v="0"/>
    <x v="0"/>
    <b v="1"/>
    <s v="Top 25"/>
    <x v="0"/>
  </r>
  <r>
    <d v="2026-03-19T11:39:33"/>
    <d v="2026-03-19T17:09:33"/>
    <d v="2026-03-25T06:02:53"/>
    <d v="2026-03-25T11:32:53"/>
    <d v="2026-03-24T00:21:48"/>
    <d v="2026-03-25T11:32:53"/>
    <x v="0"/>
    <n v="662"/>
    <n v="2111.0832999999998"/>
    <x v="0"/>
    <x v="169"/>
    <x v="62"/>
    <x v="12"/>
    <s v="Clinic"/>
    <s v="shiny.iype@cardioscribes.com"/>
    <x v="9"/>
    <s v="Ahmedabad"/>
    <s v="No Go"/>
    <n v="35.28"/>
    <n v="98"/>
    <x v="1"/>
    <n v="5"/>
    <m/>
    <s v="CAMG_OV"/>
    <m/>
    <m/>
    <n v="1440"/>
    <s v="No"/>
    <n v="204"/>
    <s v="Normal"/>
    <s v="Achieved"/>
    <n v="0"/>
    <m/>
    <m/>
    <m/>
    <m/>
    <x v="13"/>
    <s v="Week13"/>
    <x v="12"/>
    <x v="1"/>
    <n v="94.331065759637184"/>
    <n v="0"/>
    <n v="2"/>
    <s v="Harsh"/>
    <s v="Ankit"/>
    <s v="Ankit"/>
    <s v="Minor"/>
    <s v="12830719Shiny Iype"/>
    <s v="Minor"/>
    <n v="0"/>
    <x v="1"/>
    <x v="0"/>
    <n v="1"/>
    <n v="5"/>
    <x v="13"/>
    <x v="0"/>
    <x v="0"/>
    <b v="0"/>
    <s v="Top 25"/>
    <x v="0"/>
  </r>
  <r>
    <d v="2026-03-19T09:16:47"/>
    <d v="2026-03-19T14:46:47"/>
    <d v="2026-03-25T06:21:22"/>
    <d v="2026-03-25T11:51:22"/>
    <d v="2026-03-24T00:21:30"/>
    <d v="2026-03-25T11:51:22"/>
    <x v="0"/>
    <n v="1082"/>
    <n v="2129.8667"/>
    <x v="0"/>
    <x v="170"/>
    <x v="60"/>
    <x v="20"/>
    <s v="Clinic"/>
    <s v="jobs4savitha@gmail.com"/>
    <x v="5"/>
    <s v="Trivandrum"/>
    <s v="Go"/>
    <n v="33.520000000000003"/>
    <n v="99"/>
    <x v="2"/>
    <n v="1"/>
    <m/>
    <s v="Clinic Template (OHH)"/>
    <m/>
    <m/>
    <n v="1440"/>
    <s v="No"/>
    <n v="188"/>
    <s v="Normal"/>
    <s v="Achieved"/>
    <n v="0"/>
    <m/>
    <m/>
    <m/>
    <m/>
    <x v="13"/>
    <s v="Week13"/>
    <x v="20"/>
    <x v="1"/>
    <n v="97.016706443914074"/>
    <n v="1"/>
    <n v="1"/>
    <s v="Aneesh"/>
    <s v="Aneesh"/>
    <s v="Aneesh"/>
    <s v="Major"/>
    <s v="12830608Savitha Arun"/>
    <s v="Major"/>
    <n v="1"/>
    <x v="0"/>
    <x v="1"/>
    <n v="1"/>
    <n v="1"/>
    <x v="4"/>
    <x v="1"/>
    <x v="1"/>
    <b v="1"/>
    <s v="Top 25"/>
    <x v="3"/>
  </r>
  <r>
    <d v="2026-03-19T09:16:47"/>
    <d v="2026-03-19T14:46:47"/>
    <d v="2026-03-25T06:21:22"/>
    <d v="2026-03-25T11:51:22"/>
    <d v="2026-03-24T00:21:30"/>
    <d v="2026-03-25T11:51:22"/>
    <x v="0"/>
    <n v="1082"/>
    <n v="2129.8667"/>
    <x v="0"/>
    <x v="170"/>
    <x v="60"/>
    <x v="20"/>
    <s v="Clinic"/>
    <s v="jobs4savitha@gmail.com"/>
    <x v="5"/>
    <s v="Trivandrum"/>
    <s v="Go"/>
    <n v="33.520000000000003"/>
    <n v="99"/>
    <x v="1"/>
    <n v="5"/>
    <m/>
    <s v="Clinic Template (OHH)"/>
    <m/>
    <m/>
    <n v="1440"/>
    <s v="No"/>
    <n v="188"/>
    <s v="Normal"/>
    <s v="Achieved"/>
    <n v="0"/>
    <m/>
    <m/>
    <m/>
    <m/>
    <x v="13"/>
    <s v="Week13"/>
    <x v="20"/>
    <x v="1"/>
    <n v="97.016706443914074"/>
    <n v="0"/>
    <n v="1"/>
    <s v="Aneesh"/>
    <s v="Aneesh"/>
    <s v="Aneesh"/>
    <s v="Minor"/>
    <s v="12830608Savitha Arun"/>
    <s v="Minor"/>
    <n v="0"/>
    <x v="0"/>
    <x v="0"/>
    <n v="1"/>
    <n v="5"/>
    <x v="4"/>
    <x v="1"/>
    <x v="1"/>
    <b v="0"/>
    <s v="Top 25"/>
    <x v="3"/>
  </r>
  <r>
    <d v="2026-03-17T17:32:06"/>
    <d v="2026-03-17T23:02:06"/>
    <d v="2026-03-25T07:43:11"/>
    <d v="2026-03-25T13:13:11"/>
    <d v="2026-03-22T09:50:32"/>
    <d v="2026-03-25T13:13:11"/>
    <x v="0"/>
    <n v="383"/>
    <n v="4522.6499999999996"/>
    <x v="0"/>
    <x v="171"/>
    <x v="36"/>
    <x v="12"/>
    <s v="Clinic"/>
    <s v="Tejasahm@gmail.com"/>
    <x v="7"/>
    <s v="Ahmedabad"/>
    <s v="Go"/>
    <n v="71.42"/>
    <n v="100"/>
    <x v="1"/>
    <n v="1"/>
    <m/>
    <s v="CAMG_OV"/>
    <m/>
    <m/>
    <n v="1440"/>
    <s v="No"/>
    <n v="250"/>
    <s v="Normal"/>
    <s v="Achieved"/>
    <n v="0"/>
    <m/>
    <m/>
    <m/>
    <m/>
    <x v="13"/>
    <s v="Week13"/>
    <x v="12"/>
    <x v="0"/>
    <n v="100"/>
    <n v="0"/>
    <n v="0"/>
    <s v="Harsh"/>
    <s v="Ankit"/>
    <s v="Ankit"/>
    <s v="Minor"/>
    <s v="12830009Tejas Patel"/>
    <s v="Minor"/>
    <n v="0"/>
    <x v="1"/>
    <x v="0"/>
    <n v="1"/>
    <n v="1"/>
    <x v="8"/>
    <x v="0"/>
    <x v="0"/>
    <b v="0"/>
    <s v="Top 25"/>
    <x v="5"/>
  </r>
  <r>
    <d v="2026-03-19T17:26:35"/>
    <d v="2026-03-19T22:56:35"/>
    <d v="2026-03-25T08:05:32"/>
    <d v="2026-03-25T13:35:32"/>
    <d v="2026-03-24T00:21:54"/>
    <d v="2026-03-25T13:35:32"/>
    <x v="0"/>
    <n v="451"/>
    <n v="2233.6333"/>
    <x v="0"/>
    <x v="172"/>
    <x v="36"/>
    <x v="12"/>
    <s v="Clinic"/>
    <s v="shiny.iype@cardioscribes.com"/>
    <x v="9"/>
    <s v="Ahmedabad"/>
    <s v="Go"/>
    <n v="50.68"/>
    <n v="100"/>
    <x v="1"/>
    <n v="4"/>
    <m/>
    <s v="CAMG_OV"/>
    <m/>
    <m/>
    <n v="1440"/>
    <s v="No"/>
    <n v="208"/>
    <s v="Normal"/>
    <s v="Achieved"/>
    <n v="0"/>
    <m/>
    <m/>
    <m/>
    <m/>
    <x v="13"/>
    <s v="Week13"/>
    <x v="12"/>
    <x v="0"/>
    <n v="100"/>
    <n v="0"/>
    <n v="0"/>
    <s v="Harsh"/>
    <s v="Ankit"/>
    <s v="Ankit"/>
    <s v="Minor"/>
    <s v="12830888Shiny Iype"/>
    <s v="Minor"/>
    <n v="0"/>
    <x v="1"/>
    <x v="0"/>
    <n v="1"/>
    <n v="4"/>
    <x v="13"/>
    <x v="0"/>
    <x v="0"/>
    <b v="0"/>
    <s v="Top 25"/>
    <x v="0"/>
  </r>
  <r>
    <d v="2026-03-19T17:27:17"/>
    <d v="2026-03-19T22:57:17"/>
    <d v="2026-03-25T08:11:00"/>
    <d v="2026-03-25T13:41:00"/>
    <d v="2026-03-24T00:22:00"/>
    <d v="2026-03-25T13:41:00"/>
    <x v="0"/>
    <n v="303"/>
    <n v="2239"/>
    <x v="0"/>
    <x v="173"/>
    <x v="36"/>
    <x v="12"/>
    <s v="Clinic"/>
    <s v="PratheepKumar.a@cardioscribes.com"/>
    <x v="6"/>
    <s v="Chennai"/>
    <s v="Go"/>
    <n v="57.29"/>
    <n v="100"/>
    <x v="1"/>
    <n v="1"/>
    <m/>
    <s v="CAMG_OV"/>
    <m/>
    <m/>
    <n v="1440"/>
    <s v="No"/>
    <n v="201"/>
    <s v="Normal"/>
    <s v="Achieved"/>
    <n v="0"/>
    <m/>
    <m/>
    <m/>
    <m/>
    <x v="13"/>
    <s v="Week13"/>
    <x v="12"/>
    <x v="0"/>
    <n v="100"/>
    <n v="0"/>
    <n v="0"/>
    <s v="Harsh"/>
    <s v="Aneesh"/>
    <s v="Aneesh"/>
    <s v="Minor"/>
    <s v="12830884Pratheep Kumar"/>
    <s v="Minor"/>
    <n v="0"/>
    <x v="0"/>
    <x v="0"/>
    <n v="1"/>
    <n v="1"/>
    <x v="6"/>
    <x v="0"/>
    <x v="0"/>
    <b v="0"/>
    <s v="Top 25"/>
    <x v="4"/>
  </r>
  <r>
    <d v="2026-03-19T17:27:49"/>
    <d v="2026-03-19T22:57:49"/>
    <d v="2026-03-25T08:19:05"/>
    <d v="2026-03-25T13:49:05"/>
    <d v="2026-03-24T00:22:16"/>
    <d v="2026-03-25T13:49:05"/>
    <x v="0"/>
    <n v="475"/>
    <n v="2246.8166999999999"/>
    <x v="0"/>
    <x v="174"/>
    <x v="36"/>
    <x v="12"/>
    <s v="Clinic"/>
    <s v="PratheepKumar.a@cardioscribes.com"/>
    <x v="6"/>
    <s v="Chennai"/>
    <s v="Go"/>
    <n v="53.35"/>
    <n v="99"/>
    <x v="6"/>
    <n v="1"/>
    <m/>
    <s v="CAMG_OV"/>
    <m/>
    <m/>
    <n v="1440"/>
    <s v="No"/>
    <n v="196"/>
    <s v="Normal"/>
    <s v="Null"/>
    <n v="0"/>
    <m/>
    <m/>
    <m/>
    <m/>
    <x v="13"/>
    <s v="Week13"/>
    <x v="12"/>
    <x v="1"/>
    <n v="98.125585754451734"/>
    <n v="1"/>
    <n v="1"/>
    <s v="Harsh"/>
    <s v="Aneesh"/>
    <s v="Aneesh"/>
    <s v="Major"/>
    <s v="12830880Pratheep Kumar"/>
    <s v="Major"/>
    <n v="1"/>
    <x v="0"/>
    <x v="1"/>
    <n v="1"/>
    <n v="1"/>
    <x v="6"/>
    <x v="0"/>
    <x v="0"/>
    <b v="1"/>
    <s v="Top 25"/>
    <x v="4"/>
  </r>
  <r>
    <d v="2026-03-19T17:27:49"/>
    <d v="2026-03-19T22:57:49"/>
    <d v="2026-03-25T08:19:05"/>
    <d v="2026-03-25T13:49:05"/>
    <d v="2026-03-24T00:22:16"/>
    <d v="2026-03-25T13:49:05"/>
    <x v="0"/>
    <n v="475"/>
    <n v="2246.8166999999999"/>
    <x v="0"/>
    <x v="174"/>
    <x v="36"/>
    <x v="12"/>
    <s v="Clinic"/>
    <s v="PratheepKumar.a@cardioscribes.com"/>
    <x v="6"/>
    <s v="Chennai"/>
    <s v="Go"/>
    <n v="53.35"/>
    <n v="99"/>
    <x v="1"/>
    <n v="1"/>
    <m/>
    <s v="CAMG_OV"/>
    <m/>
    <m/>
    <n v="1440"/>
    <s v="No"/>
    <n v="196"/>
    <s v="Normal"/>
    <s v="Null"/>
    <n v="0"/>
    <m/>
    <m/>
    <m/>
    <m/>
    <x v="13"/>
    <s v="Week13"/>
    <x v="12"/>
    <x v="1"/>
    <n v="98.125585754451734"/>
    <n v="0"/>
    <n v="1"/>
    <s v="Harsh"/>
    <s v="Aneesh"/>
    <s v="Aneesh"/>
    <s v="Minor"/>
    <s v="12830880Pratheep Kumar"/>
    <s v="Minor"/>
    <n v="0"/>
    <x v="0"/>
    <x v="0"/>
    <n v="1"/>
    <n v="1"/>
    <x v="6"/>
    <x v="0"/>
    <x v="0"/>
    <b v="0"/>
    <s v="Top 25"/>
    <x v="4"/>
  </r>
  <r>
    <d v="2026-03-20T09:07:09"/>
    <d v="2026-03-20T14:37:09"/>
    <d v="2026-03-25T17:27:35"/>
    <d v="2026-03-25T22:57:35"/>
    <d v="2026-03-25T21:51:51"/>
    <d v="2026-03-25T22:57:35"/>
    <x v="0"/>
    <n v="79"/>
    <n v="65.7333"/>
    <x v="0"/>
    <x v="175"/>
    <x v="63"/>
    <x v="21"/>
    <s v="Clinic"/>
    <s v="jobs4savitha@gmail.com"/>
    <x v="5"/>
    <s v="Trivandrum"/>
    <s v="Go"/>
    <n v="9.1999999999999993"/>
    <n v="100"/>
    <x v="0"/>
    <n v="0"/>
    <m/>
    <s v="Clinic Patient Note"/>
    <m/>
    <m/>
    <n v="1440"/>
    <s v="No"/>
    <n v="56"/>
    <s v="Normal"/>
    <s v="Achieved"/>
    <n v="0"/>
    <m/>
    <m/>
    <m/>
    <m/>
    <x v="13"/>
    <s v="Week13"/>
    <x v="21"/>
    <x v="0"/>
    <n v="100"/>
    <n v="0"/>
    <n v="0"/>
    <s v="Aneesh"/>
    <s v="Aneesh"/>
    <s v="Aneesh"/>
    <s v=""/>
    <s v="12831012Savitha Arun"/>
    <s v=""/>
    <s v=""/>
    <x v="0"/>
    <x v="0"/>
    <s v=""/>
    <n v="0"/>
    <x v="5"/>
    <x v="1"/>
    <x v="0"/>
    <b v="0"/>
    <s v="Others"/>
    <x v="3"/>
  </r>
  <r>
    <d v="2026-03-17T19:22:43"/>
    <d v="2026-03-18T00:52:43"/>
    <d v="2026-03-25T17:51:38"/>
    <d v="2026-03-25T23:21:38"/>
    <d v="2026-03-25T08:03:39"/>
    <d v="2026-03-25T23:21:38"/>
    <x v="0"/>
    <n v="6358"/>
    <n v="917.98329999999999"/>
    <x v="0"/>
    <x v="176"/>
    <x v="22"/>
    <x v="8"/>
    <s v="Clinic"/>
    <s v="sivasankari.a@cardioscribes.com"/>
    <x v="3"/>
    <s v="Chennai"/>
    <s v="Go"/>
    <n v="127.92"/>
    <n v="100"/>
    <x v="0"/>
    <n v="0"/>
    <m/>
    <s v="Integrated Care Unit_Progress Note_3"/>
    <m/>
    <m/>
    <n v="1440"/>
    <s v="No"/>
    <n v="1431"/>
    <s v="Normal"/>
    <s v="Achieved"/>
    <n v="0"/>
    <m/>
    <m/>
    <m/>
    <m/>
    <x v="13"/>
    <s v="Week13"/>
    <x v="8"/>
    <x v="0"/>
    <n v="100"/>
    <n v="0"/>
    <n v="0"/>
    <s v="Aneesh"/>
    <s v="Aneesh"/>
    <s v="Aneesh"/>
    <s v=""/>
    <s v="12829934Sivasankari A"/>
    <s v=""/>
    <s v=""/>
    <x v="0"/>
    <x v="0"/>
    <s v=""/>
    <n v="0"/>
    <x v="5"/>
    <x v="0"/>
    <x v="0"/>
    <b v="0"/>
    <s v="Top 25"/>
    <x v="1"/>
  </r>
  <r>
    <d v="2026-03-19T17:22:18"/>
    <d v="2026-03-19T22:52:18"/>
    <d v="2026-03-25T18:12:58"/>
    <d v="2026-03-25T23:42:58"/>
    <d v="2026-03-25T08:03:56"/>
    <d v="2026-03-25T23:42:58"/>
    <x v="0"/>
    <n v="1262"/>
    <n v="939.03330000000005"/>
    <x v="0"/>
    <x v="177"/>
    <x v="22"/>
    <x v="8"/>
    <s v="Clinic"/>
    <s v="sivasankari.a@cardioscribes.com"/>
    <x v="3"/>
    <s v="Chennai"/>
    <s v="Go"/>
    <n v="137.66"/>
    <n v="100"/>
    <x v="0"/>
    <n v="0"/>
    <m/>
    <s v="Integrated Care Unit_Progress Note_3"/>
    <m/>
    <m/>
    <n v="1440"/>
    <s v="No"/>
    <n v="1078"/>
    <s v="Normal"/>
    <s v="Achieved"/>
    <n v="0"/>
    <m/>
    <m/>
    <m/>
    <m/>
    <x v="13"/>
    <s v="Week13"/>
    <x v="8"/>
    <x v="0"/>
    <n v="100"/>
    <n v="0"/>
    <n v="0"/>
    <s v="Aneesh"/>
    <s v="Aneesh"/>
    <s v="Aneesh"/>
    <s v=""/>
    <s v="12830754Sivasankari A"/>
    <s v=""/>
    <s v=""/>
    <x v="0"/>
    <x v="0"/>
    <s v=""/>
    <n v="0"/>
    <x v="5"/>
    <x v="0"/>
    <x v="0"/>
    <b v="0"/>
    <s v="Top 25"/>
    <x v="1"/>
  </r>
  <r>
    <d v="2026-03-19T15:58:55"/>
    <d v="2026-03-19T21:28:55"/>
    <d v="2026-03-25T18:19:22"/>
    <d v="2026-03-25T23:49:22"/>
    <d v="2026-03-25T21:51:17"/>
    <d v="2026-03-25T23:49:22"/>
    <x v="0"/>
    <n v="360"/>
    <n v="118.08329999999999"/>
    <x v="0"/>
    <x v="178"/>
    <x v="25"/>
    <x v="8"/>
    <s v="Clinic"/>
    <s v="sivasankari.a@cardioscribes.com"/>
    <x v="3"/>
    <s v="Chennai"/>
    <s v="Go"/>
    <n v="87.94"/>
    <n v="100"/>
    <x v="0"/>
    <n v="0"/>
    <m/>
    <s v="Cost Center CAS ICARE"/>
    <m/>
    <m/>
    <n v="1440"/>
    <s v="No"/>
    <n v="326"/>
    <s v="Normal"/>
    <s v="Achieved"/>
    <n v="0"/>
    <m/>
    <m/>
    <m/>
    <m/>
    <x v="13"/>
    <s v="Week13"/>
    <x v="8"/>
    <x v="0"/>
    <n v="100"/>
    <n v="0"/>
    <n v="0"/>
    <s v="Aneesh"/>
    <s v="Aneesh"/>
    <s v="Aneesh"/>
    <s v=""/>
    <s v="12830739Sivasankari A"/>
    <s v=""/>
    <s v=""/>
    <x v="0"/>
    <x v="0"/>
    <s v=""/>
    <n v="0"/>
    <x v="5"/>
    <x v="0"/>
    <x v="0"/>
    <b v="0"/>
    <s v="Top 25"/>
    <x v="1"/>
  </r>
  <r>
    <d v="2026-03-19T15:49:53"/>
    <d v="2026-03-19T21:19:53"/>
    <d v="2026-03-25T18:31:17"/>
    <d v="2026-03-26T00:01:17"/>
    <d v="2026-03-25T08:03:49"/>
    <d v="2026-03-26T00:01:17"/>
    <x v="0"/>
    <n v="703"/>
    <n v="957.46669999999995"/>
    <x v="0"/>
    <x v="179"/>
    <x v="25"/>
    <x v="8"/>
    <s v="Clinic"/>
    <s v="sivasankari.a@cardioscribes.com"/>
    <x v="3"/>
    <s v="Chennai"/>
    <s v="Go"/>
    <n v="117.06"/>
    <n v="100"/>
    <x v="0"/>
    <n v="0"/>
    <m/>
    <s v="Cost Center CAS ICARE"/>
    <m/>
    <m/>
    <n v="1440"/>
    <s v="No"/>
    <n v="556"/>
    <s v="Normal"/>
    <s v="Achieved"/>
    <n v="0"/>
    <m/>
    <m/>
    <m/>
    <m/>
    <x v="14"/>
    <s v="Week13"/>
    <x v="8"/>
    <x v="0"/>
    <n v="100"/>
    <n v="0"/>
    <n v="0"/>
    <s v="Aneesh"/>
    <s v="Aneesh"/>
    <s v="Aneesh"/>
    <s v=""/>
    <s v="12830737Sivasankari A"/>
    <s v=""/>
    <s v=""/>
    <x v="0"/>
    <x v="0"/>
    <s v=""/>
    <n v="0"/>
    <x v="5"/>
    <x v="0"/>
    <x v="0"/>
    <b v="0"/>
    <s v="Top 25"/>
    <x v="1"/>
  </r>
  <r>
    <d v="2026-03-19T18:45:30"/>
    <d v="2026-03-20T00:15:30"/>
    <d v="2026-03-26T04:30:41"/>
    <d v="2026-03-26T10:00:41"/>
    <d v="2026-03-25T21:51:32"/>
    <d v="2026-03-26T10:00:41"/>
    <x v="0"/>
    <n v="400"/>
    <n v="729.15"/>
    <x v="0"/>
    <x v="180"/>
    <x v="47"/>
    <x v="12"/>
    <s v="Clinic"/>
    <s v="Tejasahm@gmail.com"/>
    <x v="7"/>
    <s v="Ahmedabad"/>
    <s v="Go"/>
    <n v="40.68"/>
    <n v="100"/>
    <x v="1"/>
    <n v="4"/>
    <m/>
    <s v="CAMG_OV"/>
    <m/>
    <m/>
    <n v="1440"/>
    <s v="No"/>
    <n v="218"/>
    <s v="Normal"/>
    <s v="Achieved"/>
    <n v="0"/>
    <m/>
    <m/>
    <m/>
    <m/>
    <x v="14"/>
    <s v="Week13"/>
    <x v="12"/>
    <x v="0"/>
    <n v="100"/>
    <n v="0"/>
    <n v="0"/>
    <s v="Harsh"/>
    <s v="Ankit"/>
    <s v="Ankit"/>
    <s v="Minor"/>
    <s v="12830905Tejas Patel"/>
    <s v="Minor"/>
    <n v="0"/>
    <x v="1"/>
    <x v="0"/>
    <n v="1"/>
    <n v="4"/>
    <x v="8"/>
    <x v="0"/>
    <x v="0"/>
    <b v="0"/>
    <s v="Top 25"/>
    <x v="5"/>
  </r>
  <r>
    <d v="2026-03-20T08:42:20"/>
    <d v="2026-03-20T14:12:20"/>
    <d v="2026-03-26T04:47:05"/>
    <d v="2026-03-26T10:17:05"/>
    <d v="2026-03-25T08:04:08"/>
    <d v="2026-03-26T10:17:05"/>
    <x v="0"/>
    <n v="1131"/>
    <n v="1572.95"/>
    <x v="0"/>
    <x v="181"/>
    <x v="64"/>
    <x v="3"/>
    <s v="JankusOrtho"/>
    <s v="Tejasahm@gmail.com"/>
    <x v="7"/>
    <s v="Ahmedabad"/>
    <s v="No Go"/>
    <n v="144.28"/>
    <n v="98"/>
    <x v="2"/>
    <n v="1"/>
    <m/>
    <s v="Dr Jankus Ortho"/>
    <m/>
    <m/>
    <n v="1440"/>
    <s v="No"/>
    <n v="623"/>
    <s v="Normal"/>
    <s v="Achieved"/>
    <n v="0"/>
    <m/>
    <m/>
    <m/>
    <m/>
    <x v="14"/>
    <s v="Week13"/>
    <x v="3"/>
    <x v="0"/>
    <n v="98.613806487385645"/>
    <n v="1"/>
    <n v="2"/>
    <s v="Harsh"/>
    <s v="Ankit"/>
    <s v="Ankit"/>
    <s v="Major"/>
    <s v="12831005Tejas Patel"/>
    <s v="Major"/>
    <n v="1"/>
    <x v="1"/>
    <x v="1"/>
    <n v="1"/>
    <n v="1"/>
    <x v="8"/>
    <x v="0"/>
    <x v="0"/>
    <b v="1"/>
    <s v="Top 25"/>
    <x v="5"/>
  </r>
  <r>
    <d v="2026-03-20T08:42:20"/>
    <d v="2026-03-20T14:12:20"/>
    <d v="2026-03-26T04:47:05"/>
    <d v="2026-03-26T10:17:05"/>
    <d v="2026-03-25T08:04:08"/>
    <d v="2026-03-26T10:17:05"/>
    <x v="0"/>
    <n v="1131"/>
    <n v="1572.95"/>
    <x v="0"/>
    <x v="181"/>
    <x v="64"/>
    <x v="3"/>
    <s v="JankusOrtho"/>
    <s v="Tejasahm@gmail.com"/>
    <x v="7"/>
    <s v="Ahmedabad"/>
    <s v="No Go"/>
    <n v="144.28"/>
    <n v="98"/>
    <x v="4"/>
    <n v="1"/>
    <m/>
    <s v="Dr Jankus Ortho"/>
    <m/>
    <m/>
    <n v="1440"/>
    <s v="No"/>
    <n v="623"/>
    <s v="Normal"/>
    <s v="Achieved"/>
    <n v="0"/>
    <m/>
    <m/>
    <m/>
    <m/>
    <x v="14"/>
    <s v="Week13"/>
    <x v="3"/>
    <x v="0"/>
    <n v="98.613806487385645"/>
    <n v="1"/>
    <n v="2"/>
    <s v="Harsh"/>
    <s v="Ankit"/>
    <s v="Ankit"/>
    <s v="Major"/>
    <s v="12831005Tejas Patel"/>
    <s v="Major"/>
    <n v="1"/>
    <x v="1"/>
    <x v="1"/>
    <n v="1"/>
    <n v="1"/>
    <x v="8"/>
    <x v="0"/>
    <x v="0"/>
    <b v="1"/>
    <s v="Top 25"/>
    <x v="5"/>
  </r>
  <r>
    <d v="2026-03-20T08:42:20"/>
    <d v="2026-03-20T14:12:20"/>
    <d v="2026-03-26T04:47:05"/>
    <d v="2026-03-26T10:17:05"/>
    <d v="2026-03-25T08:04:08"/>
    <d v="2026-03-26T10:17:05"/>
    <x v="0"/>
    <n v="1131"/>
    <n v="1572.95"/>
    <x v="0"/>
    <x v="181"/>
    <x v="64"/>
    <x v="3"/>
    <s v="JankusOrtho"/>
    <s v="Tejasahm@gmail.com"/>
    <x v="7"/>
    <s v="Ahmedabad"/>
    <s v="No Go"/>
    <n v="144.28"/>
    <n v="98"/>
    <x v="1"/>
    <n v="5"/>
    <m/>
    <s v="Dr Jankus Ortho"/>
    <m/>
    <m/>
    <n v="1440"/>
    <s v="No"/>
    <n v="623"/>
    <s v="Normal"/>
    <s v="Achieved"/>
    <n v="0"/>
    <m/>
    <m/>
    <m/>
    <m/>
    <x v="14"/>
    <s v="Week13"/>
    <x v="3"/>
    <x v="0"/>
    <n v="98.613806487385645"/>
    <n v="0"/>
    <n v="2"/>
    <s v="Harsh"/>
    <s v="Ankit"/>
    <s v="Ankit"/>
    <s v="Minor"/>
    <s v="12831005Tejas Patel"/>
    <s v="Minor"/>
    <n v="0"/>
    <x v="1"/>
    <x v="0"/>
    <n v="1"/>
    <n v="5"/>
    <x v="8"/>
    <x v="0"/>
    <x v="0"/>
    <b v="0"/>
    <s v="Top 25"/>
    <x v="5"/>
  </r>
  <r>
    <d v="2026-03-22T14:33:51"/>
    <d v="2026-03-22T20:03:51"/>
    <d v="2026-03-26T05:12:01"/>
    <d v="2026-03-26T10:42:01"/>
    <d v="2026-03-25T08:04:34"/>
    <d v="2026-03-26T10:42:01"/>
    <x v="0"/>
    <n v="1482"/>
    <n v="1597.45"/>
    <x v="0"/>
    <x v="182"/>
    <x v="55"/>
    <x v="17"/>
    <s v="Clinic"/>
    <s v="Tejasahm@gmail.com"/>
    <x v="7"/>
    <s v="Ahmedabad"/>
    <s v="No Go"/>
    <n v="102.6"/>
    <n v="95"/>
    <x v="2"/>
    <n v="3"/>
    <m/>
    <s v="Independent Medical Examination"/>
    <m/>
    <m/>
    <n v="1440"/>
    <s v="No"/>
    <n v="791"/>
    <s v="Normal"/>
    <s v="Achieved"/>
    <n v="0"/>
    <m/>
    <m/>
    <m/>
    <m/>
    <x v="14"/>
    <s v="Week13"/>
    <x v="17"/>
    <x v="1"/>
    <n v="95.126705653021446"/>
    <n v="3"/>
    <n v="5"/>
    <s v="Harsh"/>
    <s v="Ankit"/>
    <s v="Ankit"/>
    <s v="Major"/>
    <s v="12831391Tejas Patel"/>
    <s v="Major"/>
    <n v="1"/>
    <x v="1"/>
    <x v="1"/>
    <n v="1"/>
    <n v="3"/>
    <x v="8"/>
    <x v="0"/>
    <x v="2"/>
    <b v="1"/>
    <s v="Others"/>
    <x v="5"/>
  </r>
  <r>
    <d v="2026-03-22T14:33:51"/>
    <d v="2026-03-22T20:03:51"/>
    <d v="2026-03-26T05:12:01"/>
    <d v="2026-03-26T10:42:01"/>
    <d v="2026-03-25T08:04:34"/>
    <d v="2026-03-26T10:42:01"/>
    <x v="0"/>
    <n v="1482"/>
    <n v="1597.45"/>
    <x v="0"/>
    <x v="182"/>
    <x v="55"/>
    <x v="17"/>
    <s v="Clinic"/>
    <s v="Tejasahm@gmail.com"/>
    <x v="7"/>
    <s v="Ahmedabad"/>
    <s v="No Go"/>
    <n v="102.6"/>
    <n v="95"/>
    <x v="4"/>
    <n v="1"/>
    <m/>
    <s v="Independent Medical Examination"/>
    <m/>
    <m/>
    <n v="1440"/>
    <s v="No"/>
    <n v="791"/>
    <s v="Normal"/>
    <s v="Achieved"/>
    <n v="0"/>
    <m/>
    <m/>
    <m/>
    <m/>
    <x v="14"/>
    <s v="Week13"/>
    <x v="17"/>
    <x v="1"/>
    <n v="95.126705653021446"/>
    <n v="1"/>
    <n v="5"/>
    <s v="Harsh"/>
    <s v="Ankit"/>
    <s v="Ankit"/>
    <s v="Major"/>
    <s v="12831391Tejas Patel"/>
    <s v="Major"/>
    <n v="1"/>
    <x v="1"/>
    <x v="1"/>
    <n v="1"/>
    <n v="1"/>
    <x v="8"/>
    <x v="0"/>
    <x v="2"/>
    <b v="1"/>
    <s v="Others"/>
    <x v="5"/>
  </r>
  <r>
    <d v="2026-03-22T14:33:51"/>
    <d v="2026-03-22T20:03:51"/>
    <d v="2026-03-26T05:12:01"/>
    <d v="2026-03-26T10:42:01"/>
    <d v="2026-03-25T08:04:34"/>
    <d v="2026-03-26T10:42:01"/>
    <x v="0"/>
    <n v="1482"/>
    <n v="1597.45"/>
    <x v="0"/>
    <x v="182"/>
    <x v="55"/>
    <x v="17"/>
    <s v="Clinic"/>
    <s v="Tejasahm@gmail.com"/>
    <x v="7"/>
    <s v="Ahmedabad"/>
    <s v="No Go"/>
    <n v="102.6"/>
    <n v="95"/>
    <x v="6"/>
    <n v="1"/>
    <m/>
    <s v="Independent Medical Examination"/>
    <m/>
    <m/>
    <n v="1440"/>
    <s v="No"/>
    <n v="791"/>
    <s v="Normal"/>
    <s v="Achieved"/>
    <n v="0"/>
    <m/>
    <m/>
    <m/>
    <m/>
    <x v="14"/>
    <s v="Week13"/>
    <x v="17"/>
    <x v="1"/>
    <n v="95.126705653021446"/>
    <n v="1"/>
    <n v="5"/>
    <s v="Harsh"/>
    <s v="Ankit"/>
    <s v="Ankit"/>
    <s v="Major"/>
    <s v="12831391Tejas Patel"/>
    <s v="Major"/>
    <n v="1"/>
    <x v="1"/>
    <x v="1"/>
    <n v="1"/>
    <n v="1"/>
    <x v="8"/>
    <x v="0"/>
    <x v="2"/>
    <b v="1"/>
    <s v="Others"/>
    <x v="5"/>
  </r>
  <r>
    <d v="2026-03-22T14:33:51"/>
    <d v="2026-03-22T20:03:51"/>
    <d v="2026-03-26T05:12:01"/>
    <d v="2026-03-26T10:42:01"/>
    <d v="2026-03-25T08:04:34"/>
    <d v="2026-03-26T10:42:01"/>
    <x v="0"/>
    <n v="1482"/>
    <n v="1597.45"/>
    <x v="0"/>
    <x v="182"/>
    <x v="55"/>
    <x v="17"/>
    <s v="Clinic"/>
    <s v="Tejasahm@gmail.com"/>
    <x v="7"/>
    <s v="Ahmedabad"/>
    <s v="No Go"/>
    <n v="102.6"/>
    <n v="95"/>
    <x v="1"/>
    <n v="7"/>
    <m/>
    <s v="Independent Medical Examination"/>
    <m/>
    <m/>
    <n v="1440"/>
    <s v="No"/>
    <n v="791"/>
    <s v="Normal"/>
    <s v="Achieved"/>
    <n v="0"/>
    <m/>
    <m/>
    <m/>
    <m/>
    <x v="14"/>
    <s v="Week13"/>
    <x v="17"/>
    <x v="1"/>
    <n v="95.126705653021446"/>
    <n v="0"/>
    <n v="5"/>
    <s v="Harsh"/>
    <s v="Ankit"/>
    <s v="Ankit"/>
    <s v="Minor"/>
    <s v="12831391Tejas Patel"/>
    <s v="Minor"/>
    <n v="0"/>
    <x v="1"/>
    <x v="0"/>
    <n v="1"/>
    <n v="7"/>
    <x v="8"/>
    <x v="0"/>
    <x v="2"/>
    <b v="0"/>
    <s v="Others"/>
    <x v="5"/>
  </r>
  <r>
    <d v="2026-03-19T20:25:49"/>
    <d v="2026-03-20T01:55:49"/>
    <d v="2026-03-26T18:10:20"/>
    <d v="2026-03-26T23:40:20"/>
    <d v="2026-03-26T10:43:13"/>
    <d v="2026-03-26T23:40:20"/>
    <x v="0"/>
    <n v="331"/>
    <n v="777.11670000000004"/>
    <x v="0"/>
    <x v="183"/>
    <x v="58"/>
    <x v="19"/>
    <s v="Clinic"/>
    <s v="shiny.iype@cardioscribes.com"/>
    <x v="9"/>
    <s v="Ahmedabad"/>
    <s v="No Go"/>
    <n v="30.03"/>
    <n v="97"/>
    <x v="2"/>
    <n v="1"/>
    <m/>
    <s v="Office Visits"/>
    <m/>
    <m/>
    <n v="1440"/>
    <s v="No"/>
    <n v="195"/>
    <s v="Normal"/>
    <s v="Achieved"/>
    <n v="0"/>
    <m/>
    <m/>
    <m/>
    <m/>
    <x v="14"/>
    <s v="Week13"/>
    <x v="19"/>
    <x v="1"/>
    <n v="90.009990009990005"/>
    <n v="1"/>
    <n v="3"/>
    <s v="Ankit"/>
    <s v="Ankit"/>
    <s v="Ankit"/>
    <s v="Major"/>
    <s v="12830864Shiny Iype"/>
    <s v="Major"/>
    <n v="1"/>
    <x v="1"/>
    <x v="1"/>
    <n v="1"/>
    <n v="1"/>
    <x v="13"/>
    <x v="0"/>
    <x v="0"/>
    <b v="1"/>
    <s v="Others"/>
    <x v="0"/>
  </r>
  <r>
    <d v="2026-03-19T20:25:49"/>
    <d v="2026-03-20T01:55:49"/>
    <d v="2026-03-26T18:10:20"/>
    <d v="2026-03-26T23:40:20"/>
    <d v="2026-03-26T10:43:13"/>
    <d v="2026-03-26T23:40:20"/>
    <x v="0"/>
    <n v="331"/>
    <n v="777.11670000000004"/>
    <x v="0"/>
    <x v="183"/>
    <x v="58"/>
    <x v="19"/>
    <s v="Clinic"/>
    <s v="shiny.iype@cardioscribes.com"/>
    <x v="9"/>
    <s v="Ahmedabad"/>
    <s v="No Go"/>
    <n v="30.03"/>
    <n v="97"/>
    <x v="6"/>
    <n v="1"/>
    <m/>
    <s v="Office Visits"/>
    <m/>
    <m/>
    <n v="1440"/>
    <s v="No"/>
    <n v="195"/>
    <s v="Normal"/>
    <s v="Achieved"/>
    <n v="0"/>
    <m/>
    <m/>
    <m/>
    <m/>
    <x v="14"/>
    <s v="Week13"/>
    <x v="19"/>
    <x v="1"/>
    <n v="90.009990009990005"/>
    <n v="1"/>
    <n v="3"/>
    <s v="Ankit"/>
    <s v="Ankit"/>
    <s v="Ankit"/>
    <s v="Major"/>
    <s v="12830864Shiny Iype"/>
    <s v="Major"/>
    <n v="1"/>
    <x v="1"/>
    <x v="1"/>
    <n v="1"/>
    <n v="1"/>
    <x v="13"/>
    <x v="0"/>
    <x v="0"/>
    <b v="1"/>
    <s v="Others"/>
    <x v="0"/>
  </r>
  <r>
    <d v="2026-03-19T20:25:49"/>
    <d v="2026-03-20T01:55:49"/>
    <d v="2026-03-26T18:10:20"/>
    <d v="2026-03-26T23:40:20"/>
    <d v="2026-03-26T10:43:13"/>
    <d v="2026-03-26T23:40:20"/>
    <x v="0"/>
    <n v="331"/>
    <n v="777.11670000000004"/>
    <x v="0"/>
    <x v="183"/>
    <x v="58"/>
    <x v="19"/>
    <s v="Clinic"/>
    <s v="shiny.iype@cardioscribes.com"/>
    <x v="9"/>
    <s v="Ahmedabad"/>
    <s v="No Go"/>
    <n v="30.03"/>
    <n v="97"/>
    <x v="5"/>
    <n v="1"/>
    <m/>
    <s v="Office Visits"/>
    <m/>
    <m/>
    <n v="1440"/>
    <s v="No"/>
    <n v="195"/>
    <s v="Normal"/>
    <s v="Achieved"/>
    <n v="0"/>
    <m/>
    <m/>
    <m/>
    <m/>
    <x v="14"/>
    <s v="Week13"/>
    <x v="19"/>
    <x v="1"/>
    <n v="90.009990009990005"/>
    <n v="1"/>
    <n v="3"/>
    <s v="Ankit"/>
    <s v="Ankit"/>
    <s v="Ankit"/>
    <s v="Major"/>
    <s v="12830864Shiny Iype"/>
    <s v="Major"/>
    <n v="1"/>
    <x v="1"/>
    <x v="1"/>
    <n v="1"/>
    <n v="1"/>
    <x v="13"/>
    <x v="0"/>
    <x v="0"/>
    <b v="1"/>
    <s v="Others"/>
    <x v="0"/>
  </r>
  <r>
    <d v="2026-03-19T20:25:49"/>
    <d v="2026-03-20T01:55:49"/>
    <d v="2026-03-26T18:10:20"/>
    <d v="2026-03-26T23:40:20"/>
    <d v="2026-03-26T10:43:13"/>
    <d v="2026-03-26T23:40:20"/>
    <x v="0"/>
    <n v="331"/>
    <n v="777.11670000000004"/>
    <x v="0"/>
    <x v="183"/>
    <x v="58"/>
    <x v="19"/>
    <s v="Clinic"/>
    <s v="shiny.iype@cardioscribes.com"/>
    <x v="9"/>
    <s v="Ahmedabad"/>
    <s v="No Go"/>
    <n v="30.03"/>
    <n v="97"/>
    <x v="1"/>
    <n v="4"/>
    <m/>
    <s v="Office Visits"/>
    <m/>
    <m/>
    <n v="1440"/>
    <s v="No"/>
    <n v="195"/>
    <s v="Normal"/>
    <s v="Achieved"/>
    <n v="0"/>
    <m/>
    <m/>
    <m/>
    <m/>
    <x v="14"/>
    <s v="Week13"/>
    <x v="19"/>
    <x v="1"/>
    <n v="90.009990009990005"/>
    <n v="0"/>
    <n v="3"/>
    <s v="Ankit"/>
    <s v="Ankit"/>
    <s v="Ankit"/>
    <s v="Minor"/>
    <s v="12830864Shiny Iype"/>
    <s v="Minor"/>
    <n v="0"/>
    <x v="1"/>
    <x v="0"/>
    <n v="1"/>
    <n v="4"/>
    <x v="13"/>
    <x v="0"/>
    <x v="0"/>
    <b v="0"/>
    <s v="Others"/>
    <x v="0"/>
  </r>
  <r>
    <d v="2026-03-18T15:40:13"/>
    <d v="2026-03-18T21:10:13"/>
    <d v="2026-03-26T18:14:18"/>
    <d v="2026-03-26T23:44:18"/>
    <d v="2026-03-25T21:51:05"/>
    <d v="2026-03-26T23:44:18"/>
    <x v="0"/>
    <n v="228"/>
    <n v="1553.2166999999999"/>
    <x v="0"/>
    <x v="184"/>
    <x v="59"/>
    <x v="12"/>
    <s v="Clinic"/>
    <s v="PratheepKumar.a@cardioscribes.com"/>
    <x v="6"/>
    <s v="Chennai"/>
    <s v="Go"/>
    <n v="25.6"/>
    <n v="100"/>
    <x v="1"/>
    <n v="2"/>
    <m/>
    <s v="CAMG_OV"/>
    <m/>
    <m/>
    <n v="1440"/>
    <s v="No"/>
    <n v="159"/>
    <s v="Normal"/>
    <s v="Achieved"/>
    <n v="0"/>
    <m/>
    <m/>
    <m/>
    <m/>
    <x v="14"/>
    <s v="Week13"/>
    <x v="12"/>
    <x v="0"/>
    <n v="100"/>
    <n v="0"/>
    <n v="0"/>
    <s v="Harsh"/>
    <s v="Aneesh"/>
    <s v="Aneesh"/>
    <s v="Minor"/>
    <s v="12830321Pratheep Kumar"/>
    <s v="Minor"/>
    <n v="0"/>
    <x v="0"/>
    <x v="0"/>
    <n v="1"/>
    <n v="2"/>
    <x v="6"/>
    <x v="0"/>
    <x v="0"/>
    <b v="0"/>
    <s v="Top 25"/>
    <x v="4"/>
  </r>
  <r>
    <d v="2026-03-20T10:15:53"/>
    <d v="2026-03-20T15:45:53"/>
    <d v="2026-03-26T18:31:39"/>
    <d v="2026-03-27T00:01:39"/>
    <d v="2026-03-25T08:04:18"/>
    <d v="2026-03-27T00:01:39"/>
    <x v="0"/>
    <n v="1025"/>
    <n v="2397.35"/>
    <x v="0"/>
    <x v="185"/>
    <x v="65"/>
    <x v="3"/>
    <s v="Clinic"/>
    <s v="shiny.iype@cardioscribes.com"/>
    <x v="9"/>
    <s v="Ahmedabad"/>
    <s v="No Go"/>
    <n v="101.58"/>
    <n v="96"/>
    <x v="2"/>
    <n v="1"/>
    <m/>
    <s v="PSYCHOLOGICAL REPORT"/>
    <m/>
    <m/>
    <n v="1440"/>
    <s v="No"/>
    <n v="506"/>
    <s v="Normal"/>
    <s v="Achieved"/>
    <n v="0"/>
    <m/>
    <m/>
    <m/>
    <m/>
    <x v="15"/>
    <s v="Week13"/>
    <x v="3"/>
    <x v="1"/>
    <n v="96.062216971844848"/>
    <n v="1"/>
    <n v="4"/>
    <s v="Harsh"/>
    <s v="Ankit"/>
    <s v="Ankit"/>
    <s v="Major"/>
    <s v="12831054Shiny Iype"/>
    <s v="Major"/>
    <n v="1"/>
    <x v="1"/>
    <x v="1"/>
    <n v="1"/>
    <n v="1"/>
    <x v="13"/>
    <x v="0"/>
    <x v="1"/>
    <b v="1"/>
    <s v="Top 25"/>
    <x v="0"/>
  </r>
  <r>
    <d v="2026-03-20T10:15:53"/>
    <d v="2026-03-20T15:45:53"/>
    <d v="2026-03-26T18:31:39"/>
    <d v="2026-03-27T00:01:39"/>
    <d v="2026-03-25T08:04:18"/>
    <d v="2026-03-27T00:01:39"/>
    <x v="0"/>
    <n v="1025"/>
    <n v="2397.35"/>
    <x v="0"/>
    <x v="185"/>
    <x v="65"/>
    <x v="3"/>
    <s v="Clinic"/>
    <s v="shiny.iype@cardioscribes.com"/>
    <x v="9"/>
    <s v="Ahmedabad"/>
    <s v="No Go"/>
    <n v="101.58"/>
    <n v="96"/>
    <x v="4"/>
    <n v="1"/>
    <m/>
    <s v="PSYCHOLOGICAL REPORT"/>
    <m/>
    <m/>
    <n v="1440"/>
    <s v="No"/>
    <n v="506"/>
    <s v="Normal"/>
    <s v="Achieved"/>
    <n v="0"/>
    <m/>
    <m/>
    <m/>
    <m/>
    <x v="15"/>
    <s v="Week13"/>
    <x v="3"/>
    <x v="1"/>
    <n v="96.062216971844848"/>
    <n v="1"/>
    <n v="4"/>
    <s v="Harsh"/>
    <s v="Ankit"/>
    <s v="Ankit"/>
    <s v="Major"/>
    <s v="12831054Shiny Iype"/>
    <s v="Major"/>
    <n v="1"/>
    <x v="1"/>
    <x v="1"/>
    <n v="1"/>
    <n v="1"/>
    <x v="13"/>
    <x v="0"/>
    <x v="1"/>
    <b v="1"/>
    <s v="Top 25"/>
    <x v="0"/>
  </r>
  <r>
    <d v="2026-03-20T10:15:53"/>
    <d v="2026-03-20T15:45:53"/>
    <d v="2026-03-26T18:31:39"/>
    <d v="2026-03-27T00:01:39"/>
    <d v="2026-03-25T08:04:18"/>
    <d v="2026-03-27T00:01:39"/>
    <x v="0"/>
    <n v="1025"/>
    <n v="2397.35"/>
    <x v="0"/>
    <x v="185"/>
    <x v="65"/>
    <x v="3"/>
    <s v="Clinic"/>
    <s v="shiny.iype@cardioscribes.com"/>
    <x v="9"/>
    <s v="Ahmedabad"/>
    <s v="No Go"/>
    <n v="101.58"/>
    <n v="96"/>
    <x v="6"/>
    <n v="2"/>
    <m/>
    <s v="PSYCHOLOGICAL REPORT"/>
    <m/>
    <m/>
    <n v="1440"/>
    <s v="No"/>
    <n v="506"/>
    <s v="Normal"/>
    <s v="Achieved"/>
    <n v="0"/>
    <m/>
    <m/>
    <m/>
    <m/>
    <x v="15"/>
    <s v="Week13"/>
    <x v="3"/>
    <x v="1"/>
    <n v="96.062216971844848"/>
    <n v="2"/>
    <n v="4"/>
    <s v="Harsh"/>
    <s v="Ankit"/>
    <s v="Ankit"/>
    <s v="Major"/>
    <s v="12831054Shiny Iype"/>
    <s v="Major"/>
    <n v="1"/>
    <x v="1"/>
    <x v="1"/>
    <n v="1"/>
    <n v="2"/>
    <x v="13"/>
    <x v="0"/>
    <x v="1"/>
    <b v="1"/>
    <s v="Top 25"/>
    <x v="0"/>
  </r>
  <r>
    <d v="2026-03-20T10:15:53"/>
    <d v="2026-03-20T15:45:53"/>
    <d v="2026-03-26T18:31:39"/>
    <d v="2026-03-27T00:01:39"/>
    <d v="2026-03-25T08:04:18"/>
    <d v="2026-03-27T00:01:39"/>
    <x v="0"/>
    <n v="1025"/>
    <n v="2397.35"/>
    <x v="0"/>
    <x v="185"/>
    <x v="65"/>
    <x v="3"/>
    <s v="Clinic"/>
    <s v="shiny.iype@cardioscribes.com"/>
    <x v="9"/>
    <s v="Ahmedabad"/>
    <s v="No Go"/>
    <n v="101.58"/>
    <n v="96"/>
    <x v="1"/>
    <n v="18"/>
    <m/>
    <s v="PSYCHOLOGICAL REPORT"/>
    <m/>
    <m/>
    <n v="1440"/>
    <s v="No"/>
    <n v="506"/>
    <s v="Normal"/>
    <s v="Achieved"/>
    <n v="0"/>
    <m/>
    <m/>
    <m/>
    <m/>
    <x v="15"/>
    <s v="Week13"/>
    <x v="3"/>
    <x v="1"/>
    <n v="96.062216971844848"/>
    <n v="0"/>
    <n v="4"/>
    <s v="Harsh"/>
    <s v="Ankit"/>
    <s v="Ankit"/>
    <s v="Minor"/>
    <s v="12831054Shiny Iype"/>
    <s v="Minor"/>
    <n v="0"/>
    <x v="1"/>
    <x v="0"/>
    <n v="1"/>
    <n v="18"/>
    <x v="13"/>
    <x v="0"/>
    <x v="1"/>
    <b v="0"/>
    <s v="Top 25"/>
    <x v="0"/>
  </r>
  <r>
    <d v="2026-03-16T16:55:44"/>
    <d v="2026-03-16T22:25:44"/>
    <d v="2026-03-27T05:40:52"/>
    <d v="2026-03-27T11:10:52"/>
    <d v="2026-03-25T21:50:57"/>
    <d v="2026-03-27T11:10:52"/>
    <x v="0"/>
    <n v="1451"/>
    <n v="2239.9167000000002"/>
    <x v="0"/>
    <x v="186"/>
    <x v="36"/>
    <x v="12"/>
    <s v="Clinic"/>
    <s v="shiny.iype@cardioscribes.com"/>
    <x v="9"/>
    <s v="Ahmedabad"/>
    <s v="Go"/>
    <n v="46.55"/>
    <n v="100"/>
    <x v="1"/>
    <n v="4"/>
    <m/>
    <s v="CAMG_OV"/>
    <m/>
    <m/>
    <n v="1440"/>
    <s v="No"/>
    <n v="175"/>
    <s v="Normal"/>
    <s v="Achieved"/>
    <n v="0"/>
    <m/>
    <m/>
    <m/>
    <m/>
    <x v="15"/>
    <s v="Week13"/>
    <x v="12"/>
    <x v="0"/>
    <n v="100"/>
    <n v="0"/>
    <n v="0"/>
    <s v="Harsh"/>
    <s v="Ankit"/>
    <s v="Ankit"/>
    <s v="Minor"/>
    <s v="12829472Shiny Iype"/>
    <s v="Minor"/>
    <n v="0"/>
    <x v="1"/>
    <x v="0"/>
    <n v="1"/>
    <n v="4"/>
    <x v="13"/>
    <x v="0"/>
    <x v="0"/>
    <b v="0"/>
    <s v="Top 25"/>
    <x v="0"/>
  </r>
  <r>
    <d v="2026-03-22T10:27:19"/>
    <d v="2026-03-22T15:57:19"/>
    <d v="2026-03-27T05:58:48"/>
    <d v="2026-03-27T11:28:48"/>
    <d v="2026-03-25T21:52:03"/>
    <d v="2026-03-27T11:28:48"/>
    <x v="0"/>
    <n v="790"/>
    <n v="2256.75"/>
    <x v="0"/>
    <x v="187"/>
    <x v="65"/>
    <x v="3"/>
    <s v="Clinic"/>
    <s v="PratheepKumar.a@cardioscribes.com"/>
    <x v="6"/>
    <s v="Chennai"/>
    <s v="Go"/>
    <n v="82.37"/>
    <n v="100"/>
    <x v="1"/>
    <n v="3"/>
    <m/>
    <s v="PSYCHOLOGICAL REPORT"/>
    <m/>
    <m/>
    <n v="1440"/>
    <s v="No"/>
    <n v="383"/>
    <s v="Normal"/>
    <s v="Achieved"/>
    <n v="0"/>
    <m/>
    <m/>
    <m/>
    <m/>
    <x v="15"/>
    <s v="Week13"/>
    <x v="3"/>
    <x v="0"/>
    <n v="100"/>
    <n v="0"/>
    <n v="0"/>
    <s v="Harsh"/>
    <s v="Aneesh"/>
    <s v="Aneesh"/>
    <s v="Minor"/>
    <s v="12831367Pratheep Kumar"/>
    <s v="Minor"/>
    <n v="0"/>
    <x v="0"/>
    <x v="0"/>
    <n v="1"/>
    <n v="3"/>
    <x v="6"/>
    <x v="0"/>
    <x v="0"/>
    <b v="0"/>
    <s v="Top 25"/>
    <x v="4"/>
  </r>
  <r>
    <d v="2026-03-20T23:34:08"/>
    <d v="2026-03-21T05:04:08"/>
    <d v="2026-03-27T06:41:27"/>
    <d v="2026-03-27T12:11:27"/>
    <d v="2026-03-25T08:04:26"/>
    <d v="2026-03-27T12:11:27"/>
    <x v="0"/>
    <n v="2587"/>
    <n v="3127.0167000000001"/>
    <x v="0"/>
    <x v="188"/>
    <x v="27"/>
    <x v="8"/>
    <s v="Clinic"/>
    <s v="sivasankari.a@cardioscribes.com"/>
    <x v="3"/>
    <s v="Chennai"/>
    <s v="Go"/>
    <n v="194.68"/>
    <n v="100"/>
    <x v="1"/>
    <n v="4"/>
    <m/>
    <s v="PACT_Progress Note 2"/>
    <m/>
    <m/>
    <n v="1440"/>
    <s v="No"/>
    <n v="1023"/>
    <s v="Normal"/>
    <s v="Achieved"/>
    <n v="0"/>
    <m/>
    <m/>
    <m/>
    <m/>
    <x v="15"/>
    <s v="Week13"/>
    <x v="8"/>
    <x v="0"/>
    <n v="100"/>
    <n v="0"/>
    <n v="0"/>
    <s v="Aneesh"/>
    <s v="Aneesh"/>
    <s v="Aneesh"/>
    <s v="Minor"/>
    <s v="12831266Sivasankari A"/>
    <s v="Minor"/>
    <n v="0"/>
    <x v="0"/>
    <x v="0"/>
    <n v="1"/>
    <n v="4"/>
    <x v="5"/>
    <x v="0"/>
    <x v="0"/>
    <b v="0"/>
    <s v="Top 25"/>
    <x v="1"/>
  </r>
  <r>
    <d v="2026-03-16T18:24:33"/>
    <d v="2026-03-16T23:54:33"/>
    <d v="2026-03-29T06:24:05"/>
    <d v="2026-03-29T11:54:05"/>
    <d v="2026-03-26T10:42:25"/>
    <d v="2026-03-29T11:54:05"/>
    <x v="0"/>
    <n v="1433"/>
    <n v="4391.6666999999998"/>
    <x v="0"/>
    <x v="189"/>
    <x v="42"/>
    <x v="12"/>
    <s v="Clinic"/>
    <s v="shiny.iype@cardioscribes.com"/>
    <x v="9"/>
    <s v="Ahmedabad"/>
    <s v="Go"/>
    <n v="37.69"/>
    <n v="99"/>
    <x v="2"/>
    <n v="1"/>
    <m/>
    <s v="CAMG_OV"/>
    <m/>
    <m/>
    <n v="1440"/>
    <s v="No"/>
    <n v="176"/>
    <s v="Normal"/>
    <s v="Achieved"/>
    <n v="0"/>
    <m/>
    <m/>
    <m/>
    <m/>
    <x v="16"/>
    <s v="Week14"/>
    <x v="12"/>
    <x v="1"/>
    <n v="97.34677633324489"/>
    <n v="1"/>
    <n v="1"/>
    <s v="Harsh"/>
    <s v="Ankit"/>
    <s v="Ankit"/>
    <s v="Major"/>
    <s v="12829528Shiny Iype"/>
    <s v="Major"/>
    <n v="1"/>
    <x v="1"/>
    <x v="1"/>
    <n v="1"/>
    <n v="1"/>
    <x v="13"/>
    <x v="0"/>
    <x v="0"/>
    <b v="1"/>
    <s v="Top 25"/>
    <x v="0"/>
  </r>
  <r>
    <d v="2026-03-16T18:24:33"/>
    <d v="2026-03-16T23:54:33"/>
    <d v="2026-03-29T06:24:05"/>
    <d v="2026-03-29T11:54:05"/>
    <d v="2026-03-26T10:42:25"/>
    <d v="2026-03-29T11:54:05"/>
    <x v="0"/>
    <n v="1433"/>
    <n v="4391.6666999999998"/>
    <x v="0"/>
    <x v="189"/>
    <x v="42"/>
    <x v="12"/>
    <s v="Clinic"/>
    <s v="shiny.iype@cardioscribes.com"/>
    <x v="9"/>
    <s v="Ahmedabad"/>
    <s v="Go"/>
    <n v="37.69"/>
    <n v="99"/>
    <x v="1"/>
    <n v="1"/>
    <m/>
    <s v="CAMG_OV"/>
    <m/>
    <m/>
    <n v="1440"/>
    <s v="No"/>
    <n v="176"/>
    <s v="Normal"/>
    <s v="Achieved"/>
    <n v="0"/>
    <m/>
    <m/>
    <m/>
    <m/>
    <x v="16"/>
    <s v="Week14"/>
    <x v="12"/>
    <x v="1"/>
    <n v="97.34677633324489"/>
    <n v="0"/>
    <n v="1"/>
    <s v="Harsh"/>
    <s v="Ankit"/>
    <s v="Ankit"/>
    <s v="Minor"/>
    <s v="12829528Shiny Iype"/>
    <s v="Minor"/>
    <n v="0"/>
    <x v="1"/>
    <x v="0"/>
    <n v="1"/>
    <n v="1"/>
    <x v="13"/>
    <x v="0"/>
    <x v="0"/>
    <b v="0"/>
    <s v="Top 25"/>
    <x v="0"/>
  </r>
  <r>
    <d v="2026-03-18T17:12:01"/>
    <d v="2026-03-18T22:42:01"/>
    <d v="2026-03-29T06:35:35"/>
    <d v="2026-03-29T12:05:35"/>
    <d v="2026-03-26T10:42:35"/>
    <d v="2026-03-29T12:05:35"/>
    <x v="0"/>
    <n v="678"/>
    <n v="4403"/>
    <x v="0"/>
    <x v="190"/>
    <x v="62"/>
    <x v="12"/>
    <s v="Clinic"/>
    <s v="shiny.iype@cardioscribes.com"/>
    <x v="9"/>
    <s v="Ahmedabad"/>
    <s v="No Go"/>
    <n v="30.58"/>
    <n v="93"/>
    <x v="2"/>
    <n v="2"/>
    <m/>
    <s v="CAMG_OV"/>
    <m/>
    <m/>
    <n v="1440"/>
    <s v="No"/>
    <n v="151"/>
    <s v="Normal"/>
    <s v="Achieved"/>
    <n v="0"/>
    <m/>
    <m/>
    <m/>
    <m/>
    <x v="16"/>
    <s v="Week14"/>
    <x v="12"/>
    <x v="1"/>
    <n v="77.109221713538261"/>
    <n v="2"/>
    <n v="7"/>
    <s v="Harsh"/>
    <s v="Ankit"/>
    <s v="Ankit"/>
    <s v="Major"/>
    <s v="12830403Shiny Iype"/>
    <s v="Major"/>
    <n v="1"/>
    <x v="1"/>
    <x v="1"/>
    <n v="1"/>
    <n v="2"/>
    <x v="13"/>
    <x v="0"/>
    <x v="0"/>
    <b v="1"/>
    <s v="Top 25"/>
    <x v="0"/>
  </r>
  <r>
    <d v="2026-03-18T17:12:01"/>
    <d v="2026-03-18T22:42:01"/>
    <d v="2026-03-29T06:35:35"/>
    <d v="2026-03-29T12:05:35"/>
    <d v="2026-03-26T10:42:35"/>
    <d v="2026-03-29T12:05:35"/>
    <x v="0"/>
    <n v="678"/>
    <n v="4403"/>
    <x v="0"/>
    <x v="190"/>
    <x v="62"/>
    <x v="12"/>
    <s v="Clinic"/>
    <s v="shiny.iype@cardioscribes.com"/>
    <x v="9"/>
    <s v="Ahmedabad"/>
    <s v="No Go"/>
    <n v="30.58"/>
    <n v="93"/>
    <x v="6"/>
    <n v="5"/>
    <m/>
    <s v="CAMG_OV"/>
    <m/>
    <m/>
    <n v="1440"/>
    <s v="No"/>
    <n v="151"/>
    <s v="Normal"/>
    <s v="Achieved"/>
    <n v="0"/>
    <m/>
    <m/>
    <m/>
    <m/>
    <x v="16"/>
    <s v="Week14"/>
    <x v="12"/>
    <x v="1"/>
    <n v="77.109221713538261"/>
    <n v="5"/>
    <n v="7"/>
    <s v="Harsh"/>
    <s v="Ankit"/>
    <s v="Ankit"/>
    <s v="Major"/>
    <s v="12830403Shiny Iype"/>
    <s v="Major"/>
    <n v="1"/>
    <x v="1"/>
    <x v="1"/>
    <n v="1"/>
    <n v="5"/>
    <x v="13"/>
    <x v="0"/>
    <x v="0"/>
    <b v="1"/>
    <s v="Top 25"/>
    <x v="0"/>
  </r>
  <r>
    <d v="2026-03-18T17:12:01"/>
    <d v="2026-03-18T22:42:01"/>
    <d v="2026-03-29T06:35:35"/>
    <d v="2026-03-29T12:05:35"/>
    <d v="2026-03-26T10:42:35"/>
    <d v="2026-03-29T12:05:35"/>
    <x v="0"/>
    <n v="678"/>
    <n v="4403"/>
    <x v="0"/>
    <x v="190"/>
    <x v="62"/>
    <x v="12"/>
    <s v="Clinic"/>
    <s v="shiny.iype@cardioscribes.com"/>
    <x v="9"/>
    <s v="Ahmedabad"/>
    <s v="No Go"/>
    <n v="30.58"/>
    <n v="93"/>
    <x v="1"/>
    <n v="8"/>
    <m/>
    <s v="CAMG_OV"/>
    <m/>
    <m/>
    <n v="1440"/>
    <s v="No"/>
    <n v="151"/>
    <s v="Normal"/>
    <s v="Achieved"/>
    <n v="0"/>
    <m/>
    <m/>
    <m/>
    <m/>
    <x v="16"/>
    <s v="Week14"/>
    <x v="12"/>
    <x v="1"/>
    <n v="77.109221713538261"/>
    <n v="0"/>
    <n v="7"/>
    <s v="Harsh"/>
    <s v="Ankit"/>
    <s v="Ankit"/>
    <s v="Minor"/>
    <s v="12830403Shiny Iype"/>
    <s v="Minor"/>
    <n v="0"/>
    <x v="1"/>
    <x v="0"/>
    <n v="1"/>
    <n v="8"/>
    <x v="13"/>
    <x v="0"/>
    <x v="0"/>
    <b v="0"/>
    <s v="Top 25"/>
    <x v="0"/>
  </r>
  <r>
    <d v="2026-03-20T16:55:15"/>
    <d v="2026-03-20T22:25:15"/>
    <d v="2026-03-29T06:39:58"/>
    <d v="2026-03-29T12:09:58"/>
    <d v="2026-03-26T10:43:59"/>
    <d v="2026-03-29T12:09:58"/>
    <x v="0"/>
    <n v="817"/>
    <n v="4405.9832999999999"/>
    <x v="0"/>
    <x v="191"/>
    <x v="59"/>
    <x v="12"/>
    <s v="Clinic"/>
    <s v="PratheepKumar.a@cardioscribes.com"/>
    <x v="6"/>
    <s v="Chennai"/>
    <s v="Go"/>
    <n v="30.15"/>
    <n v="100"/>
    <x v="0"/>
    <n v="0"/>
    <m/>
    <s v="CAMG_OV"/>
    <m/>
    <m/>
    <n v="1440"/>
    <s v="No"/>
    <n v="152"/>
    <s v="Normal"/>
    <s v="Achieved"/>
    <n v="0"/>
    <m/>
    <m/>
    <m/>
    <m/>
    <x v="16"/>
    <s v="Week14"/>
    <x v="12"/>
    <x v="0"/>
    <n v="100"/>
    <n v="0"/>
    <n v="0"/>
    <s v="Harsh"/>
    <s v="Aneesh"/>
    <s v="Aneesh"/>
    <s v=""/>
    <s v="12831219Pratheep Kumar"/>
    <s v=""/>
    <s v=""/>
    <x v="0"/>
    <x v="0"/>
    <s v=""/>
    <n v="0"/>
    <x v="6"/>
    <x v="0"/>
    <x v="0"/>
    <b v="0"/>
    <s v="Top 25"/>
    <x v="4"/>
  </r>
  <r>
    <d v="2026-03-25T16:12:10"/>
    <d v="2026-03-25T21:42:10"/>
    <d v="2026-03-29T06:59:09"/>
    <d v="2026-03-29T12:29:09"/>
    <d v="2026-03-28T07:09:45"/>
    <d v="2026-03-29T12:29:09"/>
    <x v="0"/>
    <n v="1134"/>
    <n v="1759.4"/>
    <x v="0"/>
    <x v="192"/>
    <x v="53"/>
    <x v="3"/>
    <s v="Clinic"/>
    <s v="chintul.s@mediscribes.com"/>
    <x v="8"/>
    <s v="Ahmedabad"/>
    <s v="Go"/>
    <n v="172.89"/>
    <n v="99"/>
    <x v="5"/>
    <n v="1"/>
    <m/>
    <s v="PSYCHOLOGICAL REPORT"/>
    <m/>
    <m/>
    <n v="1440"/>
    <s v="No"/>
    <n v="879"/>
    <s v="Normal"/>
    <s v="Achieved"/>
    <n v="0"/>
    <m/>
    <m/>
    <m/>
    <m/>
    <x v="16"/>
    <s v="Week14"/>
    <x v="3"/>
    <x v="0"/>
    <n v="99.421597547573597"/>
    <n v="1"/>
    <n v="1"/>
    <s v="Harsh"/>
    <s v="Ankit"/>
    <s v="Ankit"/>
    <s v="Major"/>
    <s v="12832444Chintul Sutaria"/>
    <s v="Major"/>
    <n v="1"/>
    <x v="1"/>
    <x v="1"/>
    <n v="1"/>
    <n v="1"/>
    <x v="12"/>
    <x v="0"/>
    <x v="0"/>
    <b v="1"/>
    <s v="Top 25"/>
    <x v="5"/>
  </r>
  <r>
    <d v="2026-03-25T16:12:10"/>
    <d v="2026-03-25T21:42:10"/>
    <d v="2026-03-29T06:59:09"/>
    <d v="2026-03-29T12:29:09"/>
    <d v="2026-03-28T07:09:45"/>
    <d v="2026-03-29T12:29:09"/>
    <x v="0"/>
    <n v="1134"/>
    <n v="1759.4"/>
    <x v="0"/>
    <x v="192"/>
    <x v="53"/>
    <x v="3"/>
    <s v="Clinic"/>
    <s v="chintul.s@mediscribes.com"/>
    <x v="8"/>
    <s v="Ahmedabad"/>
    <s v="Go"/>
    <n v="172.89"/>
    <n v="99"/>
    <x v="1"/>
    <n v="4"/>
    <m/>
    <s v="PSYCHOLOGICAL REPORT"/>
    <m/>
    <m/>
    <n v="1440"/>
    <s v="No"/>
    <n v="879"/>
    <s v="Normal"/>
    <s v="Achieved"/>
    <n v="0"/>
    <m/>
    <m/>
    <m/>
    <m/>
    <x v="16"/>
    <s v="Week14"/>
    <x v="3"/>
    <x v="0"/>
    <n v="99.421597547573597"/>
    <n v="0"/>
    <n v="1"/>
    <s v="Harsh"/>
    <s v="Ankit"/>
    <s v="Ankit"/>
    <s v="Minor"/>
    <s v="12832444Chintul Sutaria"/>
    <s v="Minor"/>
    <n v="0"/>
    <x v="1"/>
    <x v="0"/>
    <n v="1"/>
    <n v="4"/>
    <x v="12"/>
    <x v="0"/>
    <x v="0"/>
    <b v="0"/>
    <s v="Top 25"/>
    <x v="5"/>
  </r>
  <r>
    <d v="2026-03-19T17:27:04"/>
    <d v="2026-03-19T22:57:04"/>
    <d v="2026-03-29T12:45:49"/>
    <d v="2026-03-29T18:15:49"/>
    <d v="2026-03-26T10:43:21"/>
    <d v="2026-03-29T18:15:49"/>
    <x v="0"/>
    <n v="5043"/>
    <n v="4772.4666999999999"/>
    <x v="0"/>
    <x v="193"/>
    <x v="36"/>
    <x v="12"/>
    <s v="Clinic"/>
    <s v="shiny.iype@cardioscribes.com"/>
    <x v="9"/>
    <s v="Ahmedabad"/>
    <s v="No Go"/>
    <n v="36.340000000000003"/>
    <n v="98"/>
    <x v="2"/>
    <n v="1"/>
    <m/>
    <s v="CAMG_OV"/>
    <m/>
    <m/>
    <n v="1440"/>
    <s v="No"/>
    <n v="128"/>
    <s v="Normal"/>
    <s v="Achieved"/>
    <n v="0"/>
    <m/>
    <m/>
    <m/>
    <m/>
    <x v="16"/>
    <s v="Week14"/>
    <x v="12"/>
    <x v="1"/>
    <n v="94.496422674738582"/>
    <n v="1"/>
    <n v="2"/>
    <s v="Harsh"/>
    <s v="Ankit"/>
    <s v="Ankit"/>
    <s v="Major"/>
    <s v="12830890Shiny Iype"/>
    <s v="Major"/>
    <n v="1"/>
    <x v="1"/>
    <x v="1"/>
    <n v="1"/>
    <n v="1"/>
    <x v="13"/>
    <x v="0"/>
    <x v="0"/>
    <b v="1"/>
    <s v="Top 25"/>
    <x v="0"/>
  </r>
  <r>
    <d v="2026-03-19T17:27:04"/>
    <d v="2026-03-19T22:57:04"/>
    <d v="2026-03-29T12:45:49"/>
    <d v="2026-03-29T18:15:49"/>
    <d v="2026-03-26T10:43:21"/>
    <d v="2026-03-29T18:15:49"/>
    <x v="0"/>
    <n v="5043"/>
    <n v="4772.4666999999999"/>
    <x v="0"/>
    <x v="193"/>
    <x v="36"/>
    <x v="12"/>
    <s v="Clinic"/>
    <s v="shiny.iype@cardioscribes.com"/>
    <x v="9"/>
    <s v="Ahmedabad"/>
    <s v="No Go"/>
    <n v="36.340000000000003"/>
    <n v="98"/>
    <x v="6"/>
    <n v="1"/>
    <m/>
    <s v="CAMG_OV"/>
    <m/>
    <m/>
    <n v="1440"/>
    <s v="No"/>
    <n v="128"/>
    <s v="Normal"/>
    <s v="Achieved"/>
    <n v="0"/>
    <m/>
    <m/>
    <m/>
    <m/>
    <x v="16"/>
    <s v="Week14"/>
    <x v="12"/>
    <x v="1"/>
    <n v="94.496422674738582"/>
    <n v="1"/>
    <n v="2"/>
    <s v="Harsh"/>
    <s v="Ankit"/>
    <s v="Ankit"/>
    <s v="Major"/>
    <s v="12830890Shiny Iype"/>
    <s v="Major"/>
    <n v="1"/>
    <x v="1"/>
    <x v="1"/>
    <n v="1"/>
    <n v="1"/>
    <x v="13"/>
    <x v="0"/>
    <x v="0"/>
    <b v="1"/>
    <s v="Top 25"/>
    <x v="0"/>
  </r>
  <r>
    <d v="2026-03-19T17:27:04"/>
    <d v="2026-03-19T22:57:04"/>
    <d v="2026-03-29T12:45:49"/>
    <d v="2026-03-29T18:15:49"/>
    <d v="2026-03-26T10:43:21"/>
    <d v="2026-03-29T18:15:49"/>
    <x v="0"/>
    <n v="5043"/>
    <n v="4772.4666999999999"/>
    <x v="0"/>
    <x v="193"/>
    <x v="36"/>
    <x v="12"/>
    <s v="Clinic"/>
    <s v="shiny.iype@cardioscribes.com"/>
    <x v="9"/>
    <s v="Ahmedabad"/>
    <s v="No Go"/>
    <n v="36.340000000000003"/>
    <n v="98"/>
    <x v="1"/>
    <n v="4"/>
    <m/>
    <s v="CAMG_OV"/>
    <m/>
    <m/>
    <n v="1440"/>
    <s v="No"/>
    <n v="128"/>
    <s v="Normal"/>
    <s v="Achieved"/>
    <n v="0"/>
    <m/>
    <m/>
    <m/>
    <m/>
    <x v="16"/>
    <s v="Week14"/>
    <x v="12"/>
    <x v="1"/>
    <n v="94.496422674738582"/>
    <n v="0"/>
    <n v="2"/>
    <s v="Harsh"/>
    <s v="Ankit"/>
    <s v="Ankit"/>
    <s v="Minor"/>
    <s v="12830890Shiny Iype"/>
    <s v="Minor"/>
    <n v="0"/>
    <x v="1"/>
    <x v="0"/>
    <n v="1"/>
    <n v="4"/>
    <x v="13"/>
    <x v="0"/>
    <x v="0"/>
    <b v="0"/>
    <s v="Top 25"/>
    <x v="0"/>
  </r>
  <r>
    <d v="2026-03-18T17:14:58"/>
    <d v="2026-03-18T22:44:58"/>
    <d v="2026-03-29T12:55:43"/>
    <d v="2026-03-29T18:25:43"/>
    <d v="2026-03-26T10:42:40"/>
    <d v="2026-03-29T18:25:43"/>
    <x v="0"/>
    <n v="563"/>
    <n v="4783.05"/>
    <x v="0"/>
    <x v="194"/>
    <x v="62"/>
    <x v="12"/>
    <s v="Clinic"/>
    <s v="shiny.iype@cardioscribes.com"/>
    <x v="9"/>
    <s v="Ahmedabad"/>
    <s v="No Go"/>
    <n v="26.98"/>
    <n v="95"/>
    <x v="2"/>
    <n v="1"/>
    <m/>
    <s v="CAMG_OV"/>
    <m/>
    <m/>
    <n v="1440"/>
    <s v="No"/>
    <n v="140"/>
    <s v="Normal"/>
    <s v="Achieved"/>
    <n v="0"/>
    <m/>
    <m/>
    <m/>
    <m/>
    <x v="16"/>
    <s v="Week14"/>
    <x v="12"/>
    <x v="1"/>
    <n v="81.467753891771679"/>
    <n v="1"/>
    <n v="5"/>
    <s v="Harsh"/>
    <s v="Ankit"/>
    <s v="Ankit"/>
    <s v="Major"/>
    <s v="12830411Shiny Iype"/>
    <s v="Major"/>
    <n v="1"/>
    <x v="1"/>
    <x v="1"/>
    <n v="1"/>
    <n v="1"/>
    <x v="13"/>
    <x v="0"/>
    <x v="0"/>
    <b v="1"/>
    <s v="Top 25"/>
    <x v="0"/>
  </r>
  <r>
    <d v="2026-03-18T17:14:58"/>
    <d v="2026-03-18T22:44:58"/>
    <d v="2026-03-29T12:55:43"/>
    <d v="2026-03-29T18:25:43"/>
    <d v="2026-03-26T10:42:40"/>
    <d v="2026-03-29T18:25:43"/>
    <x v="0"/>
    <n v="563"/>
    <n v="4783.05"/>
    <x v="0"/>
    <x v="194"/>
    <x v="62"/>
    <x v="12"/>
    <s v="Clinic"/>
    <s v="shiny.iype@cardioscribes.com"/>
    <x v="9"/>
    <s v="Ahmedabad"/>
    <s v="No Go"/>
    <n v="26.98"/>
    <n v="95"/>
    <x v="6"/>
    <n v="4"/>
    <m/>
    <s v="CAMG_OV"/>
    <m/>
    <m/>
    <n v="1440"/>
    <s v="No"/>
    <n v="140"/>
    <s v="Normal"/>
    <s v="Achieved"/>
    <n v="0"/>
    <m/>
    <m/>
    <m/>
    <m/>
    <x v="16"/>
    <s v="Week14"/>
    <x v="12"/>
    <x v="1"/>
    <n v="81.467753891771679"/>
    <n v="4"/>
    <n v="5"/>
    <s v="Harsh"/>
    <s v="Ankit"/>
    <s v="Ankit"/>
    <s v="Major"/>
    <s v="12830411Shiny Iype"/>
    <s v="Major"/>
    <n v="1"/>
    <x v="1"/>
    <x v="1"/>
    <n v="1"/>
    <n v="4"/>
    <x v="13"/>
    <x v="0"/>
    <x v="0"/>
    <b v="1"/>
    <s v="Top 25"/>
    <x v="0"/>
  </r>
  <r>
    <d v="2026-03-18T17:14:58"/>
    <d v="2026-03-18T22:44:58"/>
    <d v="2026-03-29T12:55:43"/>
    <d v="2026-03-29T18:25:43"/>
    <d v="2026-03-26T10:42:40"/>
    <d v="2026-03-29T18:25:43"/>
    <x v="0"/>
    <n v="563"/>
    <n v="4783.05"/>
    <x v="0"/>
    <x v="194"/>
    <x v="62"/>
    <x v="12"/>
    <s v="Clinic"/>
    <s v="shiny.iype@cardioscribes.com"/>
    <x v="9"/>
    <s v="Ahmedabad"/>
    <s v="No Go"/>
    <n v="26.98"/>
    <n v="95"/>
    <x v="1"/>
    <n v="2"/>
    <m/>
    <s v="CAMG_OV"/>
    <m/>
    <m/>
    <n v="1440"/>
    <s v="No"/>
    <n v="140"/>
    <s v="Normal"/>
    <s v="Achieved"/>
    <n v="0"/>
    <m/>
    <m/>
    <m/>
    <m/>
    <x v="16"/>
    <s v="Week14"/>
    <x v="12"/>
    <x v="1"/>
    <n v="81.467753891771679"/>
    <n v="0"/>
    <n v="5"/>
    <s v="Harsh"/>
    <s v="Ankit"/>
    <s v="Ankit"/>
    <s v="Minor"/>
    <s v="12830411Shiny Iype"/>
    <s v="Minor"/>
    <n v="0"/>
    <x v="1"/>
    <x v="0"/>
    <n v="1"/>
    <n v="2"/>
    <x v="13"/>
    <x v="0"/>
    <x v="0"/>
    <b v="0"/>
    <s v="Top 25"/>
    <x v="0"/>
  </r>
  <r>
    <d v="2026-03-20T19:20:20"/>
    <d v="2026-03-21T00:50:20"/>
    <d v="2026-03-29T12:58:52"/>
    <d v="2026-03-29T18:28:52"/>
    <d v="2026-03-26T10:43:43"/>
    <d v="2026-03-29T18:28:52"/>
    <x v="0"/>
    <n v="164"/>
    <n v="4785.1499999999996"/>
    <x v="0"/>
    <x v="195"/>
    <x v="38"/>
    <x v="14"/>
    <s v="Clinic"/>
    <s v="jobs4savitha@gmail.com"/>
    <x v="5"/>
    <s v="Trivandrum"/>
    <s v="Go"/>
    <n v="17.12"/>
    <n v="100"/>
    <x v="0"/>
    <n v="0"/>
    <m/>
    <s v="EXERCISE MYOVIEW STRESS TEST"/>
    <m/>
    <m/>
    <n v="1440"/>
    <s v="No"/>
    <n v="94"/>
    <s v="Normal"/>
    <s v="Achieved"/>
    <n v="0"/>
    <m/>
    <m/>
    <m/>
    <m/>
    <x v="16"/>
    <s v="Week14"/>
    <x v="14"/>
    <x v="0"/>
    <n v="100"/>
    <n v="0"/>
    <n v="0"/>
    <s v="Aneesh"/>
    <s v="Aneesh"/>
    <s v="Aneesh"/>
    <s v=""/>
    <s v="12831186Savitha Arun"/>
    <s v=""/>
    <s v=""/>
    <x v="0"/>
    <x v="0"/>
    <s v=""/>
    <n v="0"/>
    <x v="1"/>
    <x v="1"/>
    <x v="0"/>
    <b v="0"/>
    <s v="Others"/>
    <x v="3"/>
  </r>
  <r>
    <d v="2026-03-23T11:29:02"/>
    <d v="2026-03-23T16:59:02"/>
    <d v="2026-03-29T14:09:40"/>
    <d v="2026-03-29T19:39:40"/>
    <d v="2026-03-28T07:09:03"/>
    <d v="2026-03-29T19:39:40"/>
    <x v="0"/>
    <n v="17351"/>
    <n v="2190.6167"/>
    <x v="0"/>
    <x v="196"/>
    <x v="66"/>
    <x v="3"/>
    <s v="Clinic"/>
    <s v="chintul.s@mediscribes.com"/>
    <x v="8"/>
    <s v="Ahmedabad"/>
    <s v="Go"/>
    <n v="143.41999999999999"/>
    <n v="99"/>
    <x v="2"/>
    <n v="1"/>
    <m/>
    <s v="PSYCHOLOGICAL REPORT"/>
    <m/>
    <m/>
    <n v="1440"/>
    <s v="No"/>
    <n v="1190"/>
    <s v="Normal"/>
    <s v="Achieved"/>
    <n v="0"/>
    <m/>
    <m/>
    <m/>
    <m/>
    <x v="16"/>
    <s v="Week14"/>
    <x v="3"/>
    <x v="0"/>
    <n v="99.302747176126061"/>
    <n v="1"/>
    <n v="1"/>
    <s v="Harsh"/>
    <s v="Ankit"/>
    <s v="Ankit"/>
    <s v="Major"/>
    <s v="12831539Chintul Sutaria"/>
    <s v="Major"/>
    <n v="1"/>
    <x v="1"/>
    <x v="0"/>
    <n v="1"/>
    <n v="1"/>
    <x v="12"/>
    <x v="0"/>
    <x v="0"/>
    <b v="0"/>
    <s v="Top 25"/>
    <x v="5"/>
  </r>
  <r>
    <d v="2026-03-24T08:14:57"/>
    <d v="2026-03-24T13:44:57"/>
    <d v="2026-03-29T14:26:37"/>
    <d v="2026-03-29T19:56:37"/>
    <d v="2026-03-28T07:09:11"/>
    <d v="2026-03-29T19:56:37"/>
    <x v="0"/>
    <n v="1000"/>
    <n v="2207.4333000000001"/>
    <x v="0"/>
    <x v="197"/>
    <x v="60"/>
    <x v="20"/>
    <s v="Hospital"/>
    <s v="chintul.s@mediscribes.com"/>
    <x v="8"/>
    <s v="Ahmedabad"/>
    <s v="No Go"/>
    <n v="68.8"/>
    <n v="98"/>
    <x v="2"/>
    <n v="2"/>
    <m/>
    <s v="Discharge Summary (OHH)"/>
    <m/>
    <m/>
    <n v="240"/>
    <s v="No"/>
    <n v="628"/>
    <s v="STAT"/>
    <s v="Achieved"/>
    <n v="1"/>
    <m/>
    <m/>
    <m/>
    <m/>
    <x v="16"/>
    <s v="Week14"/>
    <x v="20"/>
    <x v="1"/>
    <n v="97.093023255813961"/>
    <n v="2"/>
    <n v="2"/>
    <s v="Aneesh"/>
    <s v="Ankit"/>
    <s v="Aneesh"/>
    <s v="Major"/>
    <s v="12831858Chintul Sutaria"/>
    <s v="Major"/>
    <n v="1"/>
    <x v="1"/>
    <x v="1"/>
    <n v="1"/>
    <n v="2"/>
    <x v="0"/>
    <x v="1"/>
    <x v="0"/>
    <b v="1"/>
    <s v="Top 25"/>
    <x v="5"/>
  </r>
  <r>
    <d v="2026-03-24T08:14:57"/>
    <d v="2026-03-24T13:44:57"/>
    <d v="2026-03-29T14:26:37"/>
    <d v="2026-03-29T19:56:37"/>
    <d v="2026-03-28T07:09:11"/>
    <d v="2026-03-29T19:56:37"/>
    <x v="0"/>
    <n v="1000"/>
    <n v="2207.4333000000001"/>
    <x v="0"/>
    <x v="197"/>
    <x v="60"/>
    <x v="20"/>
    <s v="Hospital"/>
    <s v="chintul.s@mediscribes.com"/>
    <x v="8"/>
    <s v="Ahmedabad"/>
    <s v="No Go"/>
    <n v="68.8"/>
    <n v="98"/>
    <x v="1"/>
    <n v="8"/>
    <m/>
    <s v="Discharge Summary (OHH)"/>
    <m/>
    <m/>
    <n v="240"/>
    <s v="No"/>
    <n v="628"/>
    <s v="STAT"/>
    <s v="Achieved"/>
    <n v="1"/>
    <m/>
    <m/>
    <m/>
    <m/>
    <x v="16"/>
    <s v="Week14"/>
    <x v="20"/>
    <x v="1"/>
    <n v="97.093023255813961"/>
    <n v="0"/>
    <n v="2"/>
    <s v="Aneesh"/>
    <s v="Ankit"/>
    <s v="Aneesh"/>
    <s v="Minor"/>
    <s v="12831858Chintul Sutaria"/>
    <s v="Minor"/>
    <n v="0"/>
    <x v="1"/>
    <x v="0"/>
    <n v="1"/>
    <n v="8"/>
    <x v="0"/>
    <x v="1"/>
    <x v="0"/>
    <b v="0"/>
    <s v="Top 25"/>
    <x v="5"/>
  </r>
  <r>
    <d v="2026-03-19T19:26:55"/>
    <d v="2026-03-20T00:56:55"/>
    <d v="2026-03-29T14:51:08"/>
    <d v="2026-03-29T20:21:08"/>
    <d v="2026-03-26T10:43:08"/>
    <d v="2026-03-29T20:21:08"/>
    <x v="0"/>
    <n v="187"/>
    <n v="4898"/>
    <x v="0"/>
    <x v="198"/>
    <x v="38"/>
    <x v="14"/>
    <s v="Clinic"/>
    <s v="jobs4savitha@gmail.com"/>
    <x v="5"/>
    <s v="Trivandrum"/>
    <s v="Go"/>
    <n v="10.23"/>
    <n v="100"/>
    <x v="0"/>
    <n v="0"/>
    <m/>
    <s v="Holter Monitor"/>
    <m/>
    <m/>
    <n v="1440"/>
    <s v="No"/>
    <n v="89"/>
    <s v="Normal"/>
    <s v="Achieved"/>
    <n v="0"/>
    <m/>
    <m/>
    <m/>
    <m/>
    <x v="16"/>
    <s v="Week14"/>
    <x v="14"/>
    <x v="0"/>
    <n v="100"/>
    <n v="0"/>
    <n v="0"/>
    <s v="Aneesh"/>
    <s v="Aneesh"/>
    <s v="Aneesh"/>
    <s v=""/>
    <s v="12830817Savitha Arun"/>
    <s v=""/>
    <s v=""/>
    <x v="0"/>
    <x v="0"/>
    <s v=""/>
    <n v="0"/>
    <x v="10"/>
    <x v="0"/>
    <x v="0"/>
    <b v="0"/>
    <s v="Others"/>
    <x v="3"/>
  </r>
  <r>
    <d v="2026-03-20T13:23:03"/>
    <d v="2026-03-20T18:53:03"/>
    <d v="2026-03-29T15:01:37"/>
    <d v="2026-03-29T20:31:37"/>
    <d v="2026-03-26T10:43:37"/>
    <d v="2026-03-29T20:31:37"/>
    <x v="0"/>
    <n v="617"/>
    <n v="4908"/>
    <x v="0"/>
    <x v="199"/>
    <x v="67"/>
    <x v="4"/>
    <s v="Clinic"/>
    <s v="jobs4savitha@gmail.com"/>
    <x v="5"/>
    <s v="Trivandrum"/>
    <s v="No Go"/>
    <n v="39.32"/>
    <n v="98"/>
    <x v="2"/>
    <n v="2"/>
    <m/>
    <s v="Operative report"/>
    <m/>
    <m/>
    <n v="1440"/>
    <s v="No"/>
    <n v="248"/>
    <s v="Normal"/>
    <s v="Achieved"/>
    <n v="5"/>
    <m/>
    <m/>
    <m/>
    <m/>
    <x v="16"/>
    <s v="Week14"/>
    <x v="4"/>
    <x v="1"/>
    <n v="94.913530010172934"/>
    <n v="2"/>
    <n v="2"/>
    <s v="Aneesh"/>
    <s v="Aneesh"/>
    <s v="Aneesh"/>
    <s v="Major"/>
    <s v="12831090Savitha Arun"/>
    <s v="Major"/>
    <n v="1"/>
    <x v="0"/>
    <x v="1"/>
    <n v="1"/>
    <n v="2"/>
    <x v="1"/>
    <x v="1"/>
    <x v="1"/>
    <b v="1"/>
    <s v="Top 25"/>
    <x v="3"/>
  </r>
  <r>
    <d v="2026-03-20T13:23:03"/>
    <d v="2026-03-20T18:53:03"/>
    <d v="2026-03-29T15:01:37"/>
    <d v="2026-03-29T20:31:37"/>
    <d v="2026-03-26T10:43:37"/>
    <d v="2026-03-29T20:31:37"/>
    <x v="0"/>
    <n v="617"/>
    <n v="4908"/>
    <x v="0"/>
    <x v="199"/>
    <x v="67"/>
    <x v="4"/>
    <s v="Clinic"/>
    <s v="jobs4savitha@gmail.com"/>
    <x v="5"/>
    <s v="Trivandrum"/>
    <s v="No Go"/>
    <n v="39.32"/>
    <n v="98"/>
    <x v="1"/>
    <n v="3"/>
    <m/>
    <s v="Operative report"/>
    <m/>
    <m/>
    <n v="1440"/>
    <s v="No"/>
    <n v="248"/>
    <s v="Normal"/>
    <s v="Achieved"/>
    <n v="5"/>
    <m/>
    <m/>
    <m/>
    <m/>
    <x v="16"/>
    <s v="Week14"/>
    <x v="4"/>
    <x v="1"/>
    <n v="94.913530010172934"/>
    <n v="0"/>
    <n v="2"/>
    <s v="Aneesh"/>
    <s v="Aneesh"/>
    <s v="Aneesh"/>
    <s v="Minor"/>
    <s v="12831090Savitha Arun"/>
    <s v="Minor"/>
    <n v="0"/>
    <x v="0"/>
    <x v="0"/>
    <n v="1"/>
    <n v="3"/>
    <x v="1"/>
    <x v="1"/>
    <x v="1"/>
    <b v="0"/>
    <s v="Top 25"/>
    <x v="3"/>
  </r>
  <r>
    <d v="2026-03-20T14:10:30"/>
    <d v="2026-03-20T19:40:30"/>
    <d v="2026-03-29T15:09:16"/>
    <d v="2026-03-29T20:39:16"/>
    <d v="2026-03-25T21:52:17"/>
    <d v="2026-03-29T20:39:16"/>
    <x v="0"/>
    <n v="1893"/>
    <n v="5686.9832999999999"/>
    <x v="0"/>
    <x v="200"/>
    <x v="68"/>
    <x v="3"/>
    <s v="Clinic"/>
    <s v="Tejasahm@gmail.com"/>
    <x v="7"/>
    <s v="Ahmedabad"/>
    <s v="Go"/>
    <n v="65.77"/>
    <n v="100"/>
    <x v="0"/>
    <n v="0"/>
    <m/>
    <s v="Internal Medicine"/>
    <m/>
    <m/>
    <n v="1440"/>
    <s v="No"/>
    <n v="353"/>
    <s v="Normal"/>
    <s v="Achieved"/>
    <n v="0"/>
    <m/>
    <m/>
    <m/>
    <m/>
    <x v="16"/>
    <s v="Week14"/>
    <x v="3"/>
    <x v="0"/>
    <n v="100"/>
    <n v="0"/>
    <n v="0"/>
    <s v="Harsh"/>
    <s v="Ankit"/>
    <s v="Ankit"/>
    <s v=""/>
    <s v="12831130Tejas Patel"/>
    <s v=""/>
    <s v=""/>
    <x v="1"/>
    <x v="0"/>
    <s v=""/>
    <n v="0"/>
    <x v="8"/>
    <x v="0"/>
    <x v="0"/>
    <b v="0"/>
    <s v="Top 25"/>
    <x v="5"/>
  </r>
  <r>
    <d v="2026-03-24T13:19:52"/>
    <d v="2026-03-24T18:49:52"/>
    <d v="2026-03-29T15:20:43"/>
    <d v="2026-03-29T20:50:43"/>
    <d v="2026-03-28T07:09:26"/>
    <d v="2026-03-29T20:50:43"/>
    <x v="0"/>
    <n v="658"/>
    <n v="2261.2833000000001"/>
    <x v="0"/>
    <x v="201"/>
    <x v="37"/>
    <x v="3"/>
    <s v="Clinic"/>
    <s v="chintul.s@mediscribes.com"/>
    <x v="8"/>
    <s v="Ahmedabad"/>
    <s v="Go"/>
    <n v="84.48"/>
    <n v="100"/>
    <x v="1"/>
    <n v="1"/>
    <m/>
    <s v="PSYCHOLOGICAL REPORT"/>
    <m/>
    <m/>
    <n v="1440"/>
    <s v="No"/>
    <n v="460"/>
    <s v="Normal"/>
    <s v="Achieved"/>
    <n v="1"/>
    <m/>
    <m/>
    <m/>
    <m/>
    <x v="16"/>
    <s v="Week14"/>
    <x v="3"/>
    <x v="0"/>
    <n v="100"/>
    <n v="0"/>
    <n v="0"/>
    <s v="Harsh"/>
    <s v="Ankit"/>
    <s v="Ankit"/>
    <s v="Minor"/>
    <s v="12831951Chintul Sutaria"/>
    <s v="Minor"/>
    <n v="0"/>
    <x v="1"/>
    <x v="0"/>
    <n v="1"/>
    <n v="1"/>
    <x v="15"/>
    <x v="1"/>
    <x v="0"/>
    <b v="0"/>
    <s v="Top 25"/>
    <x v="5"/>
  </r>
  <r>
    <d v="2026-03-20T19:20:30"/>
    <d v="2026-03-21T00:50:30"/>
    <d v="2026-03-29T15:31:36"/>
    <d v="2026-03-29T21:01:36"/>
    <d v="2026-03-26T10:43:53"/>
    <d v="2026-03-29T21:01:36"/>
    <x v="0"/>
    <n v="945"/>
    <n v="4937.7166999999999"/>
    <x v="0"/>
    <x v="202"/>
    <x v="38"/>
    <x v="14"/>
    <s v="Clinic"/>
    <s v="jobs4savitha@gmail.com"/>
    <x v="5"/>
    <s v="Trivandrum"/>
    <s v="No Go"/>
    <n v="58.65"/>
    <n v="97"/>
    <x v="2"/>
    <n v="3"/>
    <m/>
    <s v="Office Visit"/>
    <m/>
    <m/>
    <n v="1440"/>
    <s v="No"/>
    <n v="365"/>
    <s v="Normal"/>
    <s v="Achieved"/>
    <n v="0"/>
    <m/>
    <m/>
    <m/>
    <m/>
    <x v="16"/>
    <s v="Week14"/>
    <x v="14"/>
    <x v="1"/>
    <n v="94.884910485933503"/>
    <n v="3"/>
    <n v="3"/>
    <s v="Aneesh"/>
    <s v="Aneesh"/>
    <s v="Aneesh"/>
    <s v="Major"/>
    <s v="12831188Savitha Arun"/>
    <s v="Major"/>
    <n v="1"/>
    <x v="0"/>
    <x v="1"/>
    <n v="1"/>
    <n v="3"/>
    <x v="1"/>
    <x v="1"/>
    <x v="0"/>
    <b v="1"/>
    <s v="Others"/>
    <x v="3"/>
  </r>
  <r>
    <d v="2026-03-20T19:20:30"/>
    <d v="2026-03-21T00:50:30"/>
    <d v="2026-03-29T15:31:36"/>
    <d v="2026-03-29T21:01:36"/>
    <d v="2026-03-26T10:43:53"/>
    <d v="2026-03-29T21:01:36"/>
    <x v="0"/>
    <n v="945"/>
    <n v="4937.7166999999999"/>
    <x v="0"/>
    <x v="202"/>
    <x v="38"/>
    <x v="14"/>
    <s v="Clinic"/>
    <s v="jobs4savitha@gmail.com"/>
    <x v="5"/>
    <s v="Trivandrum"/>
    <s v="No Go"/>
    <n v="58.65"/>
    <n v="97"/>
    <x v="1"/>
    <n v="1"/>
    <m/>
    <s v="Office Visit"/>
    <m/>
    <m/>
    <n v="1440"/>
    <s v="No"/>
    <n v="365"/>
    <s v="Normal"/>
    <s v="Achieved"/>
    <n v="0"/>
    <m/>
    <m/>
    <m/>
    <m/>
    <x v="16"/>
    <s v="Week14"/>
    <x v="14"/>
    <x v="1"/>
    <n v="94.884910485933503"/>
    <n v="0"/>
    <n v="3"/>
    <s v="Aneesh"/>
    <s v="Aneesh"/>
    <s v="Aneesh"/>
    <s v="Minor"/>
    <s v="12831188Savitha Arun"/>
    <s v="Minor"/>
    <n v="0"/>
    <x v="0"/>
    <x v="0"/>
    <n v="1"/>
    <n v="1"/>
    <x v="1"/>
    <x v="1"/>
    <x v="0"/>
    <b v="0"/>
    <s v="Others"/>
    <x v="3"/>
  </r>
  <r>
    <d v="2026-03-19T16:46:41"/>
    <d v="2026-03-19T22:16:41"/>
    <d v="2026-03-29T17:48:14"/>
    <d v="2026-03-29T23:18:14"/>
    <d v="2026-03-26T10:42:52"/>
    <d v="2026-03-29T23:18:14"/>
    <x v="0"/>
    <n v="257"/>
    <n v="5075.3666999999996"/>
    <x v="0"/>
    <x v="203"/>
    <x v="60"/>
    <x v="20"/>
    <s v="Clinic"/>
    <s v="jobs4savitha@gmail.com"/>
    <x v="5"/>
    <s v="Trivandrum"/>
    <s v="Go"/>
    <n v="25.23"/>
    <n v="100"/>
    <x v="1"/>
    <n v="5"/>
    <m/>
    <s v="Clinic Template (OHH)"/>
    <m/>
    <m/>
    <n v="1440"/>
    <s v="No"/>
    <n v="164"/>
    <s v="Normal"/>
    <s v="Achieved"/>
    <n v="0"/>
    <m/>
    <m/>
    <m/>
    <m/>
    <x v="16"/>
    <s v="Week14"/>
    <x v="20"/>
    <x v="0"/>
    <n v="100"/>
    <n v="0"/>
    <n v="0"/>
    <s v="Aneesh"/>
    <s v="Aneesh"/>
    <s v="Aneesh"/>
    <s v="Minor"/>
    <s v="12830770Savitha Arun"/>
    <s v="Minor"/>
    <n v="0"/>
    <x v="0"/>
    <x v="0"/>
    <n v="1"/>
    <n v="5"/>
    <x v="7"/>
    <x v="1"/>
    <x v="0"/>
    <b v="0"/>
    <s v="Top 25"/>
    <x v="3"/>
  </r>
  <r>
    <d v="2026-03-24T12:01:09"/>
    <d v="2026-03-24T17:31:09"/>
    <d v="2026-03-29T17:54:25"/>
    <d v="2026-03-29T23:24:25"/>
    <d v="2026-03-28T07:09:35"/>
    <d v="2026-03-29T23:24:25"/>
    <x v="0"/>
    <n v="362"/>
    <n v="2414.8332999999998"/>
    <x v="0"/>
    <x v="204"/>
    <x v="25"/>
    <x v="8"/>
    <s v="Clinic"/>
    <s v="sivasankari.a@cardioscribes.com"/>
    <x v="3"/>
    <s v="Chennai"/>
    <s v="Go"/>
    <n v="101.34"/>
    <n v="100"/>
    <x v="0"/>
    <n v="0"/>
    <m/>
    <s v="Cost Center CAS ICARE"/>
    <m/>
    <m/>
    <n v="1440"/>
    <s v="No"/>
    <n v="419"/>
    <s v="Normal"/>
    <s v="Achieved"/>
    <n v="0"/>
    <m/>
    <m/>
    <m/>
    <m/>
    <x v="16"/>
    <s v="Week14"/>
    <x v="8"/>
    <x v="0"/>
    <n v="100"/>
    <n v="0"/>
    <n v="0"/>
    <s v="Aneesh"/>
    <s v="Aneesh"/>
    <s v="Aneesh"/>
    <s v=""/>
    <s v="12831916Sivasankari A"/>
    <s v=""/>
    <s v=""/>
    <x v="0"/>
    <x v="0"/>
    <s v=""/>
    <n v="0"/>
    <x v="5"/>
    <x v="0"/>
    <x v="0"/>
    <b v="0"/>
    <s v="Top 25"/>
    <x v="1"/>
  </r>
  <r>
    <d v="2026-03-23T12:58:29"/>
    <d v="2026-03-23T18:28:29"/>
    <d v="2026-03-29T18:05:03"/>
    <d v="2026-03-29T23:35:03"/>
    <d v="2026-03-28T07:09:17"/>
    <d v="2026-03-29T23:35:03"/>
    <x v="0"/>
    <n v="1644"/>
    <n v="2425.7667000000001"/>
    <x v="0"/>
    <x v="205"/>
    <x v="66"/>
    <x v="3"/>
    <s v="Clinic"/>
    <s v="chintul.s@mediscribes.com"/>
    <x v="8"/>
    <s v="Ahmedabad"/>
    <s v="Go"/>
    <n v="88.17"/>
    <n v="100"/>
    <x v="0"/>
    <n v="0"/>
    <m/>
    <s v="PSYCHOLOGICAL REPORT"/>
    <m/>
    <m/>
    <n v="1440"/>
    <s v="No"/>
    <n v="816"/>
    <s v="Normal"/>
    <s v="Achieved"/>
    <n v="0"/>
    <m/>
    <m/>
    <m/>
    <m/>
    <x v="16"/>
    <s v="Week14"/>
    <x v="3"/>
    <x v="0"/>
    <n v="100"/>
    <n v="0"/>
    <n v="0"/>
    <s v="Harsh"/>
    <s v="Ankit"/>
    <s v="Ankit"/>
    <s v=""/>
    <s v="12831559Chintul Sutaria"/>
    <s v=""/>
    <s v=""/>
    <x v="1"/>
    <x v="0"/>
    <s v=""/>
    <n v="0"/>
    <x v="12"/>
    <x v="0"/>
    <x v="0"/>
    <b v="0"/>
    <s v="Top 25"/>
    <x v="5"/>
  </r>
  <r>
    <d v="2026-03-19T17:28:51"/>
    <d v="2026-03-19T22:58:51"/>
    <d v="2026-03-29T18:09:01"/>
    <d v="2026-03-29T23:39:01"/>
    <d v="2026-03-26T10:43:27"/>
    <d v="2026-03-29T23:39:01"/>
    <x v="0"/>
    <n v="219"/>
    <n v="5095.5667000000003"/>
    <x v="0"/>
    <x v="206"/>
    <x v="36"/>
    <x v="12"/>
    <s v="Clinic"/>
    <s v="PratheepKumar.a@cardioscribes.com"/>
    <x v="6"/>
    <s v="Chennai"/>
    <s v="Go"/>
    <n v="42.18"/>
    <n v="99"/>
    <x v="2"/>
    <n v="1"/>
    <m/>
    <s v="CAMG_OV"/>
    <m/>
    <m/>
    <n v="1440"/>
    <s v="No"/>
    <n v="141"/>
    <s v="Normal"/>
    <s v="Achieved"/>
    <n v="0"/>
    <m/>
    <m/>
    <m/>
    <m/>
    <x v="16"/>
    <s v="Week14"/>
    <x v="12"/>
    <x v="1"/>
    <n v="97.629208155523941"/>
    <n v="1"/>
    <n v="1"/>
    <s v="Harsh"/>
    <s v="Aneesh"/>
    <s v="Aneesh"/>
    <s v="Major"/>
    <s v="12830892Pratheep Kumar"/>
    <s v="Major"/>
    <n v="1"/>
    <x v="0"/>
    <x v="1"/>
    <n v="1"/>
    <n v="1"/>
    <x v="6"/>
    <x v="0"/>
    <x v="0"/>
    <b v="1"/>
    <s v="Top 25"/>
    <x v="4"/>
  </r>
  <r>
    <d v="2026-03-19T17:28:51"/>
    <d v="2026-03-19T22:58:51"/>
    <d v="2026-03-29T18:09:01"/>
    <d v="2026-03-29T23:39:01"/>
    <d v="2026-03-26T10:43:27"/>
    <d v="2026-03-29T23:39:01"/>
    <x v="0"/>
    <n v="219"/>
    <n v="5095.5667000000003"/>
    <x v="0"/>
    <x v="206"/>
    <x v="36"/>
    <x v="12"/>
    <s v="Clinic"/>
    <s v="PratheepKumar.a@cardioscribes.com"/>
    <x v="6"/>
    <s v="Chennai"/>
    <s v="Go"/>
    <n v="42.18"/>
    <n v="99"/>
    <x v="1"/>
    <n v="3"/>
    <m/>
    <s v="CAMG_OV"/>
    <m/>
    <m/>
    <n v="1440"/>
    <s v="No"/>
    <n v="141"/>
    <s v="Normal"/>
    <s v="Achieved"/>
    <n v="0"/>
    <m/>
    <m/>
    <m/>
    <m/>
    <x v="16"/>
    <s v="Week14"/>
    <x v="12"/>
    <x v="1"/>
    <n v="97.629208155523941"/>
    <n v="0"/>
    <n v="1"/>
    <s v="Harsh"/>
    <s v="Aneesh"/>
    <s v="Aneesh"/>
    <s v="Minor"/>
    <s v="12830892Pratheep Kumar"/>
    <s v="Minor"/>
    <n v="0"/>
    <x v="0"/>
    <x v="0"/>
    <n v="1"/>
    <n v="3"/>
    <x v="6"/>
    <x v="0"/>
    <x v="0"/>
    <b v="0"/>
    <s v="Top 25"/>
    <x v="4"/>
  </r>
  <r>
    <d v="2026-03-19T17:29:49"/>
    <d v="2026-03-19T22:59:49"/>
    <d v="2026-03-29T18:12:45"/>
    <d v="2026-03-29T23:42:45"/>
    <d v="2026-03-26T10:43:32"/>
    <d v="2026-03-29T23:42:45"/>
    <x v="0"/>
    <n v="219"/>
    <n v="5099.2166999999999"/>
    <x v="0"/>
    <x v="207"/>
    <x v="36"/>
    <x v="12"/>
    <s v="Clinic"/>
    <s v="PratheepKumar.a@cardioscribes.com"/>
    <x v="6"/>
    <s v="Chennai"/>
    <s v="Go"/>
    <n v="45.05"/>
    <n v="100"/>
    <x v="1"/>
    <n v="1"/>
    <m/>
    <s v="CAMG_OV"/>
    <m/>
    <m/>
    <n v="1440"/>
    <s v="No"/>
    <n v="159"/>
    <s v="Normal"/>
    <s v="Achieved"/>
    <n v="0"/>
    <m/>
    <m/>
    <m/>
    <m/>
    <x v="16"/>
    <s v="Week14"/>
    <x v="12"/>
    <x v="0"/>
    <n v="100"/>
    <n v="0"/>
    <n v="0"/>
    <s v="Harsh"/>
    <s v="Aneesh"/>
    <s v="Aneesh"/>
    <s v="Minor"/>
    <s v="12830878Pratheep Kumar"/>
    <s v="Minor"/>
    <n v="0"/>
    <x v="0"/>
    <x v="0"/>
    <n v="1"/>
    <n v="1"/>
    <x v="6"/>
    <x v="0"/>
    <x v="0"/>
    <b v="0"/>
    <s v="Top 25"/>
    <x v="4"/>
  </r>
  <r>
    <d v="2026-03-26T12:12:52"/>
    <d v="2026-03-26T17:42:52"/>
    <d v="2026-03-29T18:19:24"/>
    <d v="2026-03-29T23:49:24"/>
    <d v="2026-03-28T07:10:03"/>
    <d v="2026-03-29T23:49:24"/>
    <x v="0"/>
    <n v="387"/>
    <n v="2439.35"/>
    <x v="0"/>
    <x v="208"/>
    <x v="25"/>
    <x v="8"/>
    <s v="Clinic"/>
    <s v="sivasankari.a@cardioscribes.com"/>
    <x v="3"/>
    <s v="Chennai"/>
    <s v="Go"/>
    <n v="104.06"/>
    <n v="100"/>
    <x v="0"/>
    <n v="0"/>
    <m/>
    <s v="Cost Center CAS ICARE"/>
    <m/>
    <m/>
    <n v="1440"/>
    <s v="No"/>
    <n v="451"/>
    <s v="Normal"/>
    <s v="Achieved"/>
    <n v="0"/>
    <m/>
    <m/>
    <m/>
    <m/>
    <x v="16"/>
    <s v="Week14"/>
    <x v="8"/>
    <x v="0"/>
    <n v="100"/>
    <n v="0"/>
    <n v="0"/>
    <s v="Aneesh"/>
    <s v="Aneesh"/>
    <s v="Aneesh"/>
    <s v=""/>
    <s v="12832704Sivasankari A"/>
    <s v=""/>
    <s v=""/>
    <x v="0"/>
    <x v="0"/>
    <s v=""/>
    <n v="0"/>
    <x v="5"/>
    <x v="0"/>
    <x v="0"/>
    <b v="0"/>
    <s v="Top 25"/>
    <x v="1"/>
  </r>
  <r>
    <d v="2026-03-25T15:12:59"/>
    <d v="2026-03-25T20:42:59"/>
    <d v="2026-03-29T18:26:07"/>
    <d v="2026-03-29T23:56:07"/>
    <d v="2026-03-28T07:09:54"/>
    <d v="2026-03-29T23:56:07"/>
    <x v="0"/>
    <n v="392"/>
    <n v="2446.2166999999999"/>
    <x v="0"/>
    <x v="209"/>
    <x v="25"/>
    <x v="8"/>
    <s v="Clinic"/>
    <s v="sivasankari.a@cardioscribes.com"/>
    <x v="3"/>
    <s v="Chennai"/>
    <s v="Go"/>
    <n v="102.26"/>
    <n v="100"/>
    <x v="0"/>
    <n v="0"/>
    <m/>
    <s v="Cost Center CAS ICARE"/>
    <m/>
    <m/>
    <n v="1440"/>
    <s v="No"/>
    <n v="428"/>
    <s v="Normal"/>
    <s v="Achieved"/>
    <n v="0"/>
    <m/>
    <m/>
    <m/>
    <m/>
    <x v="16"/>
    <s v="Week14"/>
    <x v="8"/>
    <x v="0"/>
    <n v="100"/>
    <n v="0"/>
    <n v="0"/>
    <s v="Aneesh"/>
    <s v="Aneesh"/>
    <s v="Aneesh"/>
    <s v=""/>
    <s v="12832393Sivasankari A"/>
    <s v=""/>
    <s v=""/>
    <x v="0"/>
    <x v="0"/>
    <s v=""/>
    <n v="0"/>
    <x v="5"/>
    <x v="0"/>
    <x v="0"/>
    <b v="0"/>
    <s v="Top 25"/>
    <x v="1"/>
  </r>
  <r>
    <d v="2026-03-24T21:40:31"/>
    <d v="2026-03-25T03:10:31"/>
    <d v="2026-03-29T18:31:10"/>
    <d v="2026-03-30T00:01:10"/>
    <d v="2026-03-28T07:10:19"/>
    <d v="2026-03-30T00:01:10"/>
    <x v="0"/>
    <n v="293"/>
    <n v="2450.85"/>
    <x v="0"/>
    <x v="210"/>
    <x v="25"/>
    <x v="8"/>
    <s v="Clinic"/>
    <s v="sivasankari.a@cardioscribes.com"/>
    <x v="3"/>
    <s v="Chennai"/>
    <s v="Go"/>
    <n v="88.29"/>
    <n v="100"/>
    <x v="0"/>
    <n v="0"/>
    <m/>
    <s v="Cost Center CAS ICARE"/>
    <m/>
    <m/>
    <n v="1440"/>
    <s v="No"/>
    <n v="337"/>
    <s v="Normal"/>
    <s v="Achieved"/>
    <n v="0"/>
    <m/>
    <m/>
    <m/>
    <m/>
    <x v="17"/>
    <s v="Week14"/>
    <x v="8"/>
    <x v="0"/>
    <n v="100"/>
    <n v="0"/>
    <n v="0"/>
    <s v="Aneesh"/>
    <s v="Aneesh"/>
    <s v="Aneesh"/>
    <s v=""/>
    <s v="12832163Sivasankari A"/>
    <s v=""/>
    <s v=""/>
    <x v="0"/>
    <x v="0"/>
    <s v=""/>
    <n v="0"/>
    <x v="5"/>
    <x v="0"/>
    <x v="0"/>
    <b v="0"/>
    <s v="Top 25"/>
    <x v="1"/>
  </r>
  <r>
    <d v="2026-03-19T18:46:41"/>
    <d v="2026-03-20T00:16:41"/>
    <d v="2026-03-30T11:49:19"/>
    <d v="2026-03-30T17:19:19"/>
    <d v="2026-03-25T21:51:42"/>
    <d v="2026-03-30T17:19:19"/>
    <x v="0"/>
    <n v="3157"/>
    <n v="6927.6166999999996"/>
    <x v="0"/>
    <x v="211"/>
    <x v="47"/>
    <x v="12"/>
    <s v="Clinic"/>
    <s v="Tejasahm@gmail.com"/>
    <x v="7"/>
    <s v="Ahmedabad"/>
    <s v="No Go"/>
    <n v="52.57"/>
    <n v="98"/>
    <x v="2"/>
    <n v="1"/>
    <m/>
    <s v="CAMG_OV"/>
    <m/>
    <m/>
    <n v="1440"/>
    <s v="No"/>
    <n v="280"/>
    <s v="Normal"/>
    <s v="Achieved"/>
    <n v="0"/>
    <m/>
    <m/>
    <m/>
    <m/>
    <x v="17"/>
    <s v="Week14"/>
    <x v="12"/>
    <x v="1"/>
    <n v="96.19554879208674"/>
    <n v="1"/>
    <n v="2"/>
    <s v="Harsh"/>
    <s v="Ankit"/>
    <s v="Ankit"/>
    <s v="Major"/>
    <s v="12830909Tejas Patel"/>
    <s v="Major"/>
    <n v="1"/>
    <x v="1"/>
    <x v="1"/>
    <n v="1"/>
    <n v="1"/>
    <x v="8"/>
    <x v="0"/>
    <x v="0"/>
    <b v="1"/>
    <s v="Top 25"/>
    <x v="5"/>
  </r>
  <r>
    <d v="2026-03-19T18:46:41"/>
    <d v="2026-03-20T00:16:41"/>
    <d v="2026-03-30T11:49:19"/>
    <d v="2026-03-30T17:19:19"/>
    <d v="2026-03-25T21:51:42"/>
    <d v="2026-03-30T17:19:19"/>
    <x v="0"/>
    <n v="3157"/>
    <n v="6927.6166999999996"/>
    <x v="0"/>
    <x v="211"/>
    <x v="47"/>
    <x v="12"/>
    <s v="Clinic"/>
    <s v="Tejasahm@gmail.com"/>
    <x v="7"/>
    <s v="Ahmedabad"/>
    <s v="No Go"/>
    <n v="52.57"/>
    <n v="98"/>
    <x v="4"/>
    <n v="1"/>
    <m/>
    <s v="CAMG_OV"/>
    <m/>
    <m/>
    <n v="1440"/>
    <s v="No"/>
    <n v="280"/>
    <s v="Normal"/>
    <s v="Achieved"/>
    <n v="0"/>
    <m/>
    <m/>
    <m/>
    <m/>
    <x v="17"/>
    <s v="Week14"/>
    <x v="12"/>
    <x v="1"/>
    <n v="96.19554879208674"/>
    <n v="1"/>
    <n v="2"/>
    <s v="Harsh"/>
    <s v="Ankit"/>
    <s v="Ankit"/>
    <s v="Major"/>
    <s v="12830909Tejas Patel"/>
    <s v="Major"/>
    <n v="1"/>
    <x v="1"/>
    <x v="1"/>
    <n v="1"/>
    <n v="1"/>
    <x v="8"/>
    <x v="0"/>
    <x v="0"/>
    <b v="1"/>
    <s v="Top 25"/>
    <x v="5"/>
  </r>
  <r>
    <d v="2026-03-19T18:46:41"/>
    <d v="2026-03-20T00:16:41"/>
    <d v="2026-03-30T11:49:19"/>
    <d v="2026-03-30T17:19:19"/>
    <d v="2026-03-25T21:51:42"/>
    <d v="2026-03-30T17:19:19"/>
    <x v="0"/>
    <n v="3157"/>
    <n v="6927.6166999999996"/>
    <x v="0"/>
    <x v="211"/>
    <x v="47"/>
    <x v="12"/>
    <s v="Clinic"/>
    <s v="Tejasahm@gmail.com"/>
    <x v="7"/>
    <s v="Ahmedabad"/>
    <s v="No Go"/>
    <n v="52.57"/>
    <n v="98"/>
    <x v="1"/>
    <n v="2"/>
    <m/>
    <s v="CAMG_OV"/>
    <m/>
    <m/>
    <n v="1440"/>
    <s v="No"/>
    <n v="280"/>
    <s v="Normal"/>
    <s v="Achieved"/>
    <n v="0"/>
    <m/>
    <m/>
    <m/>
    <m/>
    <x v="17"/>
    <s v="Week14"/>
    <x v="12"/>
    <x v="1"/>
    <n v="96.19554879208674"/>
    <n v="0"/>
    <n v="2"/>
    <s v="Harsh"/>
    <s v="Ankit"/>
    <s v="Ankit"/>
    <s v="Minor"/>
    <s v="12830909Tejas Patel"/>
    <s v="Minor"/>
    <n v="0"/>
    <x v="1"/>
    <x v="0"/>
    <n v="1"/>
    <n v="2"/>
    <x v="8"/>
    <x v="0"/>
    <x v="0"/>
    <b v="0"/>
    <s v="Top 25"/>
    <x v="5"/>
  </r>
  <r>
    <d v="2026-03-24T14:44:32"/>
    <d v="2026-03-24T20:14:32"/>
    <d v="2026-03-30T12:08:27"/>
    <d v="2026-03-30T17:38:27"/>
    <d v="2026-03-30T00:02:18"/>
    <d v="2026-03-30T17:38:27"/>
    <x v="0"/>
    <n v="909"/>
    <n v="1056.1500000000001"/>
    <x v="0"/>
    <x v="212"/>
    <x v="63"/>
    <x v="21"/>
    <s v="Clinic"/>
    <s v="sivasankari.a@cardioscribes.com"/>
    <x v="3"/>
    <s v="Chennai"/>
    <s v="Go"/>
    <n v="21.25"/>
    <n v="100"/>
    <x v="0"/>
    <n v="0"/>
    <m/>
    <s v="Operation Note"/>
    <m/>
    <m/>
    <n v="1440"/>
    <s v="No"/>
    <n v="77"/>
    <s v="Normal"/>
    <s v="Achieved"/>
    <n v="0"/>
    <m/>
    <m/>
    <m/>
    <m/>
    <x v="17"/>
    <s v="Week14"/>
    <x v="21"/>
    <x v="0"/>
    <n v="100"/>
    <n v="0"/>
    <n v="0"/>
    <s v="Aneesh"/>
    <s v="Aneesh"/>
    <s v="Aneesh"/>
    <s v=""/>
    <s v="12832009Sivasankari A"/>
    <s v=""/>
    <s v=""/>
    <x v="0"/>
    <x v="0"/>
    <s v=""/>
    <n v="0"/>
    <x v="5"/>
    <x v="0"/>
    <x v="0"/>
    <b v="0"/>
    <s v="Others"/>
    <x v="1"/>
  </r>
  <r>
    <d v="2026-03-23T15:50:09"/>
    <d v="2026-03-23T21:20:09"/>
    <d v="2026-03-30T12:10:42"/>
    <d v="2026-03-30T17:40:42"/>
    <d v="2026-03-30T00:02:01"/>
    <d v="2026-03-30T17:40:42"/>
    <x v="0"/>
    <n v="125"/>
    <n v="1058.6832999999999"/>
    <x v="0"/>
    <x v="213"/>
    <x v="69"/>
    <x v="22"/>
    <s v="Clinic"/>
    <s v="chintul.s@mediscribes.com"/>
    <x v="8"/>
    <s v="Ahmedabad"/>
    <s v="Go"/>
    <n v="15.12"/>
    <n v="100"/>
    <x v="0"/>
    <n v="0"/>
    <m/>
    <s v="Letter"/>
    <m/>
    <m/>
    <n v="1440"/>
    <s v="No"/>
    <n v="82"/>
    <s v="Normal"/>
    <s v="Achieved"/>
    <n v="0"/>
    <m/>
    <m/>
    <m/>
    <m/>
    <x v="17"/>
    <s v="Week14"/>
    <x v="22"/>
    <x v="0"/>
    <n v="100"/>
    <n v="0"/>
    <n v="0"/>
    <s v="Harsh"/>
    <s v="Ankit"/>
    <s v="Harsh"/>
    <s v=""/>
    <s v="12831603Chintul Sutaria"/>
    <s v=""/>
    <s v=""/>
    <x v="1"/>
    <x v="0"/>
    <s v=""/>
    <n v="0"/>
    <x v="14"/>
    <x v="1"/>
    <x v="0"/>
    <b v="0"/>
    <s v="Others"/>
    <x v="5"/>
  </r>
  <r>
    <d v="2026-03-26T11:13:37"/>
    <d v="2026-03-26T16:43:37"/>
    <d v="2026-03-30T12:12:46"/>
    <d v="2026-03-30T17:42:46"/>
    <d v="2026-03-30T00:02:39"/>
    <d v="2026-03-30T17:42:46"/>
    <x v="0"/>
    <n v="104"/>
    <n v="1060.1167"/>
    <x v="0"/>
    <x v="214"/>
    <x v="70"/>
    <x v="10"/>
    <s v="Clinic"/>
    <s v="gopalrajith@gmail.com"/>
    <x v="4"/>
    <s v="Trivandrum"/>
    <s v="Go"/>
    <n v="17.52"/>
    <n v="100"/>
    <x v="0"/>
    <n v="0"/>
    <m/>
    <s v="RMCA_OP"/>
    <m/>
    <m/>
    <n v="720"/>
    <s v="No"/>
    <n v="86"/>
    <s v="Normal"/>
    <s v="Achieved"/>
    <n v="0"/>
    <m/>
    <m/>
    <m/>
    <m/>
    <x v="17"/>
    <s v="Week14"/>
    <x v="10"/>
    <x v="0"/>
    <n v="100"/>
    <n v="0"/>
    <n v="0"/>
    <s v="Ankit"/>
    <s v="Aneesh"/>
    <s v="Aneesh"/>
    <s v=""/>
    <s v="12832705Gopal Rajith"/>
    <s v=""/>
    <s v=""/>
    <x v="0"/>
    <x v="0"/>
    <s v=""/>
    <n v="0"/>
    <x v="4"/>
    <x v="0"/>
    <x v="0"/>
    <b v="0"/>
    <s v="Top 25"/>
    <x v="2"/>
  </r>
  <r>
    <d v="2026-03-19T09:05:40"/>
    <d v="2026-03-19T14:35:40"/>
    <d v="2026-03-30T12:21:52"/>
    <d v="2026-03-30T17:51:52"/>
    <d v="2026-03-26T10:42:46"/>
    <d v="2026-03-30T17:51:52"/>
    <x v="0"/>
    <n v="2331"/>
    <n v="6189.1"/>
    <x v="0"/>
    <x v="215"/>
    <x v="60"/>
    <x v="20"/>
    <s v="Clinic"/>
    <s v="jobs4savitha@gmail.com"/>
    <x v="5"/>
    <s v="Trivandrum"/>
    <s v="Go"/>
    <n v="35.880000000000003"/>
    <n v="100"/>
    <x v="1"/>
    <n v="1"/>
    <m/>
    <s v="Clinic Template (OHH)"/>
    <m/>
    <m/>
    <n v="1440"/>
    <s v="No"/>
    <n v="219"/>
    <s v="Normal"/>
    <s v="Achieved"/>
    <n v="0"/>
    <m/>
    <m/>
    <m/>
    <m/>
    <x v="17"/>
    <s v="Week14"/>
    <x v="20"/>
    <x v="0"/>
    <n v="100"/>
    <n v="0"/>
    <n v="0"/>
    <s v="Aneesh"/>
    <s v="Aneesh"/>
    <s v="Aneesh"/>
    <s v="Minor"/>
    <s v="12830607Savitha Arun"/>
    <s v="Minor"/>
    <n v="0"/>
    <x v="0"/>
    <x v="0"/>
    <n v="1"/>
    <n v="1"/>
    <x v="4"/>
    <x v="1"/>
    <x v="0"/>
    <b v="0"/>
    <s v="Top 25"/>
    <x v="3"/>
  </r>
  <r>
    <d v="2026-03-19T16:57:06"/>
    <d v="2026-03-19T22:27:06"/>
    <d v="2026-03-30T12:27:13"/>
    <d v="2026-03-30T17:57:13"/>
    <d v="2026-03-26T10:42:59"/>
    <d v="2026-03-30T17:57:13"/>
    <x v="0"/>
    <n v="294"/>
    <n v="6194.2332999999999"/>
    <x v="0"/>
    <x v="216"/>
    <x v="60"/>
    <x v="20"/>
    <s v="Clinic"/>
    <s v="jobs4savitha@gmail.com"/>
    <x v="5"/>
    <s v="Trivandrum"/>
    <s v="Go"/>
    <n v="29.49"/>
    <n v="99"/>
    <x v="2"/>
    <n v="1"/>
    <m/>
    <s v="Clinic Template (OHH)"/>
    <m/>
    <m/>
    <n v="1440"/>
    <s v="No"/>
    <n v="183"/>
    <s v="Normal"/>
    <s v="Achieved"/>
    <n v="0"/>
    <m/>
    <m/>
    <m/>
    <m/>
    <x v="17"/>
    <s v="Week14"/>
    <x v="20"/>
    <x v="1"/>
    <n v="96.609020006781961"/>
    <n v="1"/>
    <n v="1"/>
    <s v="Aneesh"/>
    <s v="Aneesh"/>
    <s v="Aneesh"/>
    <s v="Major"/>
    <s v="12830772Savitha Arun"/>
    <s v="Major"/>
    <n v="1"/>
    <x v="0"/>
    <x v="1"/>
    <n v="1"/>
    <n v="1"/>
    <x v="7"/>
    <x v="1"/>
    <x v="0"/>
    <b v="1"/>
    <s v="Top 25"/>
    <x v="3"/>
  </r>
  <r>
    <d v="2026-03-19T16:57:06"/>
    <d v="2026-03-19T22:27:06"/>
    <d v="2026-03-30T12:27:13"/>
    <d v="2026-03-30T17:57:13"/>
    <d v="2026-03-26T10:42:59"/>
    <d v="2026-03-30T17:57:13"/>
    <x v="0"/>
    <n v="294"/>
    <n v="6194.2332999999999"/>
    <x v="0"/>
    <x v="216"/>
    <x v="60"/>
    <x v="20"/>
    <s v="Clinic"/>
    <s v="jobs4savitha@gmail.com"/>
    <x v="5"/>
    <s v="Trivandrum"/>
    <s v="Go"/>
    <n v="29.49"/>
    <n v="99"/>
    <x v="1"/>
    <n v="4"/>
    <m/>
    <s v="Clinic Template (OHH)"/>
    <m/>
    <m/>
    <n v="1440"/>
    <s v="No"/>
    <n v="183"/>
    <s v="Normal"/>
    <s v="Achieved"/>
    <n v="0"/>
    <m/>
    <m/>
    <m/>
    <m/>
    <x v="17"/>
    <s v="Week14"/>
    <x v="20"/>
    <x v="1"/>
    <n v="96.609020006781961"/>
    <n v="0"/>
    <n v="1"/>
    <s v="Aneesh"/>
    <s v="Aneesh"/>
    <s v="Aneesh"/>
    <s v="Minor"/>
    <s v="12830772Savitha Arun"/>
    <s v="Minor"/>
    <n v="0"/>
    <x v="0"/>
    <x v="0"/>
    <n v="1"/>
    <n v="4"/>
    <x v="7"/>
    <x v="1"/>
    <x v="0"/>
    <b v="0"/>
    <s v="Top 25"/>
    <x v="3"/>
  </r>
  <r>
    <d v="2026-03-24T21:34:58"/>
    <d v="2026-03-25T03:04:58"/>
    <d v="2026-03-30T12:40:31"/>
    <d v="2026-03-30T18:10:31"/>
    <d v="2026-03-28T07:10:12"/>
    <d v="2026-03-30T18:10:31"/>
    <x v="0"/>
    <n v="626"/>
    <n v="3540.3166999999999"/>
    <x v="0"/>
    <x v="217"/>
    <x v="58"/>
    <x v="19"/>
    <s v="Clinic"/>
    <s v="chintul.s@mediscribes.com"/>
    <x v="8"/>
    <s v="Ahmedabad"/>
    <s v="Go"/>
    <n v="60.92"/>
    <n v="100"/>
    <x v="1"/>
    <n v="5"/>
    <m/>
    <s v="Office Visits"/>
    <m/>
    <m/>
    <n v="1440"/>
    <s v="No"/>
    <n v="345"/>
    <s v="Normal"/>
    <s v="Achieved"/>
    <n v="1"/>
    <m/>
    <m/>
    <m/>
    <m/>
    <x v="17"/>
    <s v="Week14"/>
    <x v="19"/>
    <x v="0"/>
    <n v="100"/>
    <n v="0"/>
    <n v="0"/>
    <s v="Ankit"/>
    <s v="Ankit"/>
    <s v="Ankit"/>
    <s v="Minor"/>
    <s v="12832160Chintul Sutaria"/>
    <s v="Minor"/>
    <n v="0"/>
    <x v="1"/>
    <x v="0"/>
    <n v="1"/>
    <n v="5"/>
    <x v="16"/>
    <x v="1"/>
    <x v="0"/>
    <b v="0"/>
    <s v="Others"/>
    <x v="5"/>
  </r>
  <r>
    <d v="2026-03-24T08:43:26"/>
    <d v="2026-03-24T14:13:26"/>
    <d v="2026-03-30T12:49:55"/>
    <d v="2026-03-30T18:19:55"/>
    <d v="2026-03-30T00:02:07"/>
    <d v="2026-03-30T18:19:55"/>
    <x v="0"/>
    <n v="509"/>
    <n v="1097.8"/>
    <x v="0"/>
    <x v="218"/>
    <x v="2"/>
    <x v="2"/>
    <s v="Clinic"/>
    <s v="gopalrajith@gmail.com"/>
    <x v="4"/>
    <s v="Trivandrum"/>
    <s v="Go"/>
    <n v="67.599999999999994"/>
    <n v="100"/>
    <x v="0"/>
    <n v="0"/>
    <m/>
    <s v="Psychiatric Assessment"/>
    <m/>
    <m/>
    <n v="1440"/>
    <s v="No"/>
    <n v="214"/>
    <s v="Normal"/>
    <s v="Achieved"/>
    <n v="0"/>
    <m/>
    <m/>
    <m/>
    <m/>
    <x v="17"/>
    <s v="Week14"/>
    <x v="2"/>
    <x v="0"/>
    <n v="100"/>
    <n v="0"/>
    <n v="0"/>
    <s v="Aneesh"/>
    <s v="Aneesh"/>
    <s v="Aneesh"/>
    <s v=""/>
    <s v="12831908Gopal Rajith"/>
    <s v=""/>
    <s v=""/>
    <x v="0"/>
    <x v="0"/>
    <s v=""/>
    <n v="0"/>
    <x v="4"/>
    <x v="0"/>
    <x v="0"/>
    <b v="0"/>
    <s v="Fundamental"/>
    <x v="2"/>
  </r>
  <r>
    <d v="2026-03-26T13:03:56"/>
    <d v="2026-03-26T18:33:56"/>
    <d v="2026-03-30T12:56:56"/>
    <d v="2026-03-30T18:26:56"/>
    <d v="2026-03-30T00:02:45"/>
    <d v="2026-03-30T18:26:56"/>
    <x v="0"/>
    <n v="95"/>
    <n v="1104.1832999999999"/>
    <x v="0"/>
    <x v="219"/>
    <x v="71"/>
    <x v="15"/>
    <s v="Clinic"/>
    <s v="gopalrajith@gmail.com"/>
    <x v="4"/>
    <s v="Trivandrum"/>
    <s v="Go"/>
    <n v="14.38"/>
    <n v="100"/>
    <x v="0"/>
    <n v="0"/>
    <m/>
    <s v="Operative Report"/>
    <m/>
    <m/>
    <n v="720"/>
    <s v="No"/>
    <n v="80"/>
    <s v="Normal"/>
    <s v="Achieved"/>
    <n v="0"/>
    <m/>
    <m/>
    <m/>
    <m/>
    <x v="17"/>
    <s v="Week14"/>
    <x v="15"/>
    <x v="0"/>
    <n v="100"/>
    <n v="0"/>
    <n v="0"/>
    <s v="Ankit"/>
    <s v="Aneesh"/>
    <s v="Aneesh"/>
    <s v=""/>
    <s v="12832737Gopal Rajith"/>
    <s v=""/>
    <s v=""/>
    <x v="0"/>
    <x v="0"/>
    <s v=""/>
    <n v="0"/>
    <x v="4"/>
    <x v="0"/>
    <x v="3"/>
    <b v="0"/>
    <s v="Others"/>
    <x v="2"/>
  </r>
  <r>
    <d v="2026-03-25T12:55:40"/>
    <d v="2026-03-25T18:25:40"/>
    <d v="2026-03-30T13:02:30"/>
    <d v="2026-03-30T18:32:30"/>
    <d v="2026-03-30T00:02:23"/>
    <d v="2026-03-30T18:32:30"/>
    <x v="0"/>
    <n v="309"/>
    <n v="1110.1167"/>
    <x v="0"/>
    <x v="220"/>
    <x v="72"/>
    <x v="5"/>
    <s v="Clinic"/>
    <s v="chintul.s@mediscribes.com"/>
    <x v="8"/>
    <s v="Ahmedabad"/>
    <s v="Go"/>
    <n v="39.15"/>
    <n v="100"/>
    <x v="0"/>
    <n v="0"/>
    <m/>
    <s v="Operative Report"/>
    <m/>
    <m/>
    <n v="360"/>
    <s v="No"/>
    <n v="153"/>
    <s v="Normal"/>
    <s v="Achieved"/>
    <n v="0"/>
    <m/>
    <m/>
    <m/>
    <m/>
    <x v="17"/>
    <s v="Week14"/>
    <x v="5"/>
    <x v="0"/>
    <n v="100"/>
    <n v="0"/>
    <n v="0"/>
    <s v="Ankit"/>
    <s v="Ankit"/>
    <s v="Aneesh"/>
    <s v=""/>
    <s v="12832291Chintul Sutaria"/>
    <s v=""/>
    <s v=""/>
    <x v="1"/>
    <x v="0"/>
    <s v=""/>
    <n v="0"/>
    <x v="0"/>
    <x v="1"/>
    <x v="0"/>
    <b v="0"/>
    <s v="Others"/>
    <x v="5"/>
  </r>
  <r>
    <d v="2026-03-26T07:38:41"/>
    <d v="2026-03-26T13:08:41"/>
    <d v="2026-03-30T15:01:53"/>
    <d v="2026-03-30T20:31:53"/>
    <d v="2026-03-30T20:31:43"/>
    <d v="2026-03-30T20:31:53"/>
    <x v="0"/>
    <n v="6"/>
    <n v="0.16669999999999999"/>
    <x v="0"/>
    <x v="221"/>
    <x v="56"/>
    <x v="10"/>
    <s v="Clinic"/>
    <s v="gopalrajith@gmail.com"/>
    <x v="4"/>
    <s v="Trivandrum"/>
    <s v="Go"/>
    <n v="0.6"/>
    <n v="100"/>
    <x v="0"/>
    <n v="0"/>
    <m/>
    <s v="RMCA_SLEEP_STUDY"/>
    <m/>
    <m/>
    <n v="1440"/>
    <s v="No"/>
    <n v="0"/>
    <s v="Normal"/>
    <s v="Achieved"/>
    <n v="0"/>
    <m/>
    <m/>
    <m/>
    <m/>
    <x v="17"/>
    <s v="Week14"/>
    <x v="10"/>
    <x v="0"/>
    <n v="100"/>
    <n v="0"/>
    <n v="0"/>
    <s v="Ankit"/>
    <s v="Aneesh"/>
    <s v="Aneesh"/>
    <s v=""/>
    <s v="12832650Gopal Rajith"/>
    <s v=""/>
    <s v=""/>
    <x v="0"/>
    <x v="0"/>
    <s v=""/>
    <n v="0"/>
    <x v="4"/>
    <x v="0"/>
    <x v="0"/>
    <b v="0"/>
    <s v="Top 25"/>
    <x v="2"/>
  </r>
  <r>
    <d v="2026-03-26T13:39:10"/>
    <d v="2026-03-26T19:09:10"/>
    <d v="2026-03-30T18:15:42"/>
    <d v="2026-03-30T23:45:42"/>
    <d v="2026-03-30T20:32:25"/>
    <d v="2026-03-30T23:45:42"/>
    <x v="0"/>
    <n v="1717"/>
    <n v="193.2833"/>
    <x v="0"/>
    <x v="222"/>
    <x v="73"/>
    <x v="3"/>
    <s v="Clinic"/>
    <s v="chintul.s@mediscribes.com"/>
    <x v="8"/>
    <s v="Ahmedabad"/>
    <s v="Go"/>
    <n v="258.22000000000003"/>
    <n v="100"/>
    <x v="1"/>
    <n v="3"/>
    <m/>
    <s v="PSYCHOLOGICAL REPORT"/>
    <m/>
    <m/>
    <n v="1440"/>
    <s v="No"/>
    <n v="1644"/>
    <s v="Normal"/>
    <s v="Achieved"/>
    <n v="0"/>
    <m/>
    <m/>
    <m/>
    <m/>
    <x v="17"/>
    <s v="Week14"/>
    <x v="3"/>
    <x v="0"/>
    <n v="100"/>
    <n v="0"/>
    <n v="0"/>
    <s v="Harsh"/>
    <s v="Ankit"/>
    <s v="Ankit"/>
    <s v="Minor"/>
    <s v="12832756Chintul Sutaria"/>
    <s v="Minor"/>
    <n v="0"/>
    <x v="1"/>
    <x v="0"/>
    <n v="1"/>
    <n v="3"/>
    <x v="12"/>
    <x v="0"/>
    <x v="0"/>
    <b v="0"/>
    <s v="Top 25"/>
    <x v="5"/>
  </r>
  <r>
    <d v="2026-03-27T07:38:31"/>
    <d v="2026-03-27T13:08:31"/>
    <d v="2026-03-30T18:20:26"/>
    <d v="2026-03-30T23:50:26"/>
    <d v="2026-03-30T00:02:51"/>
    <d v="2026-03-30T23:50:26"/>
    <x v="0"/>
    <n v="267"/>
    <n v="1427.5833"/>
    <x v="0"/>
    <x v="223"/>
    <x v="56"/>
    <x v="10"/>
    <s v="Clinic"/>
    <s v="gopalrajith@gmail.com"/>
    <x v="4"/>
    <s v="Trivandrum"/>
    <s v="Go"/>
    <n v="26.06"/>
    <n v="100"/>
    <x v="0"/>
    <n v="0"/>
    <m/>
    <s v="RMCA_SLEEP_STUDY"/>
    <m/>
    <m/>
    <n v="1440"/>
    <s v="No"/>
    <n v="108"/>
    <s v="Normal"/>
    <s v="Null"/>
    <n v="1"/>
    <m/>
    <m/>
    <m/>
    <m/>
    <x v="17"/>
    <s v="Week14"/>
    <x v="10"/>
    <x v="0"/>
    <n v="100"/>
    <n v="0"/>
    <n v="0"/>
    <s v="Ankit"/>
    <s v="Aneesh"/>
    <s v="Aneesh"/>
    <s v=""/>
    <s v="12832988Gopal Rajith"/>
    <s v=""/>
    <s v=""/>
    <x v="0"/>
    <x v="0"/>
    <s v=""/>
    <n v="0"/>
    <x v="4"/>
    <x v="0"/>
    <x v="0"/>
    <b v="0"/>
    <s v="Top 25"/>
    <x v="2"/>
  </r>
  <r>
    <d v="2026-03-27T07:40:37"/>
    <d v="2026-03-27T13:10:37"/>
    <d v="2026-03-30T18:22:37"/>
    <d v="2026-03-30T23:52:37"/>
    <d v="2026-03-30T00:02:56"/>
    <d v="2026-03-30T23:52:37"/>
    <x v="0"/>
    <n v="119"/>
    <n v="1429.6832999999999"/>
    <x v="0"/>
    <x v="224"/>
    <x v="56"/>
    <x v="10"/>
    <s v="Clinic"/>
    <s v="gopalrajith@gmail.com"/>
    <x v="4"/>
    <s v="Trivandrum"/>
    <s v="Go"/>
    <n v="25.17"/>
    <n v="100"/>
    <x v="0"/>
    <n v="0"/>
    <m/>
    <s v="RMCA_SLEEP_STUDY"/>
    <m/>
    <m/>
    <n v="1440"/>
    <s v="No"/>
    <n v="99"/>
    <s v="Normal"/>
    <s v="Null"/>
    <n v="0"/>
    <m/>
    <m/>
    <m/>
    <m/>
    <x v="17"/>
    <s v="Week14"/>
    <x v="10"/>
    <x v="0"/>
    <n v="100"/>
    <n v="0"/>
    <n v="0"/>
    <s v="Ankit"/>
    <s v="Aneesh"/>
    <s v="Aneesh"/>
    <s v=""/>
    <s v="12832989Gopal Rajith"/>
    <s v=""/>
    <s v=""/>
    <x v="0"/>
    <x v="0"/>
    <s v=""/>
    <n v="0"/>
    <x v="4"/>
    <x v="0"/>
    <x v="0"/>
    <b v="0"/>
    <s v="Top 25"/>
    <x v="2"/>
  </r>
  <r>
    <d v="2026-03-25T08:10:01"/>
    <d v="2026-03-25T13:40:01"/>
    <d v="2026-03-30T18:29:08"/>
    <d v="2026-03-30T23:59:08"/>
    <d v="2026-03-30T00:02:28"/>
    <d v="2026-03-30T23:59:08"/>
    <x v="0"/>
    <n v="1810"/>
    <n v="1436.6667"/>
    <x v="0"/>
    <x v="225"/>
    <x v="2"/>
    <x v="2"/>
    <s v="Clinic"/>
    <s v="gopalrajith@gmail.com"/>
    <x v="4"/>
    <s v="Trivandrum"/>
    <s v="Go"/>
    <n v="74.28"/>
    <n v="100"/>
    <x v="1"/>
    <n v="1"/>
    <m/>
    <s v="Psychiatric Assessment"/>
    <m/>
    <m/>
    <n v="1440"/>
    <s v="No"/>
    <n v="225"/>
    <s v="Normal"/>
    <s v="Achieved"/>
    <n v="0"/>
    <m/>
    <m/>
    <m/>
    <m/>
    <x v="17"/>
    <s v="Week14"/>
    <x v="2"/>
    <x v="0"/>
    <n v="100"/>
    <n v="0"/>
    <n v="0"/>
    <s v="Aneesh"/>
    <s v="Aneesh"/>
    <s v="Aneesh"/>
    <s v="Minor"/>
    <s v="12832252Gopal Rajith"/>
    <s v="Minor"/>
    <n v="0"/>
    <x v="0"/>
    <x v="0"/>
    <n v="1"/>
    <n v="1"/>
    <x v="4"/>
    <x v="0"/>
    <x v="0"/>
    <b v="0"/>
    <s v="Fundamental"/>
    <x v="2"/>
  </r>
  <r>
    <d v="2026-03-25T15:58:50"/>
    <d v="2026-03-25T21:28:50"/>
    <d v="2026-03-30T18:37:52"/>
    <d v="2026-03-31T00:07:52"/>
    <d v="2026-03-30T00:02:34"/>
    <d v="2026-03-31T00:07:52"/>
    <x v="0"/>
    <n v="2895"/>
    <n v="1445.3"/>
    <x v="0"/>
    <x v="226"/>
    <x v="74"/>
    <x v="12"/>
    <s v="Clinic"/>
    <s v="chintul.s@mediscribes.com"/>
    <x v="8"/>
    <s v="Ahmedabad"/>
    <s v="Go"/>
    <n v="29.32"/>
    <n v="99"/>
    <x v="2"/>
    <n v="1"/>
    <m/>
    <s v="CAMG_OV"/>
    <m/>
    <m/>
    <n v="1440"/>
    <s v="No"/>
    <n v="123"/>
    <s v="Normal"/>
    <s v="Achieved"/>
    <n v="4"/>
    <m/>
    <m/>
    <m/>
    <m/>
    <x v="18"/>
    <s v="Week14"/>
    <x v="12"/>
    <x v="1"/>
    <n v="96.589358799454303"/>
    <n v="1"/>
    <n v="1"/>
    <s v="Harsh"/>
    <s v="Ankit"/>
    <s v="Ankit"/>
    <s v="Major"/>
    <s v="12832478Chintul Sutaria"/>
    <s v="Major"/>
    <n v="1"/>
    <x v="1"/>
    <x v="1"/>
    <n v="1"/>
    <n v="1"/>
    <x v="16"/>
    <x v="1"/>
    <x v="0"/>
    <b v="1"/>
    <s v="Top 25"/>
    <x v="5"/>
  </r>
  <r>
    <d v="2026-03-25T15:58:50"/>
    <d v="2026-03-25T21:28:50"/>
    <d v="2026-03-30T18:37:52"/>
    <d v="2026-03-31T00:07:52"/>
    <d v="2026-03-30T00:02:34"/>
    <d v="2026-03-31T00:07:52"/>
    <x v="0"/>
    <n v="2895"/>
    <n v="1445.3"/>
    <x v="0"/>
    <x v="226"/>
    <x v="74"/>
    <x v="12"/>
    <s v="Clinic"/>
    <s v="chintul.s@mediscribes.com"/>
    <x v="8"/>
    <s v="Ahmedabad"/>
    <s v="Go"/>
    <n v="29.32"/>
    <n v="99"/>
    <x v="1"/>
    <n v="1"/>
    <m/>
    <s v="CAMG_OV"/>
    <m/>
    <m/>
    <n v="1440"/>
    <s v="No"/>
    <n v="123"/>
    <s v="Normal"/>
    <s v="Achieved"/>
    <n v="4"/>
    <m/>
    <m/>
    <m/>
    <m/>
    <x v="18"/>
    <s v="Week14"/>
    <x v="12"/>
    <x v="1"/>
    <n v="96.589358799454303"/>
    <n v="0"/>
    <n v="1"/>
    <s v="Harsh"/>
    <s v="Ankit"/>
    <s v="Ankit"/>
    <s v="Minor"/>
    <s v="12832478Chintul Sutaria"/>
    <s v="Minor"/>
    <n v="0"/>
    <x v="1"/>
    <x v="0"/>
    <n v="1"/>
    <n v="1"/>
    <x v="16"/>
    <x v="1"/>
    <x v="0"/>
    <b v="0"/>
    <s v="Top 25"/>
    <x v="5"/>
  </r>
  <r>
    <d v="2026-03-27T23:16:25"/>
    <d v="2026-03-28T04:46:25"/>
    <d v="2026-03-31T11:01:39"/>
    <d v="2026-03-31T16:31:39"/>
    <d v="2026-03-30T20:32:07"/>
    <d v="2026-03-31T16:31:39"/>
    <x v="0"/>
    <n v="1530"/>
    <n v="1199.5333000000001"/>
    <x v="0"/>
    <x v="227"/>
    <x v="75"/>
    <x v="23"/>
    <s v="Clinic"/>
    <s v="chintul.s@mediscribes.com"/>
    <x v="8"/>
    <s v="Ahmedabad"/>
    <s v="Go"/>
    <n v="57.98"/>
    <n v="100"/>
    <x v="1"/>
    <n v="5"/>
    <m/>
    <s v="OV"/>
    <m/>
    <m/>
    <n v="1440"/>
    <s v="No"/>
    <n v="982"/>
    <s v="Normal"/>
    <s v="Achieved"/>
    <n v="0"/>
    <m/>
    <m/>
    <m/>
    <m/>
    <x v="18"/>
    <s v="Week14"/>
    <x v="23"/>
    <x v="0"/>
    <n v="100"/>
    <n v="0"/>
    <n v="0"/>
    <s v="Harsh"/>
    <s v="Ankit"/>
    <s v="Harsh"/>
    <s v="Minor"/>
    <s v="12833275Chintul Sutaria"/>
    <s v="Minor"/>
    <n v="0"/>
    <x v="1"/>
    <x v="0"/>
    <n v="1"/>
    <n v="5"/>
    <x v="14"/>
    <x v="1"/>
    <x v="0"/>
    <b v="0"/>
    <s v="Others"/>
    <x v="5"/>
  </r>
  <r>
    <d v="2026-03-23T17:27:52"/>
    <d v="2026-03-23T22:57:52"/>
    <d v="2026-03-31T11:30:21"/>
    <d v="2026-03-31T17:00:21"/>
    <d v="2026-03-30T20:31:18"/>
    <d v="2026-03-31T17:00:21"/>
    <x v="0"/>
    <n v="1643"/>
    <n v="1229.05"/>
    <x v="0"/>
    <x v="228"/>
    <x v="76"/>
    <x v="3"/>
    <s v="Clinic"/>
    <s v="chintul.s@mediscribes.com"/>
    <x v="8"/>
    <s v="Ahmedabad"/>
    <s v="Go"/>
    <n v="113.34"/>
    <n v="99"/>
    <x v="6"/>
    <n v="1"/>
    <m/>
    <s v="PSYCHOLOGICAL REPORT"/>
    <m/>
    <m/>
    <n v="1440"/>
    <s v="No"/>
    <n v="1240"/>
    <s v="Normal"/>
    <s v="Achieved"/>
    <n v="0"/>
    <m/>
    <m/>
    <m/>
    <m/>
    <x v="18"/>
    <s v="Week14"/>
    <x v="3"/>
    <x v="0"/>
    <n v="99.117698958884773"/>
    <n v="1"/>
    <n v="1"/>
    <s v="Harsh"/>
    <s v="Ankit"/>
    <s v="Ankit"/>
    <s v="Major"/>
    <s v="12831673Chintul Sutaria"/>
    <s v="Major"/>
    <n v="1"/>
    <x v="1"/>
    <x v="1"/>
    <n v="1"/>
    <n v="1"/>
    <x v="12"/>
    <x v="0"/>
    <x v="0"/>
    <b v="1"/>
    <s v="Top 25"/>
    <x v="5"/>
  </r>
  <r>
    <d v="2026-03-23T17:27:52"/>
    <d v="2026-03-23T22:57:52"/>
    <d v="2026-03-31T11:30:21"/>
    <d v="2026-03-31T17:00:21"/>
    <d v="2026-03-30T20:31:18"/>
    <d v="2026-03-31T17:00:21"/>
    <x v="0"/>
    <n v="1643"/>
    <n v="1229.05"/>
    <x v="0"/>
    <x v="228"/>
    <x v="76"/>
    <x v="3"/>
    <s v="Clinic"/>
    <s v="chintul.s@mediscribes.com"/>
    <x v="8"/>
    <s v="Ahmedabad"/>
    <s v="Go"/>
    <n v="113.34"/>
    <n v="99"/>
    <x v="1"/>
    <n v="5"/>
    <m/>
    <s v="PSYCHOLOGICAL REPORT"/>
    <m/>
    <m/>
    <n v="1440"/>
    <s v="No"/>
    <n v="1240"/>
    <s v="Normal"/>
    <s v="Achieved"/>
    <n v="0"/>
    <m/>
    <m/>
    <m/>
    <m/>
    <x v="18"/>
    <s v="Week14"/>
    <x v="3"/>
    <x v="0"/>
    <n v="99.117698958884773"/>
    <n v="0"/>
    <n v="1"/>
    <s v="Harsh"/>
    <s v="Ankit"/>
    <s v="Ankit"/>
    <s v="Minor"/>
    <s v="12831673Chintul Sutaria"/>
    <s v="Minor"/>
    <n v="0"/>
    <x v="1"/>
    <x v="0"/>
    <n v="1"/>
    <n v="5"/>
    <x v="12"/>
    <x v="0"/>
    <x v="0"/>
    <b v="0"/>
    <s v="Top 25"/>
    <x v="5"/>
  </r>
  <r>
    <d v="2026-03-26T12:58:10"/>
    <d v="2026-03-26T18:28:10"/>
    <d v="2026-03-31T12:32:09"/>
    <d v="2026-03-31T18:02:09"/>
    <d v="2026-03-31T16:32:22"/>
    <d v="2026-03-31T18:02:09"/>
    <x v="0"/>
    <n v="409"/>
    <n v="89.783299999999997"/>
    <x v="0"/>
    <x v="229"/>
    <x v="77"/>
    <x v="10"/>
    <s v="Clinic"/>
    <s v="gopalrajith@gmail.com"/>
    <x v="4"/>
    <s v="Trivandrum"/>
    <s v="Go"/>
    <n v="10.85"/>
    <n v="100"/>
    <x v="1"/>
    <n v="1"/>
    <m/>
    <s v="RMCA_NUCLEAR_STRESS"/>
    <m/>
    <m/>
    <n v="360"/>
    <s v="No"/>
    <n v="30"/>
    <s v="Normal"/>
    <s v="Achieved"/>
    <n v="1"/>
    <m/>
    <m/>
    <m/>
    <m/>
    <x v="18"/>
    <s v="Week14"/>
    <x v="10"/>
    <x v="0"/>
    <n v="100"/>
    <n v="0"/>
    <n v="0"/>
    <s v="Ankit"/>
    <s v="Aneesh"/>
    <s v="Aneesh"/>
    <s v="Minor"/>
    <s v="12832718Gopal Rajith"/>
    <s v="Minor"/>
    <n v="0"/>
    <x v="0"/>
    <x v="0"/>
    <n v="1"/>
    <n v="1"/>
    <x v="4"/>
    <x v="0"/>
    <x v="0"/>
    <b v="0"/>
    <s v="Top 25"/>
    <x v="2"/>
  </r>
  <r>
    <d v="2026-03-26T12:56:44"/>
    <d v="2026-03-26T18:26:44"/>
    <d v="2026-03-31T12:33:27"/>
    <d v="2026-03-31T18:03:27"/>
    <d v="2026-03-31T16:32:16"/>
    <d v="2026-03-31T18:03:27"/>
    <x v="0"/>
    <n v="64"/>
    <n v="91.183300000000003"/>
    <x v="0"/>
    <x v="230"/>
    <x v="77"/>
    <x v="10"/>
    <s v="Clinic"/>
    <s v="gopalrajith@gmail.com"/>
    <x v="4"/>
    <s v="Trivandrum"/>
    <s v="Go"/>
    <n v="11.68"/>
    <n v="100"/>
    <x v="0"/>
    <n v="0"/>
    <m/>
    <s v="RMCA_NUCLEAR_STRESS"/>
    <m/>
    <m/>
    <n v="360"/>
    <s v="No"/>
    <n v="37"/>
    <s v="Normal"/>
    <s v="Achieved"/>
    <n v="1"/>
    <m/>
    <m/>
    <m/>
    <m/>
    <x v="18"/>
    <s v="Week14"/>
    <x v="10"/>
    <x v="0"/>
    <n v="100"/>
    <n v="0"/>
    <n v="0"/>
    <s v="Ankit"/>
    <s v="Aneesh"/>
    <s v="Aneesh"/>
    <s v=""/>
    <s v="12832722Gopal Rajith"/>
    <s v=""/>
    <s v=""/>
    <x v="0"/>
    <x v="0"/>
    <s v=""/>
    <n v="0"/>
    <x v="4"/>
    <x v="0"/>
    <x v="0"/>
    <b v="0"/>
    <s v="Top 25"/>
    <x v="2"/>
  </r>
  <r>
    <d v="2026-03-26T12:59:56"/>
    <d v="2026-03-26T18:29:56"/>
    <d v="2026-03-31T12:35:28"/>
    <d v="2026-03-31T18:05:28"/>
    <d v="2026-03-31T16:32:27"/>
    <d v="2026-03-31T18:05:28"/>
    <x v="0"/>
    <n v="108"/>
    <n v="93.0167"/>
    <x v="0"/>
    <x v="231"/>
    <x v="77"/>
    <x v="10"/>
    <s v="Clinic"/>
    <s v="gopalrajith@gmail.com"/>
    <x v="4"/>
    <s v="Trivandrum"/>
    <s v="Go"/>
    <n v="13.51"/>
    <n v="100"/>
    <x v="0"/>
    <n v="0"/>
    <m/>
    <s v="RMCA_NUCLEAR_STRESS"/>
    <m/>
    <m/>
    <n v="360"/>
    <s v="No"/>
    <n v="51"/>
    <s v="Normal"/>
    <s v="Achieved"/>
    <n v="1"/>
    <m/>
    <m/>
    <m/>
    <m/>
    <x v="18"/>
    <s v="Week14"/>
    <x v="10"/>
    <x v="0"/>
    <n v="100"/>
    <n v="0"/>
    <n v="0"/>
    <s v="Ankit"/>
    <s v="Aneesh"/>
    <s v="Aneesh"/>
    <s v=""/>
    <s v="12832727Gopal Rajith"/>
    <s v=""/>
    <s v=""/>
    <x v="0"/>
    <x v="0"/>
    <s v=""/>
    <n v="0"/>
    <x v="4"/>
    <x v="0"/>
    <x v="0"/>
    <b v="0"/>
    <s v="Top 25"/>
    <x v="2"/>
  </r>
  <r>
    <d v="2026-03-26T08:47:52"/>
    <d v="2026-03-26T14:17:52"/>
    <d v="2026-03-31T12:37:11"/>
    <d v="2026-03-31T18:07:11"/>
    <d v="2026-03-31T16:32:33"/>
    <d v="2026-03-31T18:07:11"/>
    <x v="0"/>
    <n v="90"/>
    <n v="94.633300000000006"/>
    <x v="0"/>
    <x v="232"/>
    <x v="70"/>
    <x v="10"/>
    <s v="Clinic"/>
    <s v="gopalrajith@gmail.com"/>
    <x v="4"/>
    <s v="Trivandrum"/>
    <s v="Go"/>
    <n v="15.45"/>
    <n v="99"/>
    <x v="2"/>
    <n v="1"/>
    <m/>
    <s v="RMCA_OP"/>
    <m/>
    <m/>
    <n v="720"/>
    <s v="No"/>
    <n v="73"/>
    <s v="Normal"/>
    <s v="Achieved"/>
    <n v="0"/>
    <m/>
    <m/>
    <m/>
    <m/>
    <x v="18"/>
    <s v="Week14"/>
    <x v="10"/>
    <x v="1"/>
    <n v="93.527508090614887"/>
    <n v="1"/>
    <n v="1"/>
    <s v="Ankit"/>
    <s v="Aneesh"/>
    <s v="Aneesh"/>
    <s v="Major"/>
    <s v="12832665Gopal Rajith"/>
    <s v="Major"/>
    <n v="1"/>
    <x v="0"/>
    <x v="0"/>
    <n v="1"/>
    <n v="1"/>
    <x v="4"/>
    <x v="0"/>
    <x v="0"/>
    <b v="0"/>
    <s v="Top 25"/>
    <x v="2"/>
  </r>
  <r>
    <d v="2026-03-29T19:34:45"/>
    <d v="2026-03-30T01:04:45"/>
    <d v="2026-04-01T10:52:31"/>
    <d v="2026-04-01T16:22:31"/>
    <d v="2026-03-31T16:32:51"/>
    <d v="2026-04-01T16:22:31"/>
    <x v="0"/>
    <n v="537"/>
    <n v="1429.6667"/>
    <x v="0"/>
    <x v="233"/>
    <x v="58"/>
    <x v="19"/>
    <s v="Clinic"/>
    <s v="chintul.s@mediscribes.com"/>
    <x v="8"/>
    <s v="Ahmedabad"/>
    <s v="Go"/>
    <n v="35.08"/>
    <n v="99"/>
    <x v="2"/>
    <n v="1"/>
    <m/>
    <s v="Office Visits"/>
    <m/>
    <m/>
    <n v="1440"/>
    <s v="No"/>
    <n v="174"/>
    <s v="Normal"/>
    <s v="Achieved"/>
    <n v="0"/>
    <m/>
    <m/>
    <m/>
    <m/>
    <x v="19"/>
    <s v="Week14"/>
    <x v="19"/>
    <x v="1"/>
    <n v="97.149372862029651"/>
    <n v="1"/>
    <n v="1"/>
    <s v="Ankit"/>
    <s v="Ankit"/>
    <s v="Ankit"/>
    <s v="Major"/>
    <s v="12833381Chintul Sutaria"/>
    <s v="Major"/>
    <n v="1"/>
    <x v="1"/>
    <x v="1"/>
    <n v="1"/>
    <n v="1"/>
    <x v="13"/>
    <x v="1"/>
    <x v="0"/>
    <b v="1"/>
    <s v="Others"/>
    <x v="5"/>
  </r>
  <r>
    <d v="2026-03-29T19:34:45"/>
    <d v="2026-03-30T01:04:45"/>
    <d v="2026-04-01T10:52:31"/>
    <d v="2026-04-01T16:22:31"/>
    <d v="2026-03-31T16:32:51"/>
    <d v="2026-04-01T16:22:31"/>
    <x v="0"/>
    <n v="537"/>
    <n v="1429.6667"/>
    <x v="0"/>
    <x v="233"/>
    <x v="58"/>
    <x v="19"/>
    <s v="Clinic"/>
    <s v="chintul.s@mediscribes.com"/>
    <x v="8"/>
    <s v="Ahmedabad"/>
    <s v="Go"/>
    <n v="35.08"/>
    <n v="99"/>
    <x v="1"/>
    <n v="2"/>
    <m/>
    <s v="Office Visits"/>
    <m/>
    <m/>
    <n v="1440"/>
    <s v="No"/>
    <n v="174"/>
    <s v="Normal"/>
    <s v="Achieved"/>
    <n v="0"/>
    <m/>
    <m/>
    <m/>
    <m/>
    <x v="19"/>
    <s v="Week14"/>
    <x v="19"/>
    <x v="1"/>
    <n v="97.149372862029651"/>
    <n v="0"/>
    <n v="1"/>
    <s v="Ankit"/>
    <s v="Ankit"/>
    <s v="Ankit"/>
    <s v="Minor"/>
    <s v="12833381Chintul Sutaria"/>
    <s v="Minor"/>
    <n v="0"/>
    <x v="1"/>
    <x v="0"/>
    <n v="1"/>
    <n v="2"/>
    <x v="13"/>
    <x v="1"/>
    <x v="0"/>
    <b v="0"/>
    <s v="Others"/>
    <x v="5"/>
  </r>
  <r>
    <d v="2026-03-25T21:15:24"/>
    <d v="2026-03-26T02:45:24"/>
    <d v="2026-04-01T11:18:44"/>
    <d v="2026-04-01T16:48:44"/>
    <d v="2026-03-30T20:32:17"/>
    <d v="2026-04-01T16:48:44"/>
    <x v="0"/>
    <n v="7487"/>
    <n v="2656.45"/>
    <x v="0"/>
    <x v="234"/>
    <x v="78"/>
    <x v="3"/>
    <s v="Clinic"/>
    <s v="chintul.s@mediscribes.com"/>
    <x v="8"/>
    <s v="Ahmedabad"/>
    <s v="Go"/>
    <n v="141.54"/>
    <n v="100"/>
    <x v="1"/>
    <n v="4"/>
    <m/>
    <s v="PSYCHOLOGICAL REPORT"/>
    <m/>
    <m/>
    <n v="1440"/>
    <s v="No"/>
    <n v="710"/>
    <s v="Normal"/>
    <s v="Achieved"/>
    <n v="1"/>
    <m/>
    <m/>
    <m/>
    <m/>
    <x v="19"/>
    <s v="Week14"/>
    <x v="3"/>
    <x v="0"/>
    <n v="100"/>
    <n v="0"/>
    <n v="0"/>
    <s v="Harsh"/>
    <s v="Ankit"/>
    <s v="Ankit"/>
    <s v="Minor"/>
    <s v="12832573Chintul Sutaria"/>
    <s v="Minor"/>
    <n v="0"/>
    <x v="1"/>
    <x v="0"/>
    <n v="1"/>
    <n v="4"/>
    <x v="15"/>
    <x v="1"/>
    <x v="0"/>
    <b v="0"/>
    <s v="Top 25"/>
    <x v="5"/>
  </r>
  <r>
    <d v="2026-03-26T11:45:51"/>
    <d v="2026-03-26T17:15:51"/>
    <d v="2026-04-01T11:27:33"/>
    <d v="2026-04-01T16:57:33"/>
    <d v="2026-03-30T20:32:43"/>
    <d v="2026-04-01T16:57:33"/>
    <x v="0"/>
    <n v="517"/>
    <n v="2664.8332999999998"/>
    <x v="0"/>
    <x v="235"/>
    <x v="79"/>
    <x v="13"/>
    <s v="Clinic"/>
    <s v="gopalrajith@gmail.com"/>
    <x v="4"/>
    <s v="Trivandrum"/>
    <s v="Go"/>
    <n v="60.6"/>
    <n v="100"/>
    <x v="1"/>
    <n v="2"/>
    <m/>
    <s v="CONSULTATION"/>
    <m/>
    <m/>
    <n v="720"/>
    <s v="No"/>
    <n v="464"/>
    <s v="Normal"/>
    <s v="Achieved"/>
    <n v="0"/>
    <m/>
    <m/>
    <m/>
    <m/>
    <x v="19"/>
    <s v="Week14"/>
    <x v="13"/>
    <x v="0"/>
    <n v="100"/>
    <n v="0"/>
    <n v="0"/>
    <s v="Aneesh"/>
    <s v="Aneesh"/>
    <s v="Aneesh"/>
    <s v="Minor"/>
    <s v="12832769Gopal Rajith"/>
    <s v="Minor"/>
    <n v="0"/>
    <x v="0"/>
    <x v="0"/>
    <n v="1"/>
    <n v="2"/>
    <x v="4"/>
    <x v="0"/>
    <x v="0"/>
    <b v="0"/>
    <s v="Others"/>
    <x v="2"/>
  </r>
  <r>
    <d v="2026-03-23T08:03:53"/>
    <d v="2026-03-23T13:33:53"/>
    <d v="2026-04-01T12:58:51"/>
    <d v="2026-04-01T18:28:51"/>
    <d v="2026-03-31T16:31:46"/>
    <d v="2026-04-01T18:28:51"/>
    <x v="0"/>
    <n v="1055"/>
    <n v="1557.0833"/>
    <x v="0"/>
    <x v="236"/>
    <x v="2"/>
    <x v="2"/>
    <s v="Clinic"/>
    <s v="gopalrajith@gmail.com"/>
    <x v="4"/>
    <s v="Trivandrum"/>
    <s v="Go"/>
    <n v="74.69"/>
    <n v="100"/>
    <x v="1"/>
    <n v="1"/>
    <m/>
    <s v="Psychiatric Assessment"/>
    <m/>
    <m/>
    <n v="1440"/>
    <s v="No"/>
    <n v="229"/>
    <s v="Normal"/>
    <s v="Achieved"/>
    <n v="0"/>
    <m/>
    <m/>
    <m/>
    <m/>
    <x v="19"/>
    <s v="Week14"/>
    <x v="2"/>
    <x v="0"/>
    <n v="100"/>
    <n v="0"/>
    <n v="0"/>
    <s v="Aneesh"/>
    <s v="Aneesh"/>
    <s v="Aneesh"/>
    <s v="Minor"/>
    <s v="12831522Gopal Rajith"/>
    <s v="Minor"/>
    <n v="0"/>
    <x v="0"/>
    <x v="0"/>
    <n v="1"/>
    <n v="1"/>
    <x v="4"/>
    <x v="0"/>
    <x v="0"/>
    <b v="0"/>
    <s v="Fundamental"/>
    <x v="2"/>
  </r>
  <r>
    <d v="2026-03-27T11:30:41"/>
    <d v="2026-03-27T17:00:41"/>
    <d v="2026-04-01T13:17:59"/>
    <d v="2026-04-01T18:47:59"/>
    <d v="2026-03-30T20:33:05"/>
    <d v="2026-04-01T18:47:59"/>
    <x v="0"/>
    <n v="5600"/>
    <n v="2774.9"/>
    <x v="0"/>
    <x v="237"/>
    <x v="40"/>
    <x v="18"/>
    <s v="Clinic"/>
    <s v="chintul.s@mediscribes.com"/>
    <x v="8"/>
    <s v="Ahmedabad"/>
    <s v="Go"/>
    <n v="68.2"/>
    <n v="100"/>
    <x v="1"/>
    <n v="1"/>
    <m/>
    <s v="NEUROLOGY EXAM"/>
    <m/>
    <m/>
    <n v="1440"/>
    <s v="No"/>
    <n v="448"/>
    <s v="Normal"/>
    <s v="Achieved"/>
    <n v="1"/>
    <m/>
    <m/>
    <m/>
    <m/>
    <x v="19"/>
    <s v="Week14"/>
    <x v="18"/>
    <x v="0"/>
    <n v="100"/>
    <n v="0"/>
    <n v="0"/>
    <s v="Harsh"/>
    <s v="Ankit"/>
    <s v="Harsh"/>
    <s v="Minor"/>
    <s v="12833034Chintul Sutaria"/>
    <s v="Minor"/>
    <n v="0"/>
    <x v="1"/>
    <x v="0"/>
    <n v="1"/>
    <n v="1"/>
    <x v="14"/>
    <x v="1"/>
    <x v="0"/>
    <b v="0"/>
    <s v="Others"/>
    <x v="5"/>
  </r>
  <r>
    <d v="2026-03-27T15:51:22"/>
    <d v="2026-03-27T21:21:22"/>
    <d v="2026-04-01T15:22:20"/>
    <d v="2026-04-01T20:52:20"/>
    <d v="2026-03-31T16:32:44"/>
    <d v="2026-04-01T20:52:20"/>
    <x v="0"/>
    <n v="1524"/>
    <n v="1699.6"/>
    <x v="0"/>
    <x v="238"/>
    <x v="80"/>
    <x v="12"/>
    <s v="Clinic"/>
    <s v="chintul.s@mediscribes.com"/>
    <x v="8"/>
    <s v="Ahmedabad"/>
    <s v="No Go"/>
    <n v="51.57"/>
    <n v="98"/>
    <x v="2"/>
    <n v="2"/>
    <m/>
    <s v="CAMG_OV"/>
    <m/>
    <m/>
    <n v="1440"/>
    <s v="No"/>
    <n v="235"/>
    <s v="Normal"/>
    <s v="Achieved"/>
    <n v="4"/>
    <m/>
    <m/>
    <m/>
    <m/>
    <x v="19"/>
    <s v="Week14"/>
    <x v="12"/>
    <x v="1"/>
    <n v="96.121776226488265"/>
    <n v="2"/>
    <n v="2"/>
    <s v="Harsh"/>
    <s v="Ankit"/>
    <s v="Ankit"/>
    <s v="Major"/>
    <s v="12833214Chintul Sutaria"/>
    <s v="Major"/>
    <n v="1"/>
    <x v="1"/>
    <x v="1"/>
    <n v="1"/>
    <n v="2"/>
    <x v="16"/>
    <x v="1"/>
    <x v="0"/>
    <b v="1"/>
    <s v="Top 25"/>
    <x v="5"/>
  </r>
  <r>
    <d v="2026-03-27T15:51:22"/>
    <d v="2026-03-27T21:21:22"/>
    <d v="2026-04-01T15:22:20"/>
    <d v="2026-04-01T20:52:20"/>
    <d v="2026-03-31T16:32:44"/>
    <d v="2026-04-01T20:52:20"/>
    <x v="0"/>
    <n v="1524"/>
    <n v="1699.6"/>
    <x v="0"/>
    <x v="238"/>
    <x v="80"/>
    <x v="12"/>
    <s v="Clinic"/>
    <s v="chintul.s@mediscribes.com"/>
    <x v="8"/>
    <s v="Ahmedabad"/>
    <s v="No Go"/>
    <n v="51.57"/>
    <n v="98"/>
    <x v="1"/>
    <n v="9"/>
    <m/>
    <s v="CAMG_OV"/>
    <m/>
    <m/>
    <n v="1440"/>
    <s v="No"/>
    <n v="235"/>
    <s v="Normal"/>
    <s v="Achieved"/>
    <n v="4"/>
    <m/>
    <m/>
    <m/>
    <m/>
    <x v="19"/>
    <s v="Week14"/>
    <x v="12"/>
    <x v="1"/>
    <n v="96.121776226488265"/>
    <n v="0"/>
    <n v="2"/>
    <s v="Harsh"/>
    <s v="Ankit"/>
    <s v="Ankit"/>
    <s v="Minor"/>
    <s v="12833214Chintul Sutaria"/>
    <s v="Minor"/>
    <n v="0"/>
    <x v="1"/>
    <x v="0"/>
    <n v="1"/>
    <n v="9"/>
    <x v="16"/>
    <x v="1"/>
    <x v="0"/>
    <b v="0"/>
    <s v="Top 25"/>
    <x v="5"/>
  </r>
  <r>
    <d v="2026-04-03T08:09:44"/>
    <d v="2026-04-03T13:39:44"/>
    <d v="2026-04-07T18:32:09"/>
    <d v="2026-04-08T00:02:09"/>
    <d v="2026-04-07T12:16:09"/>
    <d v="2026-04-08T00:02:09"/>
    <x v="0"/>
    <n v="138"/>
    <n v="706"/>
    <x v="0"/>
    <x v="239"/>
    <x v="81"/>
    <x v="24"/>
    <s v="Clinic"/>
    <s v="gopalrajith@gmail.com"/>
    <x v="4"/>
    <s v="Trivandrum"/>
    <s v="Go"/>
    <n v="16.32"/>
    <n v="100"/>
    <x v="0"/>
    <n v="0"/>
    <m/>
    <s v="Holter Monitor"/>
    <m/>
    <m/>
    <n v="1440"/>
    <s v="No"/>
    <n v="99"/>
    <s v="Normal"/>
    <s v="Achieved"/>
    <n v="0"/>
    <m/>
    <m/>
    <m/>
    <m/>
    <x v="20"/>
    <s v="Week15"/>
    <x v="24"/>
    <x v="0"/>
    <n v="100"/>
    <n v="0"/>
    <n v="0"/>
    <s v="Harsh"/>
    <s v="Aneesh"/>
    <s v="Aneesh"/>
    <s v=""/>
    <s v="12834786Gopal Rajith"/>
    <s v=""/>
    <s v=""/>
    <x v="0"/>
    <x v="0"/>
    <s v=""/>
    <n v="0"/>
    <x v="4"/>
    <x v="0"/>
    <x v="0"/>
    <b v="0"/>
    <s v="Others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12" cacheId="165" applyNumberFormats="0" applyBorderFormats="0" applyFontFormats="0" applyPatternFormats="0" applyAlignmentFormats="0" applyWidthHeightFormats="1" dataCaption="Values" updatedVersion="5" minRefreshableVersion="3" useAutoFormatting="1" colGrandTotals="0" itemPrintTitles="1" createdVersion="5" indent="0" outline="1" outlineData="1" multipleFieldFilters="0" rowHeaderCaption="Auditor Milestone / Auditor Name">
  <location ref="M5:N8" firstHeaderRow="1" firstDataRow="1" firstDataCol="1" rowPageCount="2" colPageCount="1"/>
  <pivotFields count="60">
    <pivotField numFmtId="47" showAll="0" defaultSubtotal="0"/>
    <pivotField numFmtId="47" showAll="0" defaultSubtotal="0"/>
    <pivotField numFmtId="47" showAll="0" defaultSubtotal="0"/>
    <pivotField numFmtId="47" showAll="0" defaultSubtotal="0"/>
    <pivotField numFmtId="22" showAll="0"/>
    <pivotField numFmtId="22" showAll="0"/>
    <pivotField axis="axisRow" showAll="0" defaultSubtotal="0">
      <items count="22">
        <item m="1" x="3"/>
        <item m="1" x="9"/>
        <item m="1" x="6"/>
        <item m="1" x="21"/>
        <item m="1" x="19"/>
        <item x="0"/>
        <item m="1" x="13"/>
        <item m="1" x="5"/>
        <item m="1" x="14"/>
        <item m="1" x="12"/>
        <item m="1" x="16"/>
        <item m="1" x="20"/>
        <item m="1" x="17"/>
        <item m="1" x="4"/>
        <item m="1" x="8"/>
        <item m="1" x="10"/>
        <item m="1" x="18"/>
        <item m="1" x="2"/>
        <item m="1" x="15"/>
        <item m="1" x="11"/>
        <item m="1" x="7"/>
        <item x="1"/>
      </items>
    </pivotField>
    <pivotField showAll="0"/>
    <pivotField showAll="0"/>
    <pivotField axis="axisPage" showAll="0" defaultSubtotal="0">
      <items count="4">
        <item m="1" x="2"/>
        <item x="0"/>
        <item m="1" x="1"/>
        <item m="1" x="3"/>
      </items>
    </pivotField>
    <pivotField dataField="1"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/>
    <pivotField axis="axisPage" showAll="0" defaultSubtotal="0">
      <items count="2">
        <item x="0"/>
        <item x="1"/>
      </items>
    </pivotField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multipleItemSelectionAllowed="1" showAll="0" defaultSubtotal="0"/>
    <pivotField showAll="0" defaultSubtotal="0"/>
  </pivotFields>
  <rowFields count="1">
    <field x="6"/>
  </rowFields>
  <rowItems count="3">
    <i>
      <x v="5"/>
    </i>
    <i>
      <x v="21"/>
    </i>
    <i t="grand">
      <x/>
    </i>
  </rowItems>
  <colItems count="1">
    <i/>
  </colItems>
  <pageFields count="2">
    <pageField fld="9" hier="-1"/>
    <pageField fld="51" item="0" hier="-1"/>
  </pageFields>
  <dataFields count="1">
    <dataField name="Count of File_name" fld="10" subtotal="count" baseField="0" baseItem="0"/>
  </dataFields>
  <formats count="13">
    <format dxfId="496">
      <pivotArea type="all" dataOnly="0" outline="0" fieldPosition="0"/>
    </format>
    <format dxfId="495">
      <pivotArea outline="0" collapsedLevelsAreSubtotals="1" fieldPosition="0"/>
    </format>
    <format dxfId="494">
      <pivotArea field="9" type="button" dataOnly="0" labelOnly="1" outline="0" axis="axisPage" fieldPosition="0"/>
    </format>
    <format dxfId="493">
      <pivotArea dataOnly="0" labelOnly="1" grandRow="1" outline="0" fieldPosition="0"/>
    </format>
    <format dxfId="492">
      <pivotArea type="all" dataOnly="0" outline="0" fieldPosition="0"/>
    </format>
    <format dxfId="491">
      <pivotArea outline="0" collapsedLevelsAreSubtotals="1" fieldPosition="0"/>
    </format>
    <format dxfId="490">
      <pivotArea field="9" type="button" dataOnly="0" labelOnly="1" outline="0" axis="axisPage" fieldPosition="0"/>
    </format>
    <format dxfId="489">
      <pivotArea dataOnly="0" labelOnly="1" grandRow="1" outline="0" fieldPosition="0"/>
    </format>
    <format dxfId="488">
      <pivotArea type="all" dataOnly="0" outline="0" fieldPosition="0"/>
    </format>
    <format dxfId="487">
      <pivotArea outline="0" collapsedLevelsAreSubtotals="1" fieldPosition="0"/>
    </format>
    <format dxfId="486">
      <pivotArea field="9" type="button" dataOnly="0" labelOnly="1" outline="0" axis="axisPage" fieldPosition="0"/>
    </format>
    <format dxfId="485">
      <pivotArea dataOnly="0" labelOnly="1" grandRow="1" outline="0" fieldPosition="0"/>
    </format>
    <format dxfId="484">
      <pivotArea field="9" type="button" dataOnly="0" labelOnly="1" outline="0" axis="axisPage" fieldPosition="0"/>
    </format>
  </formats>
  <pivotTableStyleInfo name="PivotStyleMedium10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8" cacheId="16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Account Name">
  <location ref="G5:J31" firstHeaderRow="0" firstDataRow="1" firstDataCol="1" rowPageCount="2" colPageCount="1"/>
  <pivotFields count="60">
    <pivotField numFmtId="47" showAll="0"/>
    <pivotField numFmtId="47" showAll="0"/>
    <pivotField numFmtId="47" showAll="0"/>
    <pivotField numFmtId="47" showAll="0"/>
    <pivotField numFmtId="22" showAll="0"/>
    <pivotField numFmtId="22" showAll="0"/>
    <pivotField showAll="0"/>
    <pivotField showAll="0"/>
    <pivotField showAll="0"/>
    <pivotField axis="axisPage" multipleItemSelectionAllowed="1" showAll="0">
      <items count="5">
        <item m="1" x="2"/>
        <item x="0"/>
        <item m="1" x="1"/>
        <item m="1" x="3"/>
        <item t="default"/>
      </items>
    </pivotField>
    <pivotField dataField="1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 defaultSubtotal="0"/>
    <pivotField axis="axisRow" showAll="0" defaultSubtotal="0">
      <items count="63">
        <item x="3"/>
        <item x="1"/>
        <item x="10"/>
        <item x="12"/>
        <item m="1" x="36"/>
        <item x="4"/>
        <item x="6"/>
        <item x="15"/>
        <item m="1" x="58"/>
        <item x="9"/>
        <item x="2"/>
        <item x="8"/>
        <item m="1" x="41"/>
        <item m="1" x="33"/>
        <item x="7"/>
        <item x="19"/>
        <item m="1" x="48"/>
        <item x="13"/>
        <item x="11"/>
        <item m="1" x="45"/>
        <item x="5"/>
        <item m="1" x="47"/>
        <item m="1" x="53"/>
        <item x="17"/>
        <item m="1" x="27"/>
        <item x="16"/>
        <item m="1" x="59"/>
        <item m="1" x="40"/>
        <item m="1" x="51"/>
        <item m="1" x="25"/>
        <item m="1" x="37"/>
        <item x="23"/>
        <item m="1" x="32"/>
        <item m="1" x="43"/>
        <item m="1" x="38"/>
        <item x="18"/>
        <item m="1" x="50"/>
        <item m="1" x="28"/>
        <item x="22"/>
        <item x="20"/>
        <item x="24"/>
        <item m="1" x="62"/>
        <item m="1" x="34"/>
        <item x="0"/>
        <item m="1" x="60"/>
        <item m="1" x="42"/>
        <item m="1" x="29"/>
        <item m="1" x="31"/>
        <item m="1" x="52"/>
        <item m="1" x="44"/>
        <item m="1" x="30"/>
        <item x="21"/>
        <item m="1" x="35"/>
        <item m="1" x="49"/>
        <item m="1" x="56"/>
        <item m="1" x="39"/>
        <item m="1" x="54"/>
        <item m="1" x="26"/>
        <item m="1" x="55"/>
        <item x="14"/>
        <item m="1" x="57"/>
        <item m="1" x="46"/>
        <item m="1" x="61"/>
      </items>
    </pivotField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/>
    <pivotField axis="axisPage" showAll="0" defaultSubtotal="0">
      <items count="2">
        <item x="0"/>
        <item x="1"/>
      </items>
    </pivotField>
    <pivotField dataField="1" showAll="0"/>
    <pivotField dataField="1" showAll="0"/>
    <pivotField showAll="0"/>
    <pivotField multipleItemSelectionAllowed="1" showAll="0" defaultSubtotal="0"/>
    <pivotField showAll="0" defaultSubtotal="0"/>
    <pivotField showAll="0"/>
    <pivotField multipleItemSelectionAllowed="1" showAll="0" defaultSubtotal="0"/>
    <pivotField showAll="0" defaultSubtotal="0"/>
  </pivotFields>
  <rowFields count="1">
    <field x="38"/>
  </rowFields>
  <rowItems count="26">
    <i>
      <x/>
    </i>
    <i>
      <x v="1"/>
    </i>
    <i>
      <x v="2"/>
    </i>
    <i>
      <x v="3"/>
    </i>
    <i>
      <x v="5"/>
    </i>
    <i>
      <x v="6"/>
    </i>
    <i>
      <x v="7"/>
    </i>
    <i>
      <x v="9"/>
    </i>
    <i>
      <x v="10"/>
    </i>
    <i>
      <x v="11"/>
    </i>
    <i>
      <x v="14"/>
    </i>
    <i>
      <x v="15"/>
    </i>
    <i>
      <x v="17"/>
    </i>
    <i>
      <x v="18"/>
    </i>
    <i>
      <x v="20"/>
    </i>
    <i>
      <x v="23"/>
    </i>
    <i>
      <x v="25"/>
    </i>
    <i>
      <x v="31"/>
    </i>
    <i>
      <x v="35"/>
    </i>
    <i>
      <x v="38"/>
    </i>
    <i>
      <x v="39"/>
    </i>
    <i>
      <x v="40"/>
    </i>
    <i>
      <x v="43"/>
    </i>
    <i>
      <x v="51"/>
    </i>
    <i>
      <x v="5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9" hier="-1"/>
    <pageField fld="51" item="0" hier="-1"/>
  </pageFields>
  <dataFields count="3">
    <dataField name="Count of Error" fld="52" baseField="0" baseItem="0"/>
    <dataField name="Occurrences of Error" fld="53" baseField="0" baseItem="0"/>
    <dataField name="Count of File" fld="10" subtotal="count" baseField="0" baseItem="0"/>
  </dataFields>
  <formats count="10">
    <format dxfId="506">
      <pivotArea type="all" dataOnly="0" outline="0" fieldPosition="0"/>
    </format>
    <format dxfId="505">
      <pivotArea outline="0" collapsedLevelsAreSubtotals="1" fieldPosition="0"/>
    </format>
    <format dxfId="504">
      <pivotArea field="9" type="button" dataOnly="0" labelOnly="1" outline="0" axis="axisPage" fieldPosition="0"/>
    </format>
    <format dxfId="503">
      <pivotArea dataOnly="0" labelOnly="1" grandRow="1" outline="0" fieldPosition="0"/>
    </format>
    <format dxfId="5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1">
      <pivotArea type="all" dataOnly="0" outline="0" fieldPosition="0"/>
    </format>
    <format dxfId="500">
      <pivotArea outline="0" collapsedLevelsAreSubtotals="1" fieldPosition="0"/>
    </format>
    <format dxfId="499">
      <pivotArea field="9" type="button" dataOnly="0" labelOnly="1" outline="0" axis="axisPage" fieldPosition="0"/>
    </format>
    <format dxfId="498">
      <pivotArea dataOnly="0" labelOnly="1" grandRow="1" outline="0" fieldPosition="0"/>
    </format>
    <format dxfId="4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16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Auditor Name">
  <location ref="A5:E9" firstHeaderRow="0" firstDataRow="1" firstDataCol="1" rowPageCount="2" colPageCount="1"/>
  <pivotFields count="60">
    <pivotField numFmtId="47" showAll="0"/>
    <pivotField numFmtId="47" showAll="0"/>
    <pivotField numFmtId="47" showAll="0"/>
    <pivotField numFmtId="47" showAll="0"/>
    <pivotField numFmtId="22" showAll="0"/>
    <pivotField numFmtId="22" showAll="0"/>
    <pivotField axis="axisRow" showAll="0" sortType="ascending">
      <items count="23">
        <item m="1" x="3"/>
        <item m="1" x="9"/>
        <item m="1" x="6"/>
        <item m="1" x="21"/>
        <item m="1" x="19"/>
        <item x="0"/>
        <item m="1" x="13"/>
        <item m="1" x="5"/>
        <item m="1" x="14"/>
        <item m="1" x="12"/>
        <item m="1" x="16"/>
        <item m="1" x="20"/>
        <item m="1" x="17"/>
        <item m="1" x="4"/>
        <item m="1" x="8"/>
        <item m="1" x="10"/>
        <item m="1" x="18"/>
        <item m="1" x="2"/>
        <item m="1" x="15"/>
        <item m="1" x="11"/>
        <item m="1"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ascending">
      <items count="5">
        <item m="1" x="1"/>
        <item x="0"/>
        <item m="1" x="2"/>
        <item m="1" x="3"/>
        <item t="default"/>
      </items>
    </pivotField>
    <pivotField dataField="1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defaultSubtota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/>
    <pivotField axis="axisPage" showAll="0" defaultSubtotal="0">
      <items count="2">
        <item x="0"/>
        <item x="1"/>
      </items>
    </pivotField>
    <pivotField dataField="1" showAll="0"/>
    <pivotField dataField="1" showAll="0"/>
    <pivotField showAll="0"/>
    <pivotField axis="axisPage" multipleItemSelectionAllowed="1" showAll="0" defaultSubtotal="0">
      <items count="2">
        <item x="0"/>
        <item x="1"/>
      </items>
    </pivotField>
    <pivotField showAll="0" defaultSubtotal="0"/>
    <pivotField showAll="0"/>
    <pivotField multipleItemSelectionAllowed="1" showAll="0" defaultSubtotal="0"/>
    <pivotField showAll="0" defaultSubtotal="0"/>
  </pivotFields>
  <rowFields count="2">
    <field x="9"/>
    <field x="6"/>
  </rowFields>
  <rowItems count="4">
    <i>
      <x v="1"/>
    </i>
    <i r="1">
      <x v="5"/>
    </i>
    <i r="1">
      <x v="2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55" hier="-1"/>
    <pageField fld="51" item="0" hier="-1"/>
  </pageFields>
  <dataFields count="4">
    <dataField name="Average of Accuracy" fld="40" subtotal="average" baseField="9" baseItem="2" numFmtId="2"/>
    <dataField name="Count of Error" fld="52" baseField="0" baseItem="0"/>
    <dataField name="Occurrences of Error" fld="53" baseField="0" baseItem="0"/>
    <dataField name="Count of File" fld="10" subtotal="count" baseField="0" baseItem="0"/>
  </dataFields>
  <formats count="12">
    <format dxfId="518">
      <pivotArea type="all" dataOnly="0" outline="0" fieldPosition="0"/>
    </format>
    <format dxfId="517">
      <pivotArea outline="0" collapsedLevelsAreSubtotals="1" fieldPosition="0"/>
    </format>
    <format dxfId="516">
      <pivotArea field="9" type="button" dataOnly="0" labelOnly="1" outline="0" axis="axisRow" fieldPosition="0"/>
    </format>
    <format dxfId="515">
      <pivotArea dataOnly="0" labelOnly="1" grandRow="1" outline="0" fieldPosition="0"/>
    </format>
    <format dxfId="514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513">
      <pivotArea type="all" dataOnly="0" outline="0" fieldPosition="0"/>
    </format>
    <format dxfId="512">
      <pivotArea outline="0" collapsedLevelsAreSubtotals="1" fieldPosition="0"/>
    </format>
    <format dxfId="511">
      <pivotArea field="9" type="button" dataOnly="0" labelOnly="1" outline="0" axis="axisRow" fieldPosition="0"/>
    </format>
    <format dxfId="510">
      <pivotArea dataOnly="0" labelOnly="1" grandRow="1" outline="0" fieldPosition="0"/>
    </format>
    <format dxfId="509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50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0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PivotTable3" cacheId="165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compact="0" outline="1" outlineData="1" compactData="0" multipleFieldFilters="0">
  <location ref="Z5:AC21" firstHeaderRow="0" firstDataRow="1" firstDataCol="2" rowPageCount="2" colPageCount="1"/>
  <pivotFields count="60">
    <pivotField compact="0" numFmtId="22" showAll="0"/>
    <pivotField compact="0" numFmtId="22" showAll="0"/>
    <pivotField compact="0" numFmtId="22" showAll="0"/>
    <pivotField compact="0" numFmtId="22" showAll="0"/>
    <pivotField compact="0" numFmtId="22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compact="0" showAll="0"/>
    <pivotField axis="axisRow" compact="0" showAll="0">
      <items count="58">
        <item x="0"/>
        <item m="1" x="17"/>
        <item x="9"/>
        <item m="1" x="46"/>
        <item m="1" x="18"/>
        <item m="1" x="14"/>
        <item m="1" x="25"/>
        <item m="1" x="28"/>
        <item x="5"/>
        <item m="1" x="27"/>
        <item m="1" x="24"/>
        <item m="1" x="53"/>
        <item m="1" x="36"/>
        <item x="6"/>
        <item x="4"/>
        <item x="1"/>
        <item m="1" x="38"/>
        <item m="1" x="12"/>
        <item m="1" x="45"/>
        <item m="1" x="20"/>
        <item m="1" x="29"/>
        <item m="1" x="22"/>
        <item m="1" x="52"/>
        <item m="1" x="35"/>
        <item m="1" x="49"/>
        <item m="1" x="16"/>
        <item m="1" x="32"/>
        <item x="2"/>
        <item x="3"/>
        <item m="1" x="34"/>
        <item m="1" x="30"/>
        <item m="1" x="15"/>
        <item m="1" x="42"/>
        <item m="1" x="23"/>
        <item m="1" x="43"/>
        <item m="1" x="26"/>
        <item x="8"/>
        <item m="1" x="10"/>
        <item m="1" x="51"/>
        <item m="1" x="50"/>
        <item m="1" x="56"/>
        <item m="1" x="47"/>
        <item m="1" x="55"/>
        <item m="1" x="33"/>
        <item m="1" x="54"/>
        <item m="1" x="39"/>
        <item m="1" x="44"/>
        <item m="1" x="40"/>
        <item x="7"/>
        <item m="1" x="13"/>
        <item m="1" x="41"/>
        <item m="1" x="37"/>
        <item m="1" x="19"/>
        <item m="1" x="21"/>
        <item m="1" x="31"/>
        <item m="1" x="48"/>
        <item m="1" x="1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compact="0" numFmtId="10" showAll="0"/>
    <pivotField compact="0" showAll="0" defaultSubtota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compact="0" showAll="0"/>
    <pivotField compact="0" showAll="0"/>
    <pivotField compact="0" showAll="0"/>
    <pivotField axis="axisPage" compact="0" showAll="0" defaultSubtotal="0">
      <items count="2">
        <item x="0"/>
        <item x="1"/>
      </items>
    </pivotField>
    <pivotField dataField="1" compact="0" showAll="0"/>
    <pivotField dataField="1" compact="0" showAll="0"/>
    <pivotField compact="0" showAll="0"/>
    <pivotField axis="axisRow" compact="0" showAll="0">
      <items count="3">
        <item x="1"/>
        <item x="0"/>
        <item t="default"/>
      </items>
    </pivotField>
    <pivotField axis="axisPage" compact="0" showAll="0">
      <items count="6">
        <item x="1"/>
        <item x="3"/>
        <item x="0"/>
        <item x="2"/>
        <item m="1" x="4"/>
        <item t="default"/>
      </items>
    </pivotField>
    <pivotField compact="0" showAll="0" defaultSubtotal="0"/>
    <pivotField compact="0" showAll="0" defaultSubtotal="0"/>
    <pivotField compact="0" showAll="0" defaultSubtotal="0"/>
  </pivotFields>
  <rowFields count="2">
    <field x="55"/>
    <field x="15"/>
  </rowFields>
  <rowItems count="16">
    <i>
      <x/>
    </i>
    <i r="1">
      <x/>
    </i>
    <i r="1">
      <x v="8"/>
    </i>
    <i r="1">
      <x v="36"/>
    </i>
    <i>
      <x v="1"/>
    </i>
    <i r="1">
      <x/>
    </i>
    <i r="1">
      <x v="2"/>
    </i>
    <i r="1">
      <x v="8"/>
    </i>
    <i r="1">
      <x v="13"/>
    </i>
    <i r="1">
      <x v="14"/>
    </i>
    <i r="1">
      <x v="15"/>
    </i>
    <i r="1">
      <x v="27"/>
    </i>
    <i r="1">
      <x v="28"/>
    </i>
    <i r="1">
      <x v="36"/>
    </i>
    <i r="1">
      <x v="48"/>
    </i>
    <i t="grand">
      <x/>
    </i>
  </rowItems>
  <colFields count="1">
    <field x="-2"/>
  </colFields>
  <colItems count="2">
    <i>
      <x/>
    </i>
    <i i="1">
      <x v="1"/>
    </i>
  </colItems>
  <pageFields count="2">
    <pageField fld="56" item="2" hier="-1"/>
    <pageField fld="51" item="0" hier="-1"/>
  </pageFields>
  <dataFields count="2">
    <dataField name="Error Count" fld="52" baseField="0" baseItem="0"/>
    <dataField name="Error Occurrences" fld="53" baseField="0" baseItem="0"/>
  </dataFields>
  <formats count="12">
    <format dxfId="410">
      <pivotArea type="all" dataOnly="0" outline="0" fieldPosition="0"/>
    </format>
    <format dxfId="409">
      <pivotArea outline="0" collapsedLevelsAreSubtotals="1" fieldPosition="0"/>
    </format>
    <format dxfId="408">
      <pivotArea field="55" type="button" dataOnly="0" labelOnly="1" outline="0" axis="axisRow" fieldPosition="0"/>
    </format>
    <format dxfId="407">
      <pivotArea dataOnly="0" labelOnly="1" fieldPosition="0">
        <references count="1">
          <reference field="55" count="0"/>
        </references>
      </pivotArea>
    </format>
    <format dxfId="406">
      <pivotArea dataOnly="0" labelOnly="1" grandRow="1" outline="0" fieldPosition="0"/>
    </format>
    <format dxfId="4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4">
      <pivotArea type="all" dataOnly="0" outline="0" fieldPosition="0"/>
    </format>
    <format dxfId="403">
      <pivotArea outline="0" collapsedLevelsAreSubtotals="1" fieldPosition="0"/>
    </format>
    <format dxfId="402">
      <pivotArea field="55" type="button" dataOnly="0" labelOnly="1" outline="0" axis="axisRow" fieldPosition="0"/>
    </format>
    <format dxfId="401">
      <pivotArea dataOnly="0" labelOnly="1" fieldPosition="0">
        <references count="1">
          <reference field="55" count="0"/>
        </references>
      </pivotArea>
    </format>
    <format dxfId="400">
      <pivotArea dataOnly="0" labelOnly="1" grandRow="1" outline="0" fieldPosition="0"/>
    </format>
    <format dxfId="3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PivotTable15" cacheId="165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compact="0" outline="1" outlineData="1" compactData="0" multipleFieldFilters="0">
  <location ref="N5:R21" firstHeaderRow="0" firstDataRow="1" firstDataCol="2" rowPageCount="2" colPageCount="1"/>
  <pivotFields count="60">
    <pivotField compact="0" numFmtId="22" showAll="0"/>
    <pivotField compact="0" numFmtId="22" showAll="0"/>
    <pivotField compact="0" numFmtId="22" showAll="0"/>
    <pivotField compact="0" numFmtId="22" showAll="0"/>
    <pivotField compact="0" numFmtId="22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compact="0" showAll="0"/>
    <pivotField axis="axisRow" compact="0" showAll="0">
      <items count="58">
        <item m="1" x="24"/>
        <item m="1" x="17"/>
        <item x="0"/>
        <item m="1" x="53"/>
        <item m="1" x="46"/>
        <item x="6"/>
        <item x="9"/>
        <item m="1" x="27"/>
        <item m="1" x="36"/>
        <item x="5"/>
        <item m="1" x="14"/>
        <item m="1" x="25"/>
        <item m="1" x="28"/>
        <item x="4"/>
        <item x="1"/>
        <item m="1" x="38"/>
        <item m="1" x="12"/>
        <item m="1" x="45"/>
        <item m="1" x="29"/>
        <item m="1" x="22"/>
        <item m="1" x="52"/>
        <item m="1" x="35"/>
        <item m="1" x="49"/>
        <item m="1" x="16"/>
        <item m="1" x="32"/>
        <item x="2"/>
        <item x="3"/>
        <item m="1" x="34"/>
        <item m="1" x="18"/>
        <item m="1" x="20"/>
        <item m="1" x="15"/>
        <item m="1" x="30"/>
        <item m="1" x="42"/>
        <item m="1" x="23"/>
        <item m="1" x="43"/>
        <item m="1" x="26"/>
        <item x="8"/>
        <item m="1" x="10"/>
        <item m="1" x="51"/>
        <item m="1" x="50"/>
        <item m="1" x="56"/>
        <item m="1" x="47"/>
        <item m="1" x="55"/>
        <item m="1" x="33"/>
        <item m="1" x="54"/>
        <item m="1" x="39"/>
        <item m="1" x="44"/>
        <item m="1" x="40"/>
        <item x="7"/>
        <item m="1" x="13"/>
        <item m="1" x="41"/>
        <item m="1" x="37"/>
        <item m="1" x="19"/>
        <item m="1" x="21"/>
        <item m="1" x="31"/>
        <item m="1" x="48"/>
        <item m="1" x="11"/>
        <item t="default"/>
      </items>
    </pivotField>
    <pivotField compact="0" showAll="0"/>
    <pivotField compact="0" showAll="0"/>
    <pivotField compact="0" showAll="0" defaultSubtota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dataField="1" compact="0" numFmtId="10" showAll="0"/>
    <pivotField compact="0" showAll="0" defaultSubtota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compact="0" showAll="0"/>
    <pivotField compact="0" showAll="0"/>
    <pivotField compact="0" showAll="0"/>
    <pivotField axis="axisPage" compact="0" showAll="0" defaultSubtotal="0">
      <items count="2">
        <item x="0"/>
        <item x="1"/>
      </items>
    </pivotField>
    <pivotField dataField="1" compact="0" showAll="0"/>
    <pivotField dataField="1" compact="0" showAll="0"/>
    <pivotField compact="0" showAll="0"/>
    <pivotField axis="axisRow" compact="0" showAll="0">
      <items count="3">
        <item x="1"/>
        <item x="0"/>
        <item t="default"/>
      </items>
    </pivotField>
    <pivotField axis="axisPage" compact="0" showAll="0">
      <items count="6">
        <item x="3"/>
        <item x="0"/>
        <item x="1"/>
        <item x="2"/>
        <item m="1" x="4"/>
        <item t="default"/>
      </items>
    </pivotField>
    <pivotField compact="0" showAll="0" defaultSubtotal="0"/>
    <pivotField compact="0" showAll="0" defaultSubtotal="0"/>
    <pivotField compact="0" showAll="0" defaultSubtotal="0"/>
  </pivotFields>
  <rowFields count="2">
    <field x="55"/>
    <field x="15"/>
  </rowFields>
  <rowItems count="16">
    <i>
      <x/>
    </i>
    <i r="1">
      <x v="2"/>
    </i>
    <i r="1">
      <x v="9"/>
    </i>
    <i r="1">
      <x v="36"/>
    </i>
    <i>
      <x v="1"/>
    </i>
    <i r="1">
      <x v="2"/>
    </i>
    <i r="1">
      <x v="5"/>
    </i>
    <i r="1">
      <x v="6"/>
    </i>
    <i r="1">
      <x v="9"/>
    </i>
    <i r="1">
      <x v="13"/>
    </i>
    <i r="1">
      <x v="14"/>
    </i>
    <i r="1">
      <x v="25"/>
    </i>
    <i r="1">
      <x v="26"/>
    </i>
    <i r="1">
      <x v="36"/>
    </i>
    <i r="1">
      <x v="4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56" item="1" hier="-1"/>
    <pageField fld="51" item="0" hier="-1"/>
  </pageFields>
  <dataFields count="3">
    <dataField name="Average of Accuracy" fld="40" subtotal="average" baseField="55" baseItem="0" numFmtId="2"/>
    <dataField name="Error Count" fld="52" baseField="0" baseItem="0"/>
    <dataField name="Error Occurrences" fld="53" baseField="0" baseItem="0"/>
  </dataFields>
  <formats count="14">
    <format dxfId="424">
      <pivotArea type="all" dataOnly="0" outline="0" fieldPosition="0"/>
    </format>
    <format dxfId="423">
      <pivotArea outline="0" collapsedLevelsAreSubtotals="1" fieldPosition="0"/>
    </format>
    <format dxfId="422">
      <pivotArea field="55" type="button" dataOnly="0" labelOnly="1" outline="0" axis="axisRow" fieldPosition="0"/>
    </format>
    <format dxfId="421">
      <pivotArea dataOnly="0" labelOnly="1" fieldPosition="0">
        <references count="1">
          <reference field="55" count="0"/>
        </references>
      </pivotArea>
    </format>
    <format dxfId="420">
      <pivotArea dataOnly="0" labelOnly="1" grandRow="1" outline="0" fieldPosition="0"/>
    </format>
    <format dxfId="419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18">
      <pivotArea type="all" dataOnly="0" outline="0" fieldPosition="0"/>
    </format>
    <format dxfId="417">
      <pivotArea outline="0" collapsedLevelsAreSubtotals="1" fieldPosition="0"/>
    </format>
    <format dxfId="416">
      <pivotArea field="55" type="button" dataOnly="0" labelOnly="1" outline="0" axis="axisRow" fieldPosition="0"/>
    </format>
    <format dxfId="415">
      <pivotArea dataOnly="0" labelOnly="1" fieldPosition="0">
        <references count="1">
          <reference field="55" count="0"/>
        </references>
      </pivotArea>
    </format>
    <format dxfId="414">
      <pivotArea dataOnly="0" labelOnly="1" grandRow="1" outline="0" fieldPosition="0"/>
    </format>
    <format dxfId="413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ivotTable14" cacheId="165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compact="0" outline="1" outlineData="1" compactData="0" multipleFieldFilters="0">
  <location ref="H5:L21" firstHeaderRow="0" firstDataRow="1" firstDataCol="2" rowPageCount="2" colPageCount="1"/>
  <pivotFields count="60">
    <pivotField compact="0" numFmtId="22" showAll="0"/>
    <pivotField compact="0" numFmtId="22" showAll="0"/>
    <pivotField compact="0" numFmtId="22" showAll="0"/>
    <pivotField compact="0" numFmtId="22" showAll="0"/>
    <pivotField compact="0" numFmtId="22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compact="0" showAll="0"/>
    <pivotField axis="axisRow" compact="0" showAll="0">
      <items count="58">
        <item m="1" x="24"/>
        <item m="1" x="17"/>
        <item x="0"/>
        <item m="1" x="53"/>
        <item m="1" x="46"/>
        <item x="6"/>
        <item x="9"/>
        <item m="1" x="27"/>
        <item m="1" x="36"/>
        <item x="5"/>
        <item m="1" x="14"/>
        <item m="1" x="25"/>
        <item m="1" x="28"/>
        <item x="4"/>
        <item x="1"/>
        <item m="1" x="38"/>
        <item m="1" x="12"/>
        <item m="1" x="45"/>
        <item m="1" x="29"/>
        <item m="1" x="22"/>
        <item m="1" x="52"/>
        <item m="1" x="35"/>
        <item m="1" x="49"/>
        <item m="1" x="16"/>
        <item m="1" x="32"/>
        <item x="2"/>
        <item x="3"/>
        <item m="1" x="34"/>
        <item m="1" x="18"/>
        <item m="1" x="20"/>
        <item m="1" x="15"/>
        <item m="1" x="30"/>
        <item m="1" x="42"/>
        <item m="1" x="23"/>
        <item m="1" x="43"/>
        <item m="1" x="26"/>
        <item x="8"/>
        <item m="1" x="10"/>
        <item m="1" x="51"/>
        <item m="1" x="50"/>
        <item m="1" x="56"/>
        <item m="1" x="47"/>
        <item m="1" x="55"/>
        <item m="1" x="33"/>
        <item m="1" x="54"/>
        <item m="1" x="39"/>
        <item m="1" x="44"/>
        <item m="1" x="40"/>
        <item x="7"/>
        <item m="1" x="13"/>
        <item m="1" x="41"/>
        <item m="1" x="37"/>
        <item m="1" x="19"/>
        <item m="1" x="21"/>
        <item m="1" x="31"/>
        <item m="1" x="48"/>
        <item m="1" x="11"/>
        <item t="default"/>
      </items>
    </pivotField>
    <pivotField compact="0" showAll="0"/>
    <pivotField compact="0" showAll="0"/>
    <pivotField compact="0" showAll="0" defaultSubtota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dataField="1" compact="0" numFmtId="10" showAll="0"/>
    <pivotField compact="0" showAll="0" defaultSubtota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compact="0" showAll="0"/>
    <pivotField compact="0" showAll="0"/>
    <pivotField compact="0" showAll="0"/>
    <pivotField axis="axisPage" compact="0" showAll="0" defaultSubtotal="0">
      <items count="2">
        <item x="0"/>
        <item x="1"/>
      </items>
    </pivotField>
    <pivotField dataField="1" compact="0" showAll="0"/>
    <pivotField dataField="1" compact="0" showAll="0"/>
    <pivotField compact="0" showAll="0"/>
    <pivotField axis="axisRow" compact="0" showAll="0">
      <items count="3">
        <item x="0"/>
        <item x="1"/>
        <item t="default"/>
      </items>
    </pivotField>
    <pivotField axis="axisPage" compact="0" showAll="0">
      <items count="6">
        <item x="3"/>
        <item x="0"/>
        <item x="1"/>
        <item x="2"/>
        <item m="1" x="4"/>
        <item t="default"/>
      </items>
    </pivotField>
    <pivotField compact="0" showAll="0" defaultSubtotal="0"/>
    <pivotField compact="0" showAll="0" defaultSubtotal="0"/>
    <pivotField compact="0" showAll="0" defaultSubtotal="0"/>
  </pivotFields>
  <rowFields count="2">
    <field x="55"/>
    <field x="15"/>
  </rowFields>
  <rowItems count="16">
    <i>
      <x/>
    </i>
    <i r="1">
      <x v="2"/>
    </i>
    <i r="1">
      <x v="5"/>
    </i>
    <i r="1">
      <x v="6"/>
    </i>
    <i r="1">
      <x v="9"/>
    </i>
    <i r="1">
      <x v="13"/>
    </i>
    <i r="1">
      <x v="14"/>
    </i>
    <i r="1">
      <x v="25"/>
    </i>
    <i r="1">
      <x v="26"/>
    </i>
    <i r="1">
      <x v="36"/>
    </i>
    <i r="1">
      <x v="48"/>
    </i>
    <i>
      <x v="1"/>
    </i>
    <i r="1">
      <x v="2"/>
    </i>
    <i r="1">
      <x v="9"/>
    </i>
    <i r="1">
      <x v="3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56" item="1" hier="-1"/>
    <pageField fld="51" item="0" hier="-1"/>
  </pageFields>
  <dataFields count="3">
    <dataField name="Average of Accuracy" fld="40" subtotal="average" baseField="15" baseItem="8" numFmtId="2"/>
    <dataField name="Error Count" fld="52" baseField="0" baseItem="0"/>
    <dataField name="Error Occurrences" fld="53" baseField="0" baseItem="0"/>
  </dataFields>
  <formats count="23">
    <format dxfId="447">
      <pivotArea type="all" dataOnly="0" outline="0" fieldPosition="0"/>
    </format>
    <format dxfId="446">
      <pivotArea outline="0" collapsedLevelsAreSubtotals="1" fieldPosition="0"/>
    </format>
    <format dxfId="445">
      <pivotArea field="55" type="button" dataOnly="0" labelOnly="1" outline="0" axis="axisRow" fieldPosition="0"/>
    </format>
    <format dxfId="444">
      <pivotArea dataOnly="0" labelOnly="1" fieldPosition="0">
        <references count="1">
          <reference field="55" count="0"/>
        </references>
      </pivotArea>
    </format>
    <format dxfId="443">
      <pivotArea dataOnly="0" labelOnly="1" grandRow="1" outline="0" fieldPosition="0"/>
    </format>
    <format dxfId="442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41">
      <pivotArea type="all" dataOnly="0" outline="0" fieldPosition="0"/>
    </format>
    <format dxfId="440">
      <pivotArea outline="0" collapsedLevelsAreSubtotals="1" fieldPosition="0"/>
    </format>
    <format dxfId="439">
      <pivotArea field="55" type="button" dataOnly="0" labelOnly="1" outline="0" axis="axisRow" fieldPosition="0"/>
    </format>
    <format dxfId="438">
      <pivotArea dataOnly="0" labelOnly="1" fieldPosition="0">
        <references count="1">
          <reference field="55" count="0"/>
        </references>
      </pivotArea>
    </format>
    <format dxfId="437">
      <pivotArea dataOnly="0" labelOnly="1" grandRow="1" outline="0" fieldPosition="0"/>
    </format>
    <format dxfId="436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3">
      <pivotArea type="all" dataOnly="0" outline="0" fieldPosition="0"/>
    </format>
    <format dxfId="432">
      <pivotArea outline="0" collapsedLevelsAreSubtotals="1" fieldPosition="0"/>
    </format>
    <format dxfId="431">
      <pivotArea field="55" type="button" dataOnly="0" labelOnly="1" outline="0" axis="axisRow" fieldPosition="0"/>
    </format>
    <format dxfId="430">
      <pivotArea field="15" type="button" dataOnly="0" labelOnly="1" outline="0" axis="axisRow" fieldPosition="1"/>
    </format>
    <format dxfId="429">
      <pivotArea dataOnly="0" labelOnly="1" outline="0" fieldPosition="0">
        <references count="1">
          <reference field="55" count="0"/>
        </references>
      </pivotArea>
    </format>
    <format dxfId="428">
      <pivotArea dataOnly="0" labelOnly="1" grandRow="1" outline="0" fieldPosition="0"/>
    </format>
    <format dxfId="427">
      <pivotArea dataOnly="0" labelOnly="1" outline="0" fieldPosition="0">
        <references count="2">
          <reference field="15" count="4">
            <x v="0"/>
            <x v="12"/>
            <x v="31"/>
            <x v="32"/>
          </reference>
          <reference field="55" count="1" selected="0">
            <x v="0"/>
          </reference>
        </references>
      </pivotArea>
    </format>
    <format dxfId="426">
      <pivotArea dataOnly="0" labelOnly="1" outline="0" fieldPosition="0">
        <references count="2">
          <reference field="15" count="1">
            <x v="37"/>
          </reference>
          <reference field="55" count="1" selected="0">
            <x v="1"/>
          </reference>
        </references>
      </pivotArea>
    </format>
    <format dxfId="4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12" cacheId="165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compact="0" outline="1" outlineData="1" compactData="0" multipleFieldFilters="0">
  <location ref="B5:F21" firstHeaderRow="0" firstDataRow="1" firstDataCol="2" rowPageCount="2" colPageCount="1"/>
  <pivotFields count="60">
    <pivotField compact="0" numFmtId="22" showAll="0"/>
    <pivotField compact="0" numFmtId="22" showAll="0"/>
    <pivotField compact="0" numFmtId="22" showAll="0"/>
    <pivotField compact="0" numFmtId="22" showAll="0"/>
    <pivotField compact="0" numFmtId="22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compact="0" showAll="0"/>
    <pivotField axis="axisRow" compact="0" showAll="0">
      <items count="58">
        <item m="1" x="24"/>
        <item m="1" x="17"/>
        <item x="0"/>
        <item m="1" x="53"/>
        <item m="1" x="46"/>
        <item x="6"/>
        <item x="9"/>
        <item m="1" x="27"/>
        <item m="1" x="36"/>
        <item x="5"/>
        <item m="1" x="14"/>
        <item m="1" x="25"/>
        <item m="1" x="28"/>
        <item x="4"/>
        <item x="1"/>
        <item m="1" x="38"/>
        <item m="1" x="12"/>
        <item m="1" x="45"/>
        <item m="1" x="29"/>
        <item m="1" x="22"/>
        <item m="1" x="52"/>
        <item m="1" x="35"/>
        <item m="1" x="49"/>
        <item m="1" x="16"/>
        <item m="1" x="32"/>
        <item x="2"/>
        <item x="3"/>
        <item m="1" x="34"/>
        <item m="1" x="18"/>
        <item m="1" x="20"/>
        <item m="1" x="15"/>
        <item m="1" x="30"/>
        <item m="1" x="42"/>
        <item m="1" x="23"/>
        <item m="1" x="43"/>
        <item m="1" x="26"/>
        <item x="8"/>
        <item m="1" x="10"/>
        <item m="1" x="51"/>
        <item m="1" x="50"/>
        <item m="1" x="56"/>
        <item m="1" x="47"/>
        <item m="1" x="55"/>
        <item m="1" x="33"/>
        <item m="1" x="54"/>
        <item m="1" x="39"/>
        <item m="1" x="44"/>
        <item m="1" x="40"/>
        <item x="7"/>
        <item m="1" x="13"/>
        <item m="1" x="41"/>
        <item m="1" x="37"/>
        <item m="1" x="19"/>
        <item m="1" x="21"/>
        <item m="1" x="31"/>
        <item m="1" x="48"/>
        <item m="1" x="11"/>
        <item t="default"/>
      </items>
    </pivotField>
    <pivotField compact="0" showAll="0"/>
    <pivotField compact="0" showAll="0"/>
    <pivotField compact="0" showAll="0" defaultSubtota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dataField="1" compact="0" numFmtId="10" showAll="0"/>
    <pivotField compact="0" showAll="0" defaultSubtota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compact="0" showAll="0"/>
    <pivotField compact="0" showAll="0"/>
    <pivotField compact="0" showAll="0"/>
    <pivotField axis="axisPage" compact="0" showAll="0" defaultSubtotal="0">
      <items count="2">
        <item x="0"/>
        <item x="1"/>
      </items>
    </pivotField>
    <pivotField dataField="1" compact="0" showAll="0"/>
    <pivotField dataField="1" compact="0" showAll="0"/>
    <pivotField compact="0" showAll="0"/>
    <pivotField axis="axisRow" compact="0" showAll="0">
      <items count="3">
        <item x="0"/>
        <item x="1"/>
        <item t="default"/>
      </items>
    </pivotField>
    <pivotField axis="axisPage" compact="0" showAll="0">
      <items count="6">
        <item x="3"/>
        <item x="0"/>
        <item x="1"/>
        <item x="2"/>
        <item m="1" x="4"/>
        <item t="default"/>
      </items>
    </pivotField>
    <pivotField compact="0" showAll="0" defaultSubtotal="0"/>
    <pivotField compact="0" showAll="0" defaultSubtotal="0"/>
    <pivotField compact="0" showAll="0" defaultSubtotal="0"/>
  </pivotFields>
  <rowFields count="2">
    <field x="55"/>
    <field x="15"/>
  </rowFields>
  <rowItems count="16">
    <i>
      <x/>
    </i>
    <i r="1">
      <x v="2"/>
    </i>
    <i r="1">
      <x v="5"/>
    </i>
    <i r="1">
      <x v="6"/>
    </i>
    <i r="1">
      <x v="9"/>
    </i>
    <i r="1">
      <x v="13"/>
    </i>
    <i r="1">
      <x v="14"/>
    </i>
    <i r="1">
      <x v="25"/>
    </i>
    <i r="1">
      <x v="26"/>
    </i>
    <i r="1">
      <x v="36"/>
    </i>
    <i r="1">
      <x v="48"/>
    </i>
    <i>
      <x v="1"/>
    </i>
    <i r="1">
      <x v="2"/>
    </i>
    <i r="1">
      <x v="9"/>
    </i>
    <i r="1">
      <x v="3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56" item="1" hier="-1"/>
    <pageField fld="51" item="0" hier="-1"/>
  </pageFields>
  <dataFields count="3">
    <dataField name="Average of Accuracy" fld="40" subtotal="average" baseField="55" baseItem="0" numFmtId="2"/>
    <dataField name="Error Count" fld="52" baseField="0" baseItem="0"/>
    <dataField name="Error Occurrences" fld="53" baseField="0" baseItem="0"/>
  </dataFields>
  <formats count="22">
    <format dxfId="469">
      <pivotArea type="all" dataOnly="0" outline="0" fieldPosition="0"/>
    </format>
    <format dxfId="468">
      <pivotArea outline="0" collapsedLevelsAreSubtotals="1" fieldPosition="0"/>
    </format>
    <format dxfId="467">
      <pivotArea field="55" type="button" dataOnly="0" labelOnly="1" outline="0" axis="axisRow" fieldPosition="0"/>
    </format>
    <format dxfId="466">
      <pivotArea dataOnly="0" labelOnly="1" fieldPosition="0">
        <references count="1">
          <reference field="55" count="0"/>
        </references>
      </pivotArea>
    </format>
    <format dxfId="465">
      <pivotArea dataOnly="0" labelOnly="1" grandRow="1" outline="0" fieldPosition="0"/>
    </format>
    <format dxfId="464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63">
      <pivotArea type="all" dataOnly="0" outline="0" fieldPosition="0"/>
    </format>
    <format dxfId="462">
      <pivotArea outline="0" collapsedLevelsAreSubtotals="1" fieldPosition="0"/>
    </format>
    <format dxfId="461">
      <pivotArea field="55" type="button" dataOnly="0" labelOnly="1" outline="0" axis="axisRow" fieldPosition="0"/>
    </format>
    <format dxfId="460">
      <pivotArea dataOnly="0" labelOnly="1" fieldPosition="0">
        <references count="1">
          <reference field="55" count="0"/>
        </references>
      </pivotArea>
    </format>
    <format dxfId="459">
      <pivotArea dataOnly="0" labelOnly="1" grandRow="1" outline="0" fieldPosition="0"/>
    </format>
    <format dxfId="458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5">
      <pivotArea type="all" dataOnly="0" outline="0" fieldPosition="0"/>
    </format>
    <format dxfId="454">
      <pivotArea outline="0" collapsedLevelsAreSubtotals="1" fieldPosition="0"/>
    </format>
    <format dxfId="453">
      <pivotArea field="55" type="button" dataOnly="0" labelOnly="1" outline="0" axis="axisRow" fieldPosition="0"/>
    </format>
    <format dxfId="452">
      <pivotArea field="15" type="button" dataOnly="0" labelOnly="1" outline="0" axis="axisRow" fieldPosition="1"/>
    </format>
    <format dxfId="451">
      <pivotArea dataOnly="0" labelOnly="1" outline="0" fieldPosition="0">
        <references count="1">
          <reference field="55" count="1">
            <x v="0"/>
          </reference>
        </references>
      </pivotArea>
    </format>
    <format dxfId="450">
      <pivotArea dataOnly="0" labelOnly="1" grandRow="1" outline="0" fieldPosition="0"/>
    </format>
    <format dxfId="449">
      <pivotArea dataOnly="0" labelOnly="1" outline="0" fieldPosition="0">
        <references count="2">
          <reference field="15" count="27">
            <x v="0"/>
            <x v="1"/>
            <x v="4"/>
            <x v="5"/>
            <x v="6"/>
            <x v="7"/>
            <x v="12"/>
            <x v="13"/>
            <x v="18"/>
            <x v="19"/>
            <x v="21"/>
            <x v="22"/>
            <x v="23"/>
            <x v="24"/>
            <x v="25"/>
            <x v="26"/>
            <x v="27"/>
            <x v="29"/>
            <x v="31"/>
            <x v="34"/>
            <x v="38"/>
            <x v="39"/>
            <x v="42"/>
            <x v="43"/>
            <x v="50"/>
            <x v="51"/>
            <x v="52"/>
          </reference>
          <reference field="55" count="1" selected="0">
            <x v="0"/>
          </reference>
        </references>
      </pivotArea>
    </format>
    <format dxfId="4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2" cacheId="165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compact="0" outline="1" outlineData="1" compactData="0" multipleFieldFilters="0">
  <location ref="T5:X21" firstHeaderRow="0" firstDataRow="1" firstDataCol="2" rowPageCount="2" colPageCount="1"/>
  <pivotFields count="60">
    <pivotField compact="0" numFmtId="22" showAll="0"/>
    <pivotField compact="0" numFmtId="22" showAll="0"/>
    <pivotField compact="0" numFmtId="22" showAll="0"/>
    <pivotField compact="0" numFmtId="22" showAll="0"/>
    <pivotField compact="0" numFmtId="22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compact="0" showAll="0"/>
    <pivotField axis="axisRow" compact="0" showAll="0">
      <items count="58">
        <item m="1" x="24"/>
        <item m="1" x="17"/>
        <item x="0"/>
        <item m="1" x="53"/>
        <item m="1" x="46"/>
        <item x="6"/>
        <item x="9"/>
        <item m="1" x="27"/>
        <item m="1" x="36"/>
        <item x="5"/>
        <item m="1" x="14"/>
        <item m="1" x="25"/>
        <item m="1" x="28"/>
        <item x="4"/>
        <item x="1"/>
        <item m="1" x="38"/>
        <item m="1" x="12"/>
        <item m="1" x="45"/>
        <item m="1" x="29"/>
        <item m="1" x="22"/>
        <item m="1" x="52"/>
        <item m="1" x="35"/>
        <item m="1" x="49"/>
        <item m="1" x="16"/>
        <item m="1" x="32"/>
        <item x="2"/>
        <item x="3"/>
        <item m="1" x="34"/>
        <item m="1" x="18"/>
        <item m="1" x="20"/>
        <item m="1" x="15"/>
        <item m="1" x="30"/>
        <item m="1" x="42"/>
        <item m="1" x="23"/>
        <item m="1" x="43"/>
        <item m="1" x="26"/>
        <item x="8"/>
        <item m="1" x="10"/>
        <item m="1" x="51"/>
        <item m="1" x="50"/>
        <item m="1" x="56"/>
        <item m="1" x="47"/>
        <item m="1" x="55"/>
        <item m="1" x="33"/>
        <item m="1" x="54"/>
        <item m="1" x="39"/>
        <item m="1" x="44"/>
        <item m="1" x="40"/>
        <item x="7"/>
        <item m="1" x="13"/>
        <item m="1" x="41"/>
        <item m="1" x="37"/>
        <item m="1" x="19"/>
        <item m="1" x="21"/>
        <item m="1" x="31"/>
        <item m="1" x="48"/>
        <item m="1" x="11"/>
        <item t="default"/>
      </items>
    </pivotField>
    <pivotField compact="0" showAll="0"/>
    <pivotField compact="0" showAll="0"/>
    <pivotField compact="0" showAll="0" defaultSubtota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dataField="1" compact="0" numFmtId="10" showAll="0"/>
    <pivotField compact="0" showAll="0" defaultSubtota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compact="0" showAll="0"/>
    <pivotField compact="0" showAll="0"/>
    <pivotField compact="0" showAll="0"/>
    <pivotField axis="axisPage" compact="0" showAll="0" defaultSubtotal="0">
      <items count="2">
        <item x="0"/>
        <item x="1"/>
      </items>
    </pivotField>
    <pivotField dataField="1" compact="0" showAll="0"/>
    <pivotField dataField="1" compact="0" showAll="0"/>
    <pivotField compact="0" showAll="0"/>
    <pivotField axis="axisRow" compact="0" showAll="0">
      <items count="3">
        <item x="1"/>
        <item x="0"/>
        <item t="default"/>
      </items>
    </pivotField>
    <pivotField axis="axisPage" compact="0" showAll="0">
      <items count="6">
        <item x="3"/>
        <item x="0"/>
        <item x="1"/>
        <item x="2"/>
        <item m="1" x="4"/>
        <item t="default"/>
      </items>
    </pivotField>
    <pivotField compact="0" showAll="0" defaultSubtotal="0"/>
    <pivotField compact="0" showAll="0" defaultSubtotal="0"/>
    <pivotField compact="0" showAll="0" defaultSubtotal="0"/>
  </pivotFields>
  <rowFields count="2">
    <field x="55"/>
    <field x="15"/>
  </rowFields>
  <rowItems count="16">
    <i>
      <x/>
    </i>
    <i r="1">
      <x v="2"/>
    </i>
    <i r="1">
      <x v="9"/>
    </i>
    <i r="1">
      <x v="36"/>
    </i>
    <i>
      <x v="1"/>
    </i>
    <i r="1">
      <x v="2"/>
    </i>
    <i r="1">
      <x v="5"/>
    </i>
    <i r="1">
      <x v="6"/>
    </i>
    <i r="1">
      <x v="9"/>
    </i>
    <i r="1">
      <x v="13"/>
    </i>
    <i r="1">
      <x v="14"/>
    </i>
    <i r="1">
      <x v="25"/>
    </i>
    <i r="1">
      <x v="26"/>
    </i>
    <i r="1">
      <x v="36"/>
    </i>
    <i r="1">
      <x v="4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56" item="1" hier="-1"/>
    <pageField fld="51" item="0" hier="-1"/>
  </pageFields>
  <dataFields count="3">
    <dataField name="Average of Accuracy" fld="40" subtotal="average" baseField="15" baseItem="5" numFmtId="2"/>
    <dataField name="Error Count" fld="52" baseField="0" baseItem="0"/>
    <dataField name="Error Occurrences" fld="53" baseField="0" baseItem="0"/>
  </dataFields>
  <formats count="14">
    <format dxfId="483">
      <pivotArea type="all" dataOnly="0" outline="0" fieldPosition="0"/>
    </format>
    <format dxfId="482">
      <pivotArea outline="0" collapsedLevelsAreSubtotals="1" fieldPosition="0"/>
    </format>
    <format dxfId="481">
      <pivotArea field="55" type="button" dataOnly="0" labelOnly="1" outline="0" axis="axisRow" fieldPosition="0"/>
    </format>
    <format dxfId="480">
      <pivotArea dataOnly="0" labelOnly="1" fieldPosition="0">
        <references count="1">
          <reference field="55" count="0"/>
        </references>
      </pivotArea>
    </format>
    <format dxfId="479">
      <pivotArea dataOnly="0" labelOnly="1" grandRow="1" outline="0" fieldPosition="0"/>
    </format>
    <format dxfId="478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77">
      <pivotArea type="all" dataOnly="0" outline="0" fieldPosition="0"/>
    </format>
    <format dxfId="476">
      <pivotArea outline="0" collapsedLevelsAreSubtotals="1" fieldPosition="0"/>
    </format>
    <format dxfId="475">
      <pivotArea field="55" type="button" dataOnly="0" labelOnly="1" outline="0" axis="axisRow" fieldPosition="0"/>
    </format>
    <format dxfId="474">
      <pivotArea dataOnly="0" labelOnly="1" fieldPosition="0">
        <references count="1">
          <reference field="55" count="0"/>
        </references>
      </pivotArea>
    </format>
    <format dxfId="473">
      <pivotArea dataOnly="0" labelOnly="1" grandRow="1" outline="0" fieldPosition="0"/>
    </format>
    <format dxfId="472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71">
      <pivotArea outline="0" fieldPosition="0">
        <references count="1">
          <reference field="4294967294" count="1" selected="0">
            <x v="0"/>
          </reference>
        </references>
      </pivotArea>
    </format>
    <format dxfId="47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35115-E765-4A4E-803F-832FAA1D0652}" name="PivotTable1" cacheId="165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5" indent="0" compact="0" compactData="0" multipleFieldFilters="0" rowHeaderCaption="User Name" colHeaderCaption=" ">
  <location ref="A4:F234" firstHeaderRow="1" firstDataRow="2" firstDataCol="3" rowPageCount="2" colPageCount="1"/>
  <pivotFields count="60">
    <pivotField compact="0" numFmtId="47" outline="0" showAll="0"/>
    <pivotField compact="0" numFmtId="47" outline="0" showAll="0"/>
    <pivotField compact="0" numFmtId="47" outline="0" showAll="0"/>
    <pivotField compact="0" numFmtId="47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m="1" x="2"/>
        <item x="0"/>
        <item m="1" x="1"/>
        <item m="1" x="3"/>
        <item t="default"/>
      </items>
    </pivotField>
    <pivotField dataField="1" compact="0" outline="0" showAll="0"/>
    <pivotField axis="axisRow" compact="0" outline="0" showAll="0" sortType="descending">
      <items count="420">
        <item m="1" x="211"/>
        <item m="1" x="300"/>
        <item m="1" x="188"/>
        <item m="1" x="274"/>
        <item x="7"/>
        <item m="1" x="242"/>
        <item x="38"/>
        <item m="1" x="87"/>
        <item m="1" x="276"/>
        <item m="1" x="349"/>
        <item m="1" x="192"/>
        <item x="80"/>
        <item m="1" x="366"/>
        <item m="1" x="149"/>
        <item m="1" x="122"/>
        <item m="1" x="275"/>
        <item m="1" x="418"/>
        <item m="1" x="143"/>
        <item m="1" x="102"/>
        <item m="1" x="267"/>
        <item m="1" x="263"/>
        <item m="1" x="96"/>
        <item m="1" x="245"/>
        <item m="1" x="309"/>
        <item m="1" x="191"/>
        <item m="1" x="93"/>
        <item m="1" x="297"/>
        <item m="1" x="206"/>
        <item m="1" x="350"/>
        <item x="2"/>
        <item m="1" x="306"/>
        <item m="1" x="200"/>
        <item m="1" x="273"/>
        <item m="1" x="185"/>
        <item m="1" x="337"/>
        <item m="1" x="339"/>
        <item m="1" x="284"/>
        <item m="1" x="107"/>
        <item m="1" x="140"/>
        <item m="1" x="393"/>
        <item m="1" x="112"/>
        <item x="79"/>
        <item m="1" x="157"/>
        <item m="1" x="336"/>
        <item x="13"/>
        <item m="1" x="261"/>
        <item m="1" x="385"/>
        <item m="1" x="160"/>
        <item m="1" x="84"/>
        <item m="1" x="325"/>
        <item m="1" x="285"/>
        <item x="68"/>
        <item m="1" x="123"/>
        <item m="1" x="222"/>
        <item x="34"/>
        <item x="4"/>
        <item m="1" x="404"/>
        <item m="1" x="150"/>
        <item m="1" x="133"/>
        <item m="1" x="137"/>
        <item m="1" x="153"/>
        <item m="1" x="329"/>
        <item m="1" x="342"/>
        <item m="1" x="198"/>
        <item m="1" x="92"/>
        <item m="1" x="247"/>
        <item m="1" x="280"/>
        <item m="1" x="272"/>
        <item m="1" x="408"/>
        <item m="1" x="103"/>
        <item m="1" x="271"/>
        <item m="1" x="232"/>
        <item x="54"/>
        <item m="1" x="126"/>
        <item x="16"/>
        <item m="1" x="189"/>
        <item m="1" x="110"/>
        <item m="1" x="324"/>
        <item m="1" x="145"/>
        <item x="62"/>
        <item m="1" x="205"/>
        <item m="1" x="315"/>
        <item m="1" x="409"/>
        <item x="17"/>
        <item m="1" x="165"/>
        <item m="1" x="367"/>
        <item m="1" x="141"/>
        <item m="1" x="130"/>
        <item m="1" x="114"/>
        <item m="1" x="348"/>
        <item m="1" x="392"/>
        <item m="1" x="88"/>
        <item m="1" x="390"/>
        <item m="1" x="391"/>
        <item m="1" x="148"/>
        <item m="1" x="417"/>
        <item x="37"/>
        <item m="1" x="318"/>
        <item m="1" x="368"/>
        <item m="1" x="268"/>
        <item m="1" x="253"/>
        <item x="33"/>
        <item m="1" x="266"/>
        <item m="1" x="199"/>
        <item m="1" x="162"/>
        <item m="1" x="400"/>
        <item m="1" x="172"/>
        <item m="1" x="406"/>
        <item x="12"/>
        <item m="1" x="357"/>
        <item m="1" x="303"/>
        <item m="1" x="196"/>
        <item m="1" x="402"/>
        <item m="1" x="233"/>
        <item x="5"/>
        <item m="1" x="256"/>
        <item m="1" x="361"/>
        <item m="1" x="326"/>
        <item x="72"/>
        <item m="1" x="355"/>
        <item x="58"/>
        <item m="1" x="414"/>
        <item m="1" x="209"/>
        <item m="1" x="218"/>
        <item m="1" x="341"/>
        <item x="32"/>
        <item x="30"/>
        <item m="1" x="221"/>
        <item m="1" x="395"/>
        <item m="1" x="240"/>
        <item m="1" x="146"/>
        <item m="1" x="277"/>
        <item m="1" x="94"/>
        <item m="1" x="182"/>
        <item x="26"/>
        <item m="1" x="213"/>
        <item m="1" x="313"/>
        <item m="1" x="170"/>
        <item m="1" x="183"/>
        <item m="1" x="134"/>
        <item m="1" x="98"/>
        <item x="43"/>
        <item m="1" x="158"/>
        <item m="1" x="101"/>
        <item m="1" x="360"/>
        <item m="1" x="204"/>
        <item m="1" x="283"/>
        <item m="1" x="91"/>
        <item m="1" x="113"/>
        <item m="1" x="95"/>
        <item x="36"/>
        <item m="1" x="159"/>
        <item x="14"/>
        <item x="45"/>
        <item m="1" x="224"/>
        <item m="1" x="217"/>
        <item m="1" x="166"/>
        <item m="1" x="290"/>
        <item m="1" x="278"/>
        <item m="1" x="214"/>
        <item m="1" x="177"/>
        <item m="1" x="147"/>
        <item m="1" x="363"/>
        <item m="1" x="85"/>
        <item x="8"/>
        <item m="1" x="358"/>
        <item x="25"/>
        <item x="66"/>
        <item x="15"/>
        <item m="1" x="237"/>
        <item x="10"/>
        <item m="1" x="131"/>
        <item x="3"/>
        <item m="1" x="415"/>
        <item m="1" x="184"/>
        <item m="1" x="321"/>
        <item m="1" x="203"/>
        <item m="1" x="226"/>
        <item m="1" x="387"/>
        <item m="1" x="241"/>
        <item m="1" x="207"/>
        <item m="1" x="335"/>
        <item x="74"/>
        <item x="39"/>
        <item m="1" x="251"/>
        <item x="0"/>
        <item m="1" x="311"/>
        <item x="76"/>
        <item x="22"/>
        <item m="1" x="288"/>
        <item x="55"/>
        <item x="47"/>
        <item m="1" x="156"/>
        <item m="1" x="377"/>
        <item x="18"/>
        <item x="50"/>
        <item m="1" x="230"/>
        <item m="1" x="167"/>
        <item x="61"/>
        <item m="1" x="264"/>
        <item m="1" x="411"/>
        <item x="27"/>
        <item m="1" x="176"/>
        <item m="1" x="346"/>
        <item m="1" x="401"/>
        <item m="1" x="279"/>
        <item m="1" x="249"/>
        <item m="1" x="330"/>
        <item m="1" x="234"/>
        <item x="40"/>
        <item m="1" x="375"/>
        <item m="1" x="374"/>
        <item m="1" x="208"/>
        <item m="1" x="99"/>
        <item m="1" x="255"/>
        <item m="1" x="416"/>
        <item m="1" x="307"/>
        <item m="1" x="116"/>
        <item m="1" x="298"/>
        <item m="1" x="187"/>
        <item m="1" x="139"/>
        <item m="1" x="163"/>
        <item m="1" x="173"/>
        <item m="1" x="120"/>
        <item m="1" x="154"/>
        <item x="77"/>
        <item m="1" x="345"/>
        <item m="1" x="398"/>
        <item m="1" x="338"/>
        <item x="20"/>
        <item m="1" x="356"/>
        <item x="73"/>
        <item x="75"/>
        <item m="1" x="227"/>
        <item m="1" x="179"/>
        <item m="1" x="104"/>
        <item x="69"/>
        <item m="1" x="178"/>
        <item m="1" x="365"/>
        <item m="1" x="322"/>
        <item m="1" x="228"/>
        <item x="60"/>
        <item m="1" x="410"/>
        <item x="9"/>
        <item x="6"/>
        <item m="1" x="388"/>
        <item m="1" x="164"/>
        <item m="1" x="225"/>
        <item x="57"/>
        <item m="1" x="382"/>
        <item m="1" x="219"/>
        <item m="1" x="174"/>
        <item x="70"/>
        <item m="1" x="111"/>
        <item m="1" x="304"/>
        <item m="1" x="383"/>
        <item m="1" x="210"/>
        <item m="1" x="282"/>
        <item x="44"/>
        <item m="1" x="372"/>
        <item m="1" x="327"/>
        <item m="1" x="314"/>
        <item m="1" x="412"/>
        <item m="1" x="193"/>
        <item m="1" x="97"/>
        <item m="1" x="231"/>
        <item m="1" x="215"/>
        <item m="1" x="413"/>
        <item m="1" x="405"/>
        <item m="1" x="334"/>
        <item m="1" x="286"/>
        <item m="1" x="294"/>
        <item m="1" x="380"/>
        <item m="1" x="202"/>
        <item m="1" x="82"/>
        <item m="1" x="362"/>
        <item m="1" x="169"/>
        <item m="1" x="121"/>
        <item m="1" x="373"/>
        <item m="1" x="364"/>
        <item m="1" x="127"/>
        <item m="1" x="281"/>
        <item m="1" x="168"/>
        <item m="1" x="258"/>
        <item m="1" x="399"/>
        <item m="1" x="109"/>
        <item m="1" x="142"/>
        <item m="1" x="186"/>
        <item m="1" x="269"/>
        <item m="1" x="386"/>
        <item m="1" x="248"/>
        <item m="1" x="379"/>
        <item m="1" x="117"/>
        <item m="1" x="292"/>
        <item m="1" x="305"/>
        <item m="1" x="293"/>
        <item m="1" x="354"/>
        <item m="1" x="352"/>
        <item x="71"/>
        <item m="1" x="312"/>
        <item m="1" x="265"/>
        <item x="24"/>
        <item m="1" x="299"/>
        <item m="1" x="235"/>
        <item m="1" x="396"/>
        <item m="1" x="100"/>
        <item m="1" x="197"/>
        <item m="1" x="347"/>
        <item m="1" x="310"/>
        <item m="1" x="378"/>
        <item m="1" x="370"/>
        <item m="1" x="115"/>
        <item m="1" x="138"/>
        <item x="29"/>
        <item m="1" x="119"/>
        <item x="41"/>
        <item m="1" x="144"/>
        <item x="35"/>
        <item m="1" x="353"/>
        <item m="1" x="105"/>
        <item m="1" x="250"/>
        <item x="63"/>
        <item m="1" x="175"/>
        <item m="1" x="389"/>
        <item m="1" x="106"/>
        <item m="1" x="118"/>
        <item x="23"/>
        <item m="1" x="394"/>
        <item x="59"/>
        <item m="1" x="180"/>
        <item m="1" x="340"/>
        <item x="56"/>
        <item m="1" x="246"/>
        <item m="1" x="90"/>
        <item m="1" x="125"/>
        <item m="1" x="260"/>
        <item x="11"/>
        <item m="1" x="216"/>
        <item m="1" x="369"/>
        <item m="1" x="331"/>
        <item m="1" x="108"/>
        <item m="1" x="371"/>
        <item m="1" x="243"/>
        <item m="1" x="291"/>
        <item m="1" x="289"/>
        <item m="1" x="317"/>
        <item m="1" x="270"/>
        <item x="65"/>
        <item m="1" x="287"/>
        <item x="52"/>
        <item m="1" x="308"/>
        <item x="49"/>
        <item m="1" x="351"/>
        <item m="1" x="161"/>
        <item m="1" x="407"/>
        <item m="1" x="132"/>
        <item m="1" x="359"/>
        <item m="1" x="181"/>
        <item m="1" x="212"/>
        <item m="1" x="319"/>
        <item m="1" x="296"/>
        <item m="1" x="135"/>
        <item m="1" x="171"/>
        <item m="1" x="328"/>
        <item x="46"/>
        <item m="1" x="239"/>
        <item m="1" x="332"/>
        <item m="1" x="238"/>
        <item m="1" x="220"/>
        <item m="1" x="252"/>
        <item m="1" x="223"/>
        <item x="67"/>
        <item m="1" x="229"/>
        <item m="1" x="190"/>
        <item m="1" x="333"/>
        <item m="1" x="201"/>
        <item m="1" x="86"/>
        <item m="1" x="124"/>
        <item m="1" x="129"/>
        <item m="1" x="295"/>
        <item m="1" x="151"/>
        <item m="1" x="381"/>
        <item x="53"/>
        <item m="1" x="195"/>
        <item m="1" x="194"/>
        <item m="1" x="83"/>
        <item m="1" x="254"/>
        <item x="78"/>
        <item m="1" x="128"/>
        <item m="1" x="384"/>
        <item m="1" x="244"/>
        <item m="1" x="316"/>
        <item m="1" x="236"/>
        <item m="1" x="257"/>
        <item m="1" x="323"/>
        <item m="1" x="343"/>
        <item m="1" x="344"/>
        <item x="64"/>
        <item m="1" x="376"/>
        <item m="1" x="262"/>
        <item m="1" x="403"/>
        <item m="1" x="320"/>
        <item x="1"/>
        <item m="1" x="397"/>
        <item x="48"/>
        <item m="1" x="302"/>
        <item m="1" x="89"/>
        <item m="1" x="155"/>
        <item m="1" x="259"/>
        <item x="21"/>
        <item m="1" x="152"/>
        <item x="28"/>
        <item x="31"/>
        <item m="1" x="136"/>
        <item m="1" x="301"/>
        <item x="19"/>
        <item x="42"/>
        <item x="51"/>
        <item x="8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9" count="1" selected="0">
              <x v="1"/>
            </reference>
          </references>
        </pivotArea>
      </autoSortScope>
    </pivotField>
    <pivotField axis="axisRow" compact="0" outline="0" showAll="0" sortType="descending">
      <items count="49">
        <item x="14"/>
        <item x="1"/>
        <item x="6"/>
        <item x="12"/>
        <item x="22"/>
        <item m="1" x="28"/>
        <item m="1" x="39"/>
        <item x="13"/>
        <item m="1" x="32"/>
        <item m="1" x="46"/>
        <item m="1" x="36"/>
        <item x="3"/>
        <item m="1" x="30"/>
        <item x="21"/>
        <item x="19"/>
        <item m="1" x="25"/>
        <item m="1" x="38"/>
        <item m="1" x="31"/>
        <item x="2"/>
        <item m="1" x="26"/>
        <item x="0"/>
        <item x="11"/>
        <item m="1" x="27"/>
        <item m="1" x="45"/>
        <item m="1" x="37"/>
        <item x="9"/>
        <item m="1" x="44"/>
        <item x="17"/>
        <item x="7"/>
        <item x="8"/>
        <item m="1" x="47"/>
        <item x="16"/>
        <item x="24"/>
        <item x="20"/>
        <item m="1" x="40"/>
        <item x="4"/>
        <item m="1" x="43"/>
        <item x="10"/>
        <item x="18"/>
        <item m="1" x="42"/>
        <item m="1" x="41"/>
        <item x="5"/>
        <item x="15"/>
        <item x="23"/>
        <item m="1" x="29"/>
        <item m="1" x="34"/>
        <item m="1" x="35"/>
        <item m="1" x="3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9" count="1" selected="0">
              <x v="1"/>
            </reference>
          </references>
        </pivotArea>
      </autoSortScope>
    </pivotField>
    <pivotField compact="0" outline="0" showAll="0" defaultSubtotal="0"/>
    <pivotField compact="0" outline="0" showAll="0"/>
    <pivotField axis="axisRow" compact="0" outline="0" showAll="0" sortType="descending">
      <items count="58">
        <item m="1" x="24"/>
        <item m="1" x="11"/>
        <item m="1" x="13"/>
        <item m="1" x="40"/>
        <item m="1" x="15"/>
        <item x="8"/>
        <item m="1" x="35"/>
        <item m="1" x="27"/>
        <item m="1" x="44"/>
        <item m="1" x="18"/>
        <item x="4"/>
        <item m="1" x="55"/>
        <item m="1" x="48"/>
        <item m="1" x="47"/>
        <item m="1" x="41"/>
        <item m="1" x="54"/>
        <item m="1" x="50"/>
        <item m="1" x="16"/>
        <item m="1" x="32"/>
        <item m="1" x="34"/>
        <item m="1" x="17"/>
        <item m="1" x="56"/>
        <item m="1" x="49"/>
        <item m="1" x="14"/>
        <item m="1" x="46"/>
        <item m="1" x="36"/>
        <item m="1" x="28"/>
        <item m="1" x="26"/>
        <item m="1" x="23"/>
        <item m="1" x="52"/>
        <item m="1" x="43"/>
        <item m="1" x="37"/>
        <item x="6"/>
        <item m="1" x="51"/>
        <item m="1" x="42"/>
        <item m="1" x="31"/>
        <item m="1" x="10"/>
        <item m="1" x="12"/>
        <item m="1" x="19"/>
        <item m="1" x="45"/>
        <item m="1" x="25"/>
        <item x="1"/>
        <item m="1" x="53"/>
        <item m="1" x="38"/>
        <item x="5"/>
        <item m="1" x="21"/>
        <item m="1" x="20"/>
        <item x="9"/>
        <item m="1" x="22"/>
        <item m="1" x="39"/>
        <item x="3"/>
        <item m="1" x="29"/>
        <item m="1" x="33"/>
        <item x="7"/>
        <item m="1" x="30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axis="axisPage" compact="0" outline="0" showAll="0">
      <items count="319">
        <item m="1" x="139"/>
        <item m="1" x="294"/>
        <item m="1" x="146"/>
        <item m="1" x="299"/>
        <item m="1" x="152"/>
        <item m="1" x="304"/>
        <item m="1" x="157"/>
        <item m="1" x="309"/>
        <item m="1" x="161"/>
        <item m="1" x="312"/>
        <item m="1" x="163"/>
        <item m="1" x="315"/>
        <item m="1" x="166"/>
        <item m="1" x="21"/>
        <item m="1" x="170"/>
        <item m="1" x="257"/>
        <item m="1" x="265"/>
        <item m="1" x="117"/>
        <item m="1" x="122"/>
        <item m="1" x="276"/>
        <item m="1" x="127"/>
        <item m="1" x="281"/>
        <item m="1" x="133"/>
        <item m="1" x="288"/>
        <item m="1" x="147"/>
        <item m="1" x="300"/>
        <item m="1" x="153"/>
        <item m="1" x="305"/>
        <item m="1" x="158"/>
        <item m="1" x="313"/>
        <item m="1" x="164"/>
        <item m="1" x="316"/>
        <item m="1" x="167"/>
        <item m="1" x="22"/>
        <item m="1" x="173"/>
        <item m="1" x="26"/>
        <item m="1" x="175"/>
        <item m="1" x="273"/>
        <item m="1" x="129"/>
        <item m="1" x="283"/>
        <item m="1" x="135"/>
        <item m="1" x="289"/>
        <item m="1" x="141"/>
        <item m="1" x="301"/>
        <item m="1" x="154"/>
        <item m="1" x="306"/>
        <item m="1" x="159"/>
        <item m="1" x="310"/>
        <item m="1" x="165"/>
        <item m="1" x="317"/>
        <item m="1" x="168"/>
        <item m="1" x="23"/>
        <item m="1" x="171"/>
        <item m="1" x="27"/>
        <item m="1" x="176"/>
        <item m="1" x="29"/>
        <item m="1" x="178"/>
        <item m="1" x="31"/>
        <item m="1" x="136"/>
        <item m="1" x="290"/>
        <item m="1" x="142"/>
        <item m="1" x="296"/>
        <item m="1" x="149"/>
        <item m="1" x="307"/>
        <item m="1" x="160"/>
        <item m="1" x="311"/>
        <item m="1" x="162"/>
        <item m="1" x="314"/>
        <item m="1" x="169"/>
        <item m="1" x="24"/>
        <item m="1" x="172"/>
        <item m="1" x="25"/>
        <item m="1" x="174"/>
        <item m="1" x="30"/>
        <item m="1" x="179"/>
        <item m="1" x="181"/>
        <item m="1" x="34"/>
        <item m="1" x="186"/>
        <item m="1" x="40"/>
        <item m="1" x="28"/>
        <item m="1" x="177"/>
        <item m="1" x="180"/>
        <item m="1" x="32"/>
        <item m="1" x="182"/>
        <item m="1" x="35"/>
        <item m="1" x="184"/>
        <item m="1" x="37"/>
        <item m="1" x="41"/>
        <item m="1" x="189"/>
        <item m="1" x="43"/>
        <item m="1" x="193"/>
        <item m="1" x="47"/>
        <item m="1" x="197"/>
        <item m="1" x="201"/>
        <item m="1" x="54"/>
        <item m="1" x="204"/>
        <item m="1" x="59"/>
        <item m="1" x="210"/>
        <item m="1" x="64"/>
        <item m="1" x="69"/>
        <item m="1" x="221"/>
        <item m="1" x="74"/>
        <item m="1" x="227"/>
        <item m="1" x="81"/>
        <item m="1" x="234"/>
        <item m="1" x="33"/>
        <item m="1" x="183"/>
        <item m="1" x="36"/>
        <item m="1" x="185"/>
        <item m="1" x="38"/>
        <item m="1" x="187"/>
        <item m="1" x="190"/>
        <item m="1" x="44"/>
        <item m="1" x="194"/>
        <item m="1" x="48"/>
        <item m="1" x="198"/>
        <item m="1" x="50"/>
        <item m="1" x="55"/>
        <item m="1" x="205"/>
        <item m="1" x="60"/>
        <item m="1" x="211"/>
        <item m="1" x="65"/>
        <item m="1" x="215"/>
        <item m="1" x="222"/>
        <item m="1" x="75"/>
        <item m="1" x="228"/>
        <item m="1" x="82"/>
        <item m="1" x="235"/>
        <item m="1" x="88"/>
        <item m="1" x="39"/>
        <item m="1" x="188"/>
        <item m="1" x="42"/>
        <item m="1" x="191"/>
        <item m="1" x="45"/>
        <item m="1" x="195"/>
        <item m="1" x="199"/>
        <item m="1" x="51"/>
        <item m="1" x="202"/>
        <item m="1" x="56"/>
        <item m="1" x="206"/>
        <item m="1" x="66"/>
        <item m="1" x="216"/>
        <item m="1" x="70"/>
        <item m="1" x="223"/>
        <item m="1" x="76"/>
        <item m="1" x="229"/>
        <item m="1" x="236"/>
        <item m="1" x="89"/>
        <item m="1" x="242"/>
        <item m="1" x="95"/>
        <item m="1" x="247"/>
        <item m="1" x="102"/>
        <item m="1" x="107"/>
        <item m="1" x="259"/>
        <item m="1" x="192"/>
        <item m="1" x="46"/>
        <item m="1" x="196"/>
        <item m="1" x="49"/>
        <item m="1" x="52"/>
        <item m="1" x="203"/>
        <item m="1" x="57"/>
        <item m="1" x="207"/>
        <item m="1" x="61"/>
        <item m="1" x="212"/>
        <item m="1" x="217"/>
        <item m="1" x="71"/>
        <item m="1" x="224"/>
        <item m="1" x="77"/>
        <item m="1" x="230"/>
        <item m="1" x="83"/>
        <item m="1" x="237"/>
        <item m="1" x="90"/>
        <item m="1" x="243"/>
        <item m="1" x="96"/>
        <item m="1" x="248"/>
        <item m="1" x="103"/>
        <item m="1" x="253"/>
        <item m="1" x="260"/>
        <item m="1" x="112"/>
        <item m="1" x="267"/>
        <item m="1" x="118"/>
        <item m="1" x="200"/>
        <item m="1" x="53"/>
        <item m="1" x="58"/>
        <item m="1" x="208"/>
        <item m="1" x="62"/>
        <item m="1" x="213"/>
        <item m="1" x="67"/>
        <item m="1" x="218"/>
        <item m="1" x="225"/>
        <item m="1" x="78"/>
        <item m="1" x="231"/>
        <item m="1" x="84"/>
        <item m="1" x="238"/>
        <item m="1" x="91"/>
        <item m="1" x="97"/>
        <item m="1" x="249"/>
        <item m="1" x="104"/>
        <item m="1" x="254"/>
        <item m="1" x="108"/>
        <item m="1" x="261"/>
        <item m="1" x="113"/>
        <item m="1" x="268"/>
        <item m="1" x="119"/>
        <item m="1" x="274"/>
        <item m="1" x="124"/>
        <item m="1" x="278"/>
        <item m="1" x="130"/>
        <item m="1" x="284"/>
        <item m="1" x="209"/>
        <item m="1" x="63"/>
        <item m="1" x="214"/>
        <item m="1" x="68"/>
        <item m="1" x="219"/>
        <item m="1" x="72"/>
        <item m="1" x="79"/>
        <item m="1" x="232"/>
        <item m="1" x="85"/>
        <item m="1" x="239"/>
        <item m="1" x="92"/>
        <item m="1" x="244"/>
        <item m="1" x="98"/>
        <item m="1" x="250"/>
        <item m="1" x="105"/>
        <item m="1" x="255"/>
        <item m="1" x="109"/>
        <item m="1" x="262"/>
        <item m="1" x="114"/>
        <item m="1" x="275"/>
        <item m="1" x="125"/>
        <item m="1" x="279"/>
        <item m="1" x="131"/>
        <item m="1" x="269"/>
        <item m="1" x="285"/>
        <item m="1" x="291"/>
        <item m="1" x="143"/>
        <item m="1" x="220"/>
        <item m="1" x="73"/>
        <item m="1" x="226"/>
        <item m="1" x="80"/>
        <item m="1" x="86"/>
        <item m="1" x="240"/>
        <item m="1" x="93"/>
        <item m="1" x="245"/>
        <item m="1" x="99"/>
        <item m="1" x="251"/>
        <item m="1" x="256"/>
        <item m="1" x="110"/>
        <item m="1" x="263"/>
        <item m="1" x="115"/>
        <item m="1" x="270"/>
        <item m="1" x="120"/>
        <item m="1" x="126"/>
        <item m="1" x="280"/>
        <item m="1" x="132"/>
        <item m="1" x="286"/>
        <item m="1" x="137"/>
        <item m="1" x="292"/>
        <item m="1" x="144"/>
        <item m="1" x="297"/>
        <item m="1" x="150"/>
        <item m="1" x="302"/>
        <item m="1" x="155"/>
        <item m="1" x="308"/>
        <item m="1" x="233"/>
        <item m="1" x="87"/>
        <item m="1" x="241"/>
        <item m="1" x="94"/>
        <item m="1" x="246"/>
        <item m="1" x="100"/>
        <item m="1" x="252"/>
        <item m="1" x="106"/>
        <item m="1" x="111"/>
        <item m="1" x="264"/>
        <item m="1" x="116"/>
        <item m="1" x="271"/>
        <item m="1" x="121"/>
        <item m="1" x="287"/>
        <item m="1" x="138"/>
        <item m="1" x="293"/>
        <item m="1" x="145"/>
        <item m="1" x="298"/>
        <item m="1" x="151"/>
        <item m="1" x="303"/>
        <item m="1" x="156"/>
        <item m="1" x="101"/>
        <item m="1" x="258"/>
        <item m="1" x="266"/>
        <item m="1" x="272"/>
        <item m="1" x="123"/>
        <item m="1" x="277"/>
        <item m="1" x="128"/>
        <item m="1" x="282"/>
        <item m="1" x="134"/>
        <item m="1" x="295"/>
        <item m="1" x="140"/>
        <item m="1" x="1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 defaultSubtotal="0"/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 defaultSubtotal="0">
      <items count="2">
        <item x="0"/>
        <item x="1"/>
      </items>
    </pivotField>
    <pivotField compact="0" outline="0" showAl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/>
    <pivotField compact="0" outline="0" showAll="0"/>
    <pivotField axis="axisPage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</pivotFields>
  <rowFields count="3">
    <field x="12"/>
    <field x="11"/>
    <field x="15"/>
  </rowFields>
  <rowItems count="229">
    <i>
      <x v="3"/>
      <x v="150"/>
      <x v="47"/>
    </i>
    <i r="2">
      <x v="32"/>
    </i>
    <i r="2">
      <x v="53"/>
    </i>
    <i t="default" r="1">
      <x v="150"/>
    </i>
    <i r="1">
      <x v="416"/>
      <x v="47"/>
    </i>
    <i r="2">
      <x v="53"/>
    </i>
    <i r="2">
      <x v="32"/>
    </i>
    <i t="default" r="1">
      <x v="416"/>
    </i>
    <i r="1">
      <x v="54"/>
      <x v="32"/>
    </i>
    <i r="2">
      <x v="47"/>
    </i>
    <i t="default" r="1">
      <x v="54"/>
    </i>
    <i r="1">
      <x v="79"/>
      <x v="47"/>
    </i>
    <i t="default" r="1">
      <x v="79"/>
    </i>
    <i r="1">
      <x v="191"/>
      <x v="53"/>
    </i>
    <i t="default" r="1">
      <x v="191"/>
    </i>
    <i r="1">
      <x v="11"/>
      <x v="5"/>
    </i>
    <i t="default" r="1">
      <x v="11"/>
    </i>
    <i r="1">
      <x v="182"/>
      <x v="5"/>
    </i>
    <i t="default" r="1">
      <x v="182"/>
    </i>
    <i r="1">
      <x v="328"/>
      <x v="32"/>
    </i>
    <i t="default" r="1">
      <x v="328"/>
    </i>
    <i r="1">
      <x v="351"/>
      <x v="53"/>
    </i>
    <i r="2">
      <x v="32"/>
    </i>
    <i t="default" r="1">
      <x v="351"/>
    </i>
    <i t="default">
      <x v="3"/>
    </i>
    <i>
      <x v="35"/>
      <x v="412"/>
      <x v="55"/>
    </i>
    <i t="default" r="1">
      <x v="412"/>
    </i>
    <i r="1">
      <x v="371"/>
      <x v="44"/>
    </i>
    <i t="default" r="1">
      <x v="371"/>
    </i>
    <i r="1">
      <x v="301"/>
      <x v="55"/>
    </i>
    <i r="2">
      <x v="41"/>
    </i>
    <i t="default" r="1">
      <x v="301"/>
    </i>
    <i r="1">
      <x v="195"/>
      <x v="55"/>
    </i>
    <i r="2">
      <x v="41"/>
    </i>
    <i t="default" r="1">
      <x v="195"/>
    </i>
    <i r="1">
      <x v="243"/>
      <x v="56"/>
    </i>
    <i r="2">
      <x v="55"/>
    </i>
    <i t="default" r="1">
      <x v="243"/>
    </i>
    <i r="1">
      <x v="141"/>
      <x v="41"/>
    </i>
    <i t="default" r="1">
      <x v="141"/>
    </i>
    <i r="1">
      <x v="336"/>
      <x v="55"/>
    </i>
    <i t="default" r="1">
      <x v="336"/>
    </i>
    <i r="1">
      <x v="313"/>
      <x v="55"/>
    </i>
    <i r="2">
      <x v="41"/>
    </i>
    <i t="default" r="1">
      <x v="313"/>
    </i>
    <i r="1">
      <x v="108"/>
      <x v="55"/>
    </i>
    <i r="2">
      <x v="41"/>
    </i>
    <i t="default" r="1">
      <x v="108"/>
    </i>
    <i r="1">
      <x v="258"/>
      <x v="55"/>
    </i>
    <i t="default" r="1">
      <x v="258"/>
    </i>
    <i t="default">
      <x v="35"/>
    </i>
    <i>
      <x v="14"/>
      <x v="120"/>
      <x v="47"/>
    </i>
    <i r="2">
      <x v="5"/>
    </i>
    <i t="default" r="1">
      <x v="120"/>
    </i>
    <i t="default">
      <x v="14"/>
    </i>
    <i>
      <x v="1"/>
      <x v="402"/>
      <x v="56"/>
    </i>
    <i r="2">
      <x v="55"/>
    </i>
    <i t="default" r="1">
      <x v="402"/>
    </i>
    <i r="1">
      <x v="172"/>
      <x v="56"/>
    </i>
    <i r="2">
      <x v="44"/>
    </i>
    <i r="2">
      <x v="55"/>
    </i>
    <i t="default" r="1">
      <x v="172"/>
    </i>
    <i r="1">
      <x v="114"/>
      <x v="56"/>
    </i>
    <i r="2">
      <x v="55"/>
    </i>
    <i t="default" r="1">
      <x v="114"/>
    </i>
    <i r="1">
      <x v="415"/>
      <x v="56"/>
    </i>
    <i t="default" r="1">
      <x v="415"/>
    </i>
    <i r="1">
      <x v="409"/>
      <x v="41"/>
    </i>
    <i r="2">
      <x v="56"/>
    </i>
    <i t="default" r="1">
      <x v="409"/>
    </i>
    <i r="1">
      <x v="4"/>
      <x v="56"/>
    </i>
    <i r="2">
      <x v="41"/>
    </i>
    <i t="default" r="1">
      <x v="4"/>
    </i>
    <i r="1">
      <x v="152"/>
      <x v="56"/>
    </i>
    <i r="2">
      <x v="55"/>
    </i>
    <i t="default" r="1">
      <x v="152"/>
    </i>
    <i t="default">
      <x v="1"/>
    </i>
    <i>
      <x v="11"/>
      <x v="244"/>
      <x v="53"/>
    </i>
    <i r="2">
      <x v="56"/>
    </i>
    <i t="default" r="1">
      <x v="244"/>
    </i>
    <i r="1">
      <x v="315"/>
      <x v="32"/>
    </i>
    <i t="default" r="1">
      <x v="315"/>
    </i>
    <i r="1">
      <x v="349"/>
      <x v="5"/>
    </i>
    <i t="default" r="1">
      <x v="349"/>
    </i>
    <i r="1">
      <x v="347"/>
      <x v="47"/>
    </i>
    <i r="2">
      <x v="32"/>
    </i>
    <i t="default" r="1">
      <x v="347"/>
    </i>
    <i r="1">
      <x v="96"/>
      <x v="53"/>
    </i>
    <i r="2">
      <x v="5"/>
    </i>
    <i t="default" r="1">
      <x v="96"/>
    </i>
    <i r="1">
      <x v="387"/>
      <x v="5"/>
    </i>
    <i t="default" r="1">
      <x v="387"/>
    </i>
    <i r="1">
      <x v="167"/>
      <x v="5"/>
    </i>
    <i t="default" r="1">
      <x v="167"/>
    </i>
    <i r="1">
      <x v="187"/>
      <x v="5"/>
    </i>
    <i t="default" r="1">
      <x v="187"/>
    </i>
    <i r="1">
      <x v="209"/>
      <x v="32"/>
    </i>
    <i t="default" r="1">
      <x v="209"/>
    </i>
    <i r="1">
      <x v="382"/>
      <x v="5"/>
    </i>
    <i t="default" r="1">
      <x v="382"/>
    </i>
    <i r="1">
      <x v="231"/>
      <x v="5"/>
    </i>
    <i t="default" r="1">
      <x v="231"/>
    </i>
    <i r="1">
      <x v="397"/>
      <x v="53"/>
    </i>
    <i t="default" r="1">
      <x v="397"/>
    </i>
    <i r="1">
      <x v="51"/>
      <x v="53"/>
    </i>
    <i t="default" r="1">
      <x v="51"/>
    </i>
    <i r="1">
      <x v="248"/>
      <x v="5"/>
    </i>
    <i t="default" r="1">
      <x v="248"/>
    </i>
    <i t="default">
      <x v="11"/>
    </i>
    <i>
      <x v="28"/>
      <x v="229"/>
      <x v="5"/>
    </i>
    <i r="2">
      <x v="56"/>
    </i>
    <i r="2">
      <x v="44"/>
    </i>
    <i t="default" r="1">
      <x v="229"/>
    </i>
    <i t="default">
      <x v="28"/>
    </i>
    <i>
      <x v="33"/>
      <x v="241"/>
      <x v="44"/>
    </i>
    <i r="2">
      <x v="5"/>
    </i>
    <i t="default" r="1">
      <x v="241"/>
    </i>
    <i t="default">
      <x v="33"/>
    </i>
    <i>
      <x v="29"/>
      <x v="201"/>
      <x v="50"/>
    </i>
    <i t="default" r="1">
      <x v="201"/>
    </i>
    <i r="1">
      <x v="417"/>
      <x v="44"/>
    </i>
    <i t="default" r="1">
      <x v="417"/>
    </i>
    <i r="1">
      <x v="188"/>
      <x v="50"/>
    </i>
    <i t="default" r="1">
      <x v="188"/>
    </i>
    <i r="1">
      <x v="166"/>
      <x v="50"/>
    </i>
    <i t="default" r="1">
      <x v="166"/>
    </i>
    <i t="default">
      <x v="29"/>
    </i>
    <i>
      <x v="20"/>
      <x v="44"/>
      <x v="41"/>
    </i>
    <i r="2">
      <x v="55"/>
    </i>
    <i t="default" r="1">
      <x v="44"/>
    </i>
    <i r="1">
      <x v="168"/>
      <x v="55"/>
    </i>
    <i t="default" r="1">
      <x v="168"/>
    </i>
    <i r="1">
      <x v="185"/>
      <x v="55"/>
    </i>
    <i r="2">
      <x v="56"/>
    </i>
    <i t="default" r="1">
      <x v="185"/>
    </i>
    <i r="1">
      <x v="55"/>
      <x v="56"/>
    </i>
    <i t="default" r="1">
      <x v="55"/>
    </i>
    <i r="1">
      <x v="164"/>
      <x v="56"/>
    </i>
    <i t="default" r="1">
      <x v="164"/>
    </i>
    <i t="default">
      <x v="20"/>
    </i>
    <i>
      <x/>
      <x v="6"/>
      <x v="44"/>
    </i>
    <i t="default" r="1">
      <x v="6"/>
    </i>
    <i t="default">
      <x/>
    </i>
    <i>
      <x v="42"/>
      <x v="153"/>
      <x v="55"/>
    </i>
    <i t="default" r="1">
      <x v="153"/>
    </i>
    <i r="1">
      <x v="364"/>
      <x v="44"/>
    </i>
    <i r="2">
      <x v="32"/>
    </i>
    <i t="default" r="1">
      <x v="364"/>
    </i>
    <i r="1">
      <x v="298"/>
      <x v="10"/>
    </i>
    <i t="default" r="1">
      <x v="298"/>
    </i>
    <i t="default">
      <x v="42"/>
    </i>
    <i>
      <x v="25"/>
      <x v="411"/>
      <x v="41"/>
    </i>
    <i t="default" r="1">
      <x v="411"/>
    </i>
    <i r="1">
      <x v="134"/>
      <x v="41"/>
    </i>
    <i t="default" r="1">
      <x v="134"/>
    </i>
    <i r="1">
      <x v="326"/>
      <x v="41"/>
    </i>
    <i t="default" r="1">
      <x v="326"/>
    </i>
    <i t="default">
      <x v="25"/>
    </i>
    <i>
      <x v="37"/>
      <x v="252"/>
      <x v="10"/>
    </i>
    <i t="default" r="1">
      <x v="252"/>
    </i>
    <i r="1">
      <x v="101"/>
      <x v="10"/>
    </i>
    <i t="default" r="1">
      <x v="101"/>
    </i>
    <i r="1">
      <x v="331"/>
      <x v="10"/>
    </i>
    <i t="default" r="1">
      <x v="331"/>
    </i>
    <i r="1">
      <x v="125"/>
      <x v="10"/>
    </i>
    <i t="default" r="1">
      <x v="125"/>
    </i>
    <i r="1">
      <x v="225"/>
      <x v="10"/>
    </i>
    <i t="default" r="1">
      <x v="225"/>
    </i>
    <i t="default">
      <x v="37"/>
    </i>
    <i>
      <x v="2"/>
      <x v="83"/>
      <x v="47"/>
    </i>
    <i r="2">
      <x v="56"/>
    </i>
    <i t="default" r="1">
      <x v="83"/>
    </i>
    <i r="1">
      <x v="198"/>
      <x v="47"/>
    </i>
    <i t="default" r="1">
      <x v="198"/>
    </i>
    <i t="default">
      <x v="2"/>
    </i>
    <i>
      <x v="41"/>
      <x v="170"/>
      <x v="55"/>
    </i>
    <i t="default" r="1">
      <x v="170"/>
    </i>
    <i r="1">
      <x v="404"/>
      <x v="44"/>
    </i>
    <i t="default" r="1">
      <x v="404"/>
    </i>
    <i r="1">
      <x v="74"/>
      <x v="55"/>
    </i>
    <i t="default" r="1">
      <x v="74"/>
    </i>
    <i r="1">
      <x v="118"/>
      <x v="5"/>
    </i>
    <i t="default" r="1">
      <x v="118"/>
    </i>
    <i t="default">
      <x v="41"/>
    </i>
    <i>
      <x v="27"/>
      <x v="190"/>
      <x v="5"/>
    </i>
    <i r="2">
      <x v="53"/>
    </i>
    <i r="2">
      <x v="47"/>
    </i>
    <i t="default" r="1">
      <x v="190"/>
    </i>
    <i t="default">
      <x v="27"/>
    </i>
    <i>
      <x v="18"/>
      <x v="194"/>
      <x v="41"/>
    </i>
    <i t="default" r="1">
      <x v="194"/>
    </i>
    <i r="1">
      <x v="183"/>
      <x v="44"/>
    </i>
    <i r="2">
      <x v="10"/>
    </i>
    <i t="default" r="1">
      <x v="183"/>
    </i>
    <i r="1">
      <x v="29"/>
      <x v="10"/>
    </i>
    <i r="2">
      <x v="41"/>
    </i>
    <i r="2">
      <x v="56"/>
    </i>
    <i t="default" r="1">
      <x v="29"/>
    </i>
    <i r="1">
      <x v="126"/>
      <x v="55"/>
    </i>
    <i t="default" r="1">
      <x v="126"/>
    </i>
    <i t="default">
      <x v="18"/>
    </i>
    <i>
      <x v="43"/>
      <x v="232"/>
      <x v="5"/>
    </i>
    <i t="default" r="1">
      <x v="232"/>
    </i>
    <i t="default">
      <x v="43"/>
    </i>
    <i>
      <x v="31"/>
      <x v="72"/>
      <x v="5"/>
    </i>
    <i t="default" r="1">
      <x v="72"/>
    </i>
    <i t="default">
      <x v="31"/>
    </i>
    <i>
      <x v="38"/>
      <x v="209"/>
      <x v="5"/>
    </i>
    <i t="default" r="1">
      <x v="209"/>
    </i>
    <i t="default">
      <x v="38"/>
    </i>
    <i>
      <x v="13"/>
      <x v="321"/>
      <x v="50"/>
    </i>
    <i r="2">
      <x v="44"/>
    </i>
    <i t="default" r="1">
      <x v="321"/>
    </i>
    <i t="default">
      <x v="13"/>
    </i>
    <i>
      <x v="21"/>
      <x v="194"/>
      <x v="10"/>
    </i>
    <i t="default" r="1">
      <x v="194"/>
    </i>
    <i t="default">
      <x v="21"/>
    </i>
    <i>
      <x v="7"/>
      <x v="317"/>
      <x v="44"/>
    </i>
    <i t="default" r="1">
      <x v="317"/>
    </i>
    <i r="1">
      <x v="41"/>
      <x v="10"/>
    </i>
    <i t="default" r="1">
      <x v="41"/>
    </i>
    <i t="default">
      <x v="7"/>
    </i>
    <i>
      <x v="32"/>
      <x v="418"/>
      <x v="10"/>
    </i>
    <i t="default" r="1">
      <x v="418"/>
    </i>
    <i t="default">
      <x v="32"/>
    </i>
    <i>
      <x v="4"/>
      <x v="236"/>
      <x v="5"/>
    </i>
    <i t="default" r="1">
      <x v="236"/>
    </i>
    <i t="default">
      <x v="4"/>
    </i>
    <i t="grand">
      <x/>
    </i>
  </rowItems>
  <colFields count="1">
    <field x="39"/>
  </colFields>
  <colItems count="3">
    <i>
      <x/>
    </i>
    <i>
      <x v="1"/>
    </i>
    <i t="grand">
      <x/>
    </i>
  </colItems>
  <pageFields count="2">
    <pageField fld="51" item="0" hier="-1"/>
    <pageField fld="36" hier="-1"/>
  </pageFields>
  <dataFields count="1">
    <dataField name=" " fld="10" subtotal="count" baseField="0" baseItem="0"/>
  </dataFields>
  <formats count="168">
    <format dxfId="148">
      <pivotArea type="all" dataOnly="0" outline="0" fieldPosition="0"/>
    </format>
    <format dxfId="149">
      <pivotArea outline="0" collapsedLevelsAreSubtotals="1" fieldPosition="0"/>
    </format>
    <format dxfId="150">
      <pivotArea field="9" type="button" dataOnly="0" labelOnly="1" outline="0"/>
    </format>
    <format dxfId="151">
      <pivotArea dataOnly="0" labelOnly="1" grandRow="1" outline="0" fieldPosition="0"/>
    </format>
    <format dxfId="152">
      <pivotArea type="all" dataOnly="0" outline="0" fieldPosition="0"/>
    </format>
    <format dxfId="153">
      <pivotArea outline="0" collapsedLevelsAreSubtotals="1" fieldPosition="0"/>
    </format>
    <format dxfId="154">
      <pivotArea field="9" type="button" dataOnly="0" labelOnly="1" outline="0"/>
    </format>
    <format dxfId="155">
      <pivotArea dataOnly="0" labelOnly="1" grandRow="1" outline="0" fieldPosition="0"/>
    </format>
    <format dxfId="156">
      <pivotArea outline="0" collapsedLevelsAreSubtotals="1" fieldPosition="0">
        <references count="2">
          <reference field="11" count="1" selected="0" defaultSubtotal="1">
            <x v="416"/>
          </reference>
          <reference field="12" count="1" selected="0">
            <x v="3"/>
          </reference>
        </references>
      </pivotArea>
    </format>
    <format dxfId="157">
      <pivotArea dataOnly="0" labelOnly="1" outline="0" fieldPosition="0">
        <references count="2">
          <reference field="11" count="1" defaultSubtotal="1">
            <x v="416"/>
          </reference>
          <reference field="12" count="1" selected="0">
            <x v="3"/>
          </reference>
        </references>
      </pivotArea>
    </format>
    <format dxfId="158">
      <pivotArea outline="0" collapsedLevelsAreSubtotals="1" fieldPosition="0">
        <references count="2">
          <reference field="11" count="1" selected="0" defaultSubtotal="1">
            <x v="54"/>
          </reference>
          <reference field="12" count="1" selected="0">
            <x v="3"/>
          </reference>
        </references>
      </pivotArea>
    </format>
    <format dxfId="159">
      <pivotArea dataOnly="0" labelOnly="1" outline="0" fieldPosition="0">
        <references count="2">
          <reference field="11" count="1" defaultSubtotal="1">
            <x v="54"/>
          </reference>
          <reference field="12" count="1" selected="0">
            <x v="3"/>
          </reference>
        </references>
      </pivotArea>
    </format>
    <format dxfId="160">
      <pivotArea outline="0" collapsedLevelsAreSubtotals="1" fieldPosition="0">
        <references count="2">
          <reference field="11" count="1" selected="0" defaultSubtotal="1">
            <x v="79"/>
          </reference>
          <reference field="12" count="1" selected="0">
            <x v="3"/>
          </reference>
        </references>
      </pivotArea>
    </format>
    <format dxfId="161">
      <pivotArea dataOnly="0" labelOnly="1" outline="0" fieldPosition="0">
        <references count="2">
          <reference field="11" count="1" defaultSubtotal="1">
            <x v="79"/>
          </reference>
          <reference field="12" count="1" selected="0">
            <x v="3"/>
          </reference>
        </references>
      </pivotArea>
    </format>
    <format dxfId="162">
      <pivotArea outline="0" collapsedLevelsAreSubtotals="1" fieldPosition="0">
        <references count="2">
          <reference field="11" count="1" selected="0" defaultSubtotal="1">
            <x v="191"/>
          </reference>
          <reference field="12" count="1" selected="0">
            <x v="3"/>
          </reference>
        </references>
      </pivotArea>
    </format>
    <format dxfId="163">
      <pivotArea dataOnly="0" labelOnly="1" outline="0" fieldPosition="0">
        <references count="2">
          <reference field="11" count="1" defaultSubtotal="1">
            <x v="191"/>
          </reference>
          <reference field="12" count="1" selected="0">
            <x v="3"/>
          </reference>
        </references>
      </pivotArea>
    </format>
    <format dxfId="164">
      <pivotArea outline="0" collapsedLevelsAreSubtotals="1" fieldPosition="0">
        <references count="2">
          <reference field="11" count="1" selected="0" defaultSubtotal="1">
            <x v="11"/>
          </reference>
          <reference field="12" count="1" selected="0">
            <x v="3"/>
          </reference>
        </references>
      </pivotArea>
    </format>
    <format dxfId="165">
      <pivotArea dataOnly="0" labelOnly="1" outline="0" fieldPosition="0">
        <references count="2">
          <reference field="11" count="1" defaultSubtotal="1">
            <x v="11"/>
          </reference>
          <reference field="12" count="1" selected="0">
            <x v="3"/>
          </reference>
        </references>
      </pivotArea>
    </format>
    <format dxfId="166">
      <pivotArea outline="0" collapsedLevelsAreSubtotals="1" fieldPosition="0">
        <references count="2">
          <reference field="11" count="1" selected="0" defaultSubtotal="1">
            <x v="182"/>
          </reference>
          <reference field="12" count="1" selected="0">
            <x v="3"/>
          </reference>
        </references>
      </pivotArea>
    </format>
    <format dxfId="167">
      <pivotArea dataOnly="0" labelOnly="1" outline="0" fieldPosition="0">
        <references count="2">
          <reference field="11" count="1" defaultSubtotal="1">
            <x v="182"/>
          </reference>
          <reference field="12" count="1" selected="0">
            <x v="3"/>
          </reference>
        </references>
      </pivotArea>
    </format>
    <format dxfId="168">
      <pivotArea dataOnly="0" outline="0" fieldPosition="0">
        <references count="2">
          <reference field="11" count="0" defaultSubtotal="1"/>
          <reference field="51" count="1" selected="0">
            <x v="0"/>
          </reference>
        </references>
      </pivotArea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type="origin" dataOnly="0" labelOnly="1" outline="0" fieldPosition="0"/>
    </format>
    <format dxfId="144">
      <pivotArea field="39" type="button" dataOnly="0" labelOnly="1" outline="0" axis="axisCol" fieldPosition="0"/>
    </format>
    <format dxfId="143">
      <pivotArea type="topRight" dataOnly="0" labelOnly="1" outline="0" fieldPosition="0"/>
    </format>
    <format dxfId="142">
      <pivotArea field="12" type="button" dataOnly="0" labelOnly="1" outline="0" axis="axisRow" fieldPosition="0"/>
    </format>
    <format dxfId="141">
      <pivotArea field="11" type="button" dataOnly="0" labelOnly="1" outline="0" axis="axisRow" fieldPosition="1"/>
    </format>
    <format dxfId="140">
      <pivotArea field="15" type="button" dataOnly="0" labelOnly="1" outline="0" axis="axisRow" fieldPosition="2"/>
    </format>
    <format dxfId="139">
      <pivotArea dataOnly="0" labelOnly="1" outline="0" fieldPosition="0">
        <references count="1">
          <reference field="12" count="0"/>
        </references>
      </pivotArea>
    </format>
    <format dxfId="138">
      <pivotArea dataOnly="0" labelOnly="1" outline="0" fieldPosition="0">
        <references count="1">
          <reference field="12" count="0" defaultSubtotal="1"/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2">
          <reference field="11" count="9">
            <x v="11"/>
            <x v="54"/>
            <x v="79"/>
            <x v="150"/>
            <x v="182"/>
            <x v="191"/>
            <x v="328"/>
            <x v="351"/>
            <x v="416"/>
          </reference>
          <reference field="12" count="1" selected="0">
            <x v="3"/>
          </reference>
        </references>
      </pivotArea>
    </format>
    <format dxfId="135">
      <pivotArea dataOnly="0" labelOnly="1" outline="0" fieldPosition="0">
        <references count="2">
          <reference field="11" count="9" defaultSubtotal="1">
            <x v="11"/>
            <x v="54"/>
            <x v="79"/>
            <x v="150"/>
            <x v="182"/>
            <x v="191"/>
            <x v="328"/>
            <x v="351"/>
            <x v="416"/>
          </reference>
          <reference field="12" count="1" selected="0">
            <x v="3"/>
          </reference>
        </references>
      </pivotArea>
    </format>
    <format dxfId="134">
      <pivotArea dataOnly="0" labelOnly="1" outline="0" fieldPosition="0">
        <references count="2">
          <reference field="11" count="10">
            <x v="108"/>
            <x v="141"/>
            <x v="195"/>
            <x v="243"/>
            <x v="258"/>
            <x v="301"/>
            <x v="313"/>
            <x v="336"/>
            <x v="371"/>
            <x v="412"/>
          </reference>
          <reference field="12" count="1" selected="0">
            <x v="35"/>
          </reference>
        </references>
      </pivotArea>
    </format>
    <format dxfId="133">
      <pivotArea dataOnly="0" labelOnly="1" outline="0" fieldPosition="0">
        <references count="2">
          <reference field="11" count="10" defaultSubtotal="1">
            <x v="108"/>
            <x v="141"/>
            <x v="195"/>
            <x v="243"/>
            <x v="258"/>
            <x v="301"/>
            <x v="313"/>
            <x v="336"/>
            <x v="371"/>
            <x v="412"/>
          </reference>
          <reference field="12" count="1" selected="0">
            <x v="35"/>
          </reference>
        </references>
      </pivotArea>
    </format>
    <format dxfId="132">
      <pivotArea dataOnly="0" labelOnly="1" outline="0" fieldPosition="0">
        <references count="2">
          <reference field="11" count="1">
            <x v="120"/>
          </reference>
          <reference field="12" count="1" selected="0">
            <x v="14"/>
          </reference>
        </references>
      </pivotArea>
    </format>
    <format dxfId="131">
      <pivotArea dataOnly="0" labelOnly="1" outline="0" fieldPosition="0">
        <references count="2">
          <reference field="11" count="1" defaultSubtotal="1">
            <x v="120"/>
          </reference>
          <reference field="12" count="1" selected="0">
            <x v="14"/>
          </reference>
        </references>
      </pivotArea>
    </format>
    <format dxfId="130">
      <pivotArea dataOnly="0" labelOnly="1" outline="0" fieldPosition="0">
        <references count="2">
          <reference field="11" count="7">
            <x v="4"/>
            <x v="114"/>
            <x v="152"/>
            <x v="172"/>
            <x v="402"/>
            <x v="409"/>
            <x v="415"/>
          </reference>
          <reference field="12" count="1" selected="0">
            <x v="1"/>
          </reference>
        </references>
      </pivotArea>
    </format>
    <format dxfId="129">
      <pivotArea dataOnly="0" labelOnly="1" outline="0" fieldPosition="0">
        <references count="2">
          <reference field="11" count="7" defaultSubtotal="1">
            <x v="4"/>
            <x v="114"/>
            <x v="152"/>
            <x v="172"/>
            <x v="402"/>
            <x v="409"/>
            <x v="415"/>
          </reference>
          <reference field="12" count="1" selected="0">
            <x v="1"/>
          </reference>
        </references>
      </pivotArea>
    </format>
    <format dxfId="128">
      <pivotArea dataOnly="0" labelOnly="1" outline="0" fieldPosition="0">
        <references count="2">
          <reference field="11" count="14">
            <x v="51"/>
            <x v="96"/>
            <x v="167"/>
            <x v="187"/>
            <x v="209"/>
            <x v="231"/>
            <x v="244"/>
            <x v="248"/>
            <x v="315"/>
            <x v="347"/>
            <x v="349"/>
            <x v="382"/>
            <x v="387"/>
            <x v="397"/>
          </reference>
          <reference field="12" count="1" selected="0">
            <x v="11"/>
          </reference>
        </references>
      </pivotArea>
    </format>
    <format dxfId="127">
      <pivotArea dataOnly="0" labelOnly="1" outline="0" fieldPosition="0">
        <references count="2">
          <reference field="11" count="14" defaultSubtotal="1">
            <x v="51"/>
            <x v="96"/>
            <x v="167"/>
            <x v="187"/>
            <x v="209"/>
            <x v="231"/>
            <x v="244"/>
            <x v="248"/>
            <x v="315"/>
            <x v="347"/>
            <x v="349"/>
            <x v="382"/>
            <x v="387"/>
            <x v="397"/>
          </reference>
          <reference field="12" count="1" selected="0">
            <x v="11"/>
          </reference>
        </references>
      </pivotArea>
    </format>
    <format dxfId="126">
      <pivotArea dataOnly="0" labelOnly="1" outline="0" fieldPosition="0">
        <references count="2">
          <reference field="11" count="1">
            <x v="229"/>
          </reference>
          <reference field="12" count="1" selected="0">
            <x v="28"/>
          </reference>
        </references>
      </pivotArea>
    </format>
    <format dxfId="125">
      <pivotArea dataOnly="0" labelOnly="1" outline="0" fieldPosition="0">
        <references count="2">
          <reference field="11" count="1" defaultSubtotal="1">
            <x v="229"/>
          </reference>
          <reference field="12" count="1" selected="0">
            <x v="28"/>
          </reference>
        </references>
      </pivotArea>
    </format>
    <format dxfId="124">
      <pivotArea dataOnly="0" labelOnly="1" outline="0" fieldPosition="0">
        <references count="2">
          <reference field="11" count="1">
            <x v="241"/>
          </reference>
          <reference field="12" count="1" selected="0">
            <x v="33"/>
          </reference>
        </references>
      </pivotArea>
    </format>
    <format dxfId="123">
      <pivotArea dataOnly="0" labelOnly="1" outline="0" fieldPosition="0">
        <references count="2">
          <reference field="11" count="1" defaultSubtotal="1">
            <x v="241"/>
          </reference>
          <reference field="12" count="1" selected="0">
            <x v="33"/>
          </reference>
        </references>
      </pivotArea>
    </format>
    <format dxfId="122">
      <pivotArea dataOnly="0" labelOnly="1" outline="0" fieldPosition="0">
        <references count="2">
          <reference field="11" count="4">
            <x v="166"/>
            <x v="188"/>
            <x v="201"/>
            <x v="417"/>
          </reference>
          <reference field="12" count="1" selected="0">
            <x v="29"/>
          </reference>
        </references>
      </pivotArea>
    </format>
    <format dxfId="121">
      <pivotArea dataOnly="0" labelOnly="1" outline="0" fieldPosition="0">
        <references count="2">
          <reference field="11" count="4" defaultSubtotal="1">
            <x v="166"/>
            <x v="188"/>
            <x v="201"/>
            <x v="417"/>
          </reference>
          <reference field="12" count="1" selected="0">
            <x v="29"/>
          </reference>
        </references>
      </pivotArea>
    </format>
    <format dxfId="120">
      <pivotArea dataOnly="0" labelOnly="1" outline="0" fieldPosition="0">
        <references count="2">
          <reference field="11" count="5">
            <x v="44"/>
            <x v="55"/>
            <x v="164"/>
            <x v="168"/>
            <x v="185"/>
          </reference>
          <reference field="12" count="1" selected="0">
            <x v="20"/>
          </reference>
        </references>
      </pivotArea>
    </format>
    <format dxfId="119">
      <pivotArea dataOnly="0" labelOnly="1" outline="0" fieldPosition="0">
        <references count="2">
          <reference field="11" count="5" defaultSubtotal="1">
            <x v="44"/>
            <x v="55"/>
            <x v="164"/>
            <x v="168"/>
            <x v="185"/>
          </reference>
          <reference field="12" count="1" selected="0">
            <x v="20"/>
          </reference>
        </references>
      </pivotArea>
    </format>
    <format dxfId="118">
      <pivotArea dataOnly="0" labelOnly="1" outline="0" fieldPosition="0">
        <references count="2">
          <reference field="11" count="1">
            <x v="6"/>
          </reference>
          <reference field="12" count="1" selected="0">
            <x v="0"/>
          </reference>
        </references>
      </pivotArea>
    </format>
    <format dxfId="117">
      <pivotArea dataOnly="0" labelOnly="1" outline="0" fieldPosition="0">
        <references count="2">
          <reference field="11" count="1" defaultSubtotal="1">
            <x v="6"/>
          </reference>
          <reference field="12" count="1" selected="0">
            <x v="0"/>
          </reference>
        </references>
      </pivotArea>
    </format>
    <format dxfId="116">
      <pivotArea dataOnly="0" labelOnly="1" outline="0" fieldPosition="0">
        <references count="2">
          <reference field="11" count="3">
            <x v="153"/>
            <x v="298"/>
            <x v="364"/>
          </reference>
          <reference field="12" count="1" selected="0">
            <x v="42"/>
          </reference>
        </references>
      </pivotArea>
    </format>
    <format dxfId="115">
      <pivotArea dataOnly="0" labelOnly="1" outline="0" fieldPosition="0">
        <references count="2">
          <reference field="11" count="3" defaultSubtotal="1">
            <x v="153"/>
            <x v="298"/>
            <x v="364"/>
          </reference>
          <reference field="12" count="1" selected="0">
            <x v="42"/>
          </reference>
        </references>
      </pivotArea>
    </format>
    <format dxfId="114">
      <pivotArea dataOnly="0" labelOnly="1" outline="0" fieldPosition="0">
        <references count="2">
          <reference field="11" count="3">
            <x v="134"/>
            <x v="326"/>
            <x v="411"/>
          </reference>
          <reference field="12" count="1" selected="0">
            <x v="25"/>
          </reference>
        </references>
      </pivotArea>
    </format>
    <format dxfId="113">
      <pivotArea dataOnly="0" labelOnly="1" outline="0" fieldPosition="0">
        <references count="2">
          <reference field="11" count="3" defaultSubtotal="1">
            <x v="134"/>
            <x v="326"/>
            <x v="411"/>
          </reference>
          <reference field="12" count="1" selected="0">
            <x v="25"/>
          </reference>
        </references>
      </pivotArea>
    </format>
    <format dxfId="112">
      <pivotArea dataOnly="0" labelOnly="1" outline="0" fieldPosition="0">
        <references count="2">
          <reference field="11" count="5">
            <x v="101"/>
            <x v="125"/>
            <x v="225"/>
            <x v="252"/>
            <x v="331"/>
          </reference>
          <reference field="12" count="1" selected="0">
            <x v="37"/>
          </reference>
        </references>
      </pivotArea>
    </format>
    <format dxfId="111">
      <pivotArea dataOnly="0" labelOnly="1" outline="0" fieldPosition="0">
        <references count="2">
          <reference field="11" count="5" defaultSubtotal="1">
            <x v="101"/>
            <x v="125"/>
            <x v="225"/>
            <x v="252"/>
            <x v="331"/>
          </reference>
          <reference field="12" count="1" selected="0">
            <x v="37"/>
          </reference>
        </references>
      </pivotArea>
    </format>
    <format dxfId="110">
      <pivotArea dataOnly="0" labelOnly="1" outline="0" fieldPosition="0">
        <references count="2">
          <reference field="11" count="2">
            <x v="83"/>
            <x v="198"/>
          </reference>
          <reference field="12" count="1" selected="0">
            <x v="2"/>
          </reference>
        </references>
      </pivotArea>
    </format>
    <format dxfId="109">
      <pivotArea dataOnly="0" labelOnly="1" outline="0" fieldPosition="0">
        <references count="2">
          <reference field="11" count="2" defaultSubtotal="1">
            <x v="83"/>
            <x v="198"/>
          </reference>
          <reference field="12" count="1" selected="0">
            <x v="2"/>
          </reference>
        </references>
      </pivotArea>
    </format>
    <format dxfId="108">
      <pivotArea dataOnly="0" labelOnly="1" outline="0" fieldPosition="0">
        <references count="2">
          <reference field="11" count="4">
            <x v="74"/>
            <x v="118"/>
            <x v="170"/>
            <x v="404"/>
          </reference>
          <reference field="12" count="1" selected="0">
            <x v="41"/>
          </reference>
        </references>
      </pivotArea>
    </format>
    <format dxfId="107">
      <pivotArea dataOnly="0" labelOnly="1" outline="0" fieldPosition="0">
        <references count="2">
          <reference field="11" count="4" defaultSubtotal="1">
            <x v="74"/>
            <x v="118"/>
            <x v="170"/>
            <x v="404"/>
          </reference>
          <reference field="12" count="1" selected="0">
            <x v="41"/>
          </reference>
        </references>
      </pivotArea>
    </format>
    <format dxfId="106">
      <pivotArea dataOnly="0" labelOnly="1" outline="0" fieldPosition="0">
        <references count="2">
          <reference field="11" count="1">
            <x v="190"/>
          </reference>
          <reference field="12" count="1" selected="0">
            <x v="27"/>
          </reference>
        </references>
      </pivotArea>
    </format>
    <format dxfId="105">
      <pivotArea dataOnly="0" labelOnly="1" outline="0" fieldPosition="0">
        <references count="2">
          <reference field="11" count="1" defaultSubtotal="1">
            <x v="190"/>
          </reference>
          <reference field="12" count="1" selected="0">
            <x v="27"/>
          </reference>
        </references>
      </pivotArea>
    </format>
    <format dxfId="104">
      <pivotArea dataOnly="0" labelOnly="1" outline="0" fieldPosition="0">
        <references count="2">
          <reference field="11" count="4">
            <x v="29"/>
            <x v="126"/>
            <x v="183"/>
            <x v="194"/>
          </reference>
          <reference field="12" count="1" selected="0">
            <x v="18"/>
          </reference>
        </references>
      </pivotArea>
    </format>
    <format dxfId="103">
      <pivotArea dataOnly="0" labelOnly="1" outline="0" fieldPosition="0">
        <references count="2">
          <reference field="11" count="4" defaultSubtotal="1">
            <x v="29"/>
            <x v="126"/>
            <x v="183"/>
            <x v="194"/>
          </reference>
          <reference field="12" count="1" selected="0">
            <x v="18"/>
          </reference>
        </references>
      </pivotArea>
    </format>
    <format dxfId="102">
      <pivotArea dataOnly="0" labelOnly="1" outline="0" fieldPosition="0">
        <references count="2">
          <reference field="11" count="1">
            <x v="232"/>
          </reference>
          <reference field="12" count="1" selected="0">
            <x v="43"/>
          </reference>
        </references>
      </pivotArea>
    </format>
    <format dxfId="101">
      <pivotArea dataOnly="0" labelOnly="1" outline="0" fieldPosition="0">
        <references count="2">
          <reference field="11" count="1" defaultSubtotal="1">
            <x v="232"/>
          </reference>
          <reference field="12" count="1" selected="0">
            <x v="43"/>
          </reference>
        </references>
      </pivotArea>
    </format>
    <format dxfId="100">
      <pivotArea dataOnly="0" labelOnly="1" outline="0" fieldPosition="0">
        <references count="2">
          <reference field="11" count="1">
            <x v="72"/>
          </reference>
          <reference field="12" count="1" selected="0">
            <x v="31"/>
          </reference>
        </references>
      </pivotArea>
    </format>
    <format dxfId="99">
      <pivotArea dataOnly="0" labelOnly="1" outline="0" fieldPosition="0">
        <references count="2">
          <reference field="11" count="1" defaultSubtotal="1">
            <x v="72"/>
          </reference>
          <reference field="12" count="1" selected="0">
            <x v="31"/>
          </reference>
        </references>
      </pivotArea>
    </format>
    <format dxfId="98">
      <pivotArea dataOnly="0" labelOnly="1" outline="0" fieldPosition="0">
        <references count="2">
          <reference field="11" count="1">
            <x v="209"/>
          </reference>
          <reference field="12" count="1" selected="0">
            <x v="38"/>
          </reference>
        </references>
      </pivotArea>
    </format>
    <format dxfId="97">
      <pivotArea dataOnly="0" labelOnly="1" outline="0" fieldPosition="0">
        <references count="2">
          <reference field="11" count="1" defaultSubtotal="1">
            <x v="209"/>
          </reference>
          <reference field="12" count="1" selected="0">
            <x v="38"/>
          </reference>
        </references>
      </pivotArea>
    </format>
    <format dxfId="96">
      <pivotArea dataOnly="0" labelOnly="1" outline="0" fieldPosition="0">
        <references count="2">
          <reference field="11" count="1">
            <x v="321"/>
          </reference>
          <reference field="12" count="1" selected="0">
            <x v="13"/>
          </reference>
        </references>
      </pivotArea>
    </format>
    <format dxfId="95">
      <pivotArea dataOnly="0" labelOnly="1" outline="0" fieldPosition="0">
        <references count="2">
          <reference field="11" count="1" defaultSubtotal="1">
            <x v="321"/>
          </reference>
          <reference field="12" count="1" selected="0">
            <x v="13"/>
          </reference>
        </references>
      </pivotArea>
    </format>
    <format dxfId="94">
      <pivotArea dataOnly="0" labelOnly="1" outline="0" fieldPosition="0">
        <references count="2">
          <reference field="11" count="1">
            <x v="194"/>
          </reference>
          <reference field="12" count="1" selected="0">
            <x v="21"/>
          </reference>
        </references>
      </pivotArea>
    </format>
    <format dxfId="93">
      <pivotArea dataOnly="0" labelOnly="1" outline="0" fieldPosition="0">
        <references count="2">
          <reference field="11" count="1" defaultSubtotal="1">
            <x v="194"/>
          </reference>
          <reference field="12" count="1" selected="0">
            <x v="21"/>
          </reference>
        </references>
      </pivotArea>
    </format>
    <format dxfId="92">
      <pivotArea dataOnly="0" labelOnly="1" outline="0" fieldPosition="0">
        <references count="2">
          <reference field="11" count="2">
            <x v="41"/>
            <x v="317"/>
          </reference>
          <reference field="12" count="1" selected="0">
            <x v="7"/>
          </reference>
        </references>
      </pivotArea>
    </format>
    <format dxfId="91">
      <pivotArea dataOnly="0" labelOnly="1" outline="0" fieldPosition="0">
        <references count="2">
          <reference field="11" count="2" defaultSubtotal="1">
            <x v="41"/>
            <x v="317"/>
          </reference>
          <reference field="12" count="1" selected="0">
            <x v="7"/>
          </reference>
        </references>
      </pivotArea>
    </format>
    <format dxfId="90">
      <pivotArea dataOnly="0" labelOnly="1" outline="0" fieldPosition="0">
        <references count="2">
          <reference field="11" count="1">
            <x v="418"/>
          </reference>
          <reference field="12" count="1" selected="0">
            <x v="32"/>
          </reference>
        </references>
      </pivotArea>
    </format>
    <format dxfId="89">
      <pivotArea dataOnly="0" labelOnly="1" outline="0" fieldPosition="0">
        <references count="2">
          <reference field="11" count="1" defaultSubtotal="1">
            <x v="418"/>
          </reference>
          <reference field="12" count="1" selected="0">
            <x v="32"/>
          </reference>
        </references>
      </pivotArea>
    </format>
    <format dxfId="88">
      <pivotArea dataOnly="0" labelOnly="1" outline="0" fieldPosition="0">
        <references count="2">
          <reference field="11" count="1">
            <x v="236"/>
          </reference>
          <reference field="12" count="1" selected="0">
            <x v="4"/>
          </reference>
        </references>
      </pivotArea>
    </format>
    <format dxfId="87">
      <pivotArea dataOnly="0" labelOnly="1" outline="0" fieldPosition="0">
        <references count="2">
          <reference field="11" count="1" defaultSubtotal="1">
            <x v="236"/>
          </reference>
          <reference field="12" count="1" selected="0">
            <x v="4"/>
          </reference>
        </references>
      </pivotArea>
    </format>
    <format dxfId="86">
      <pivotArea dataOnly="0" labelOnly="1" outline="0" fieldPosition="0">
        <references count="3">
          <reference field="11" count="1" selected="0">
            <x v="150"/>
          </reference>
          <reference field="12" count="1" selected="0">
            <x v="3"/>
          </reference>
          <reference field="15" count="3">
            <x v="32"/>
            <x v="47"/>
            <x v="53"/>
          </reference>
        </references>
      </pivotArea>
    </format>
    <format dxfId="85">
      <pivotArea dataOnly="0" labelOnly="1" outline="0" fieldPosition="0">
        <references count="3">
          <reference field="11" count="1" selected="0">
            <x v="416"/>
          </reference>
          <reference field="12" count="1" selected="0">
            <x v="3"/>
          </reference>
          <reference field="15" count="3">
            <x v="32"/>
            <x v="47"/>
            <x v="53"/>
          </reference>
        </references>
      </pivotArea>
    </format>
    <format dxfId="84">
      <pivotArea dataOnly="0" labelOnly="1" outline="0" fieldPosition="0">
        <references count="3">
          <reference field="11" count="1" selected="0">
            <x v="54"/>
          </reference>
          <reference field="12" count="1" selected="0">
            <x v="3"/>
          </reference>
          <reference field="15" count="2">
            <x v="32"/>
            <x v="47"/>
          </reference>
        </references>
      </pivotArea>
    </format>
    <format dxfId="83">
      <pivotArea dataOnly="0" labelOnly="1" outline="0" fieldPosition="0">
        <references count="3">
          <reference field="11" count="1" selected="0">
            <x v="79"/>
          </reference>
          <reference field="12" count="1" selected="0">
            <x v="3"/>
          </reference>
          <reference field="15" count="1">
            <x v="47"/>
          </reference>
        </references>
      </pivotArea>
    </format>
    <format dxfId="82">
      <pivotArea dataOnly="0" labelOnly="1" outline="0" fieldPosition="0">
        <references count="3">
          <reference field="11" count="1" selected="0">
            <x v="191"/>
          </reference>
          <reference field="12" count="1" selected="0">
            <x v="3"/>
          </reference>
          <reference field="15" count="1">
            <x v="53"/>
          </reference>
        </references>
      </pivotArea>
    </format>
    <format dxfId="81">
      <pivotArea dataOnly="0" labelOnly="1" outline="0" fieldPosition="0">
        <references count="3">
          <reference field="11" count="1" selected="0">
            <x v="11"/>
          </reference>
          <reference field="12" count="1" selected="0">
            <x v="3"/>
          </reference>
          <reference field="15" count="1">
            <x v="5"/>
          </reference>
        </references>
      </pivotArea>
    </format>
    <format dxfId="80">
      <pivotArea dataOnly="0" labelOnly="1" outline="0" fieldPosition="0">
        <references count="3">
          <reference field="11" count="1" selected="0">
            <x v="182"/>
          </reference>
          <reference field="12" count="1" selected="0">
            <x v="3"/>
          </reference>
          <reference field="15" count="1">
            <x v="5"/>
          </reference>
        </references>
      </pivotArea>
    </format>
    <format dxfId="79">
      <pivotArea dataOnly="0" labelOnly="1" outline="0" fieldPosition="0">
        <references count="3">
          <reference field="11" count="1" selected="0">
            <x v="328"/>
          </reference>
          <reference field="12" count="1" selected="0">
            <x v="3"/>
          </reference>
          <reference field="15" count="1">
            <x v="32"/>
          </reference>
        </references>
      </pivotArea>
    </format>
    <format dxfId="78">
      <pivotArea dataOnly="0" labelOnly="1" outline="0" fieldPosition="0">
        <references count="3">
          <reference field="11" count="1" selected="0">
            <x v="351"/>
          </reference>
          <reference field="12" count="1" selected="0">
            <x v="3"/>
          </reference>
          <reference field="15" count="2">
            <x v="32"/>
            <x v="53"/>
          </reference>
        </references>
      </pivotArea>
    </format>
    <format dxfId="77">
      <pivotArea dataOnly="0" labelOnly="1" outline="0" fieldPosition="0">
        <references count="3">
          <reference field="11" count="1" selected="0">
            <x v="412"/>
          </reference>
          <reference field="12" count="1" selected="0">
            <x v="35"/>
          </reference>
          <reference field="15" count="1">
            <x v="55"/>
          </reference>
        </references>
      </pivotArea>
    </format>
    <format dxfId="76">
      <pivotArea dataOnly="0" labelOnly="1" outline="0" fieldPosition="0">
        <references count="3">
          <reference field="11" count="1" selected="0">
            <x v="371"/>
          </reference>
          <reference field="12" count="1" selected="0">
            <x v="35"/>
          </reference>
          <reference field="15" count="1">
            <x v="44"/>
          </reference>
        </references>
      </pivotArea>
    </format>
    <format dxfId="75">
      <pivotArea dataOnly="0" labelOnly="1" outline="0" fieldPosition="0">
        <references count="3">
          <reference field="11" count="1" selected="0">
            <x v="301"/>
          </reference>
          <reference field="12" count="1" selected="0">
            <x v="35"/>
          </reference>
          <reference field="15" count="2">
            <x v="41"/>
            <x v="55"/>
          </reference>
        </references>
      </pivotArea>
    </format>
    <format dxfId="74">
      <pivotArea dataOnly="0" labelOnly="1" outline="0" fieldPosition="0">
        <references count="3">
          <reference field="11" count="1" selected="0">
            <x v="195"/>
          </reference>
          <reference field="12" count="1" selected="0">
            <x v="35"/>
          </reference>
          <reference field="15" count="2">
            <x v="41"/>
            <x v="55"/>
          </reference>
        </references>
      </pivotArea>
    </format>
    <format dxfId="73">
      <pivotArea dataOnly="0" labelOnly="1" outline="0" fieldPosition="0">
        <references count="3">
          <reference field="11" count="1" selected="0">
            <x v="243"/>
          </reference>
          <reference field="12" count="1" selected="0">
            <x v="35"/>
          </reference>
          <reference field="15" count="2">
            <x v="55"/>
            <x v="56"/>
          </reference>
        </references>
      </pivotArea>
    </format>
    <format dxfId="72">
      <pivotArea dataOnly="0" labelOnly="1" outline="0" fieldPosition="0">
        <references count="3">
          <reference field="11" count="1" selected="0">
            <x v="141"/>
          </reference>
          <reference field="12" count="1" selected="0">
            <x v="35"/>
          </reference>
          <reference field="15" count="1">
            <x v="41"/>
          </reference>
        </references>
      </pivotArea>
    </format>
    <format dxfId="71">
      <pivotArea dataOnly="0" labelOnly="1" outline="0" fieldPosition="0">
        <references count="3">
          <reference field="11" count="1" selected="0">
            <x v="336"/>
          </reference>
          <reference field="12" count="1" selected="0">
            <x v="35"/>
          </reference>
          <reference field="15" count="1">
            <x v="55"/>
          </reference>
        </references>
      </pivotArea>
    </format>
    <format dxfId="70">
      <pivotArea dataOnly="0" labelOnly="1" outline="0" fieldPosition="0">
        <references count="3">
          <reference field="11" count="1" selected="0">
            <x v="313"/>
          </reference>
          <reference field="12" count="1" selected="0">
            <x v="35"/>
          </reference>
          <reference field="15" count="2">
            <x v="41"/>
            <x v="55"/>
          </reference>
        </references>
      </pivotArea>
    </format>
    <format dxfId="69">
      <pivotArea dataOnly="0" labelOnly="1" outline="0" fieldPosition="0">
        <references count="3">
          <reference field="11" count="1" selected="0">
            <x v="108"/>
          </reference>
          <reference field="12" count="1" selected="0">
            <x v="35"/>
          </reference>
          <reference field="15" count="2">
            <x v="41"/>
            <x v="55"/>
          </reference>
        </references>
      </pivotArea>
    </format>
    <format dxfId="68">
      <pivotArea dataOnly="0" labelOnly="1" outline="0" fieldPosition="0">
        <references count="3">
          <reference field="11" count="1" selected="0">
            <x v="258"/>
          </reference>
          <reference field="12" count="1" selected="0">
            <x v="35"/>
          </reference>
          <reference field="15" count="1">
            <x v="55"/>
          </reference>
        </references>
      </pivotArea>
    </format>
    <format dxfId="67">
      <pivotArea dataOnly="0" labelOnly="1" outline="0" fieldPosition="0">
        <references count="3">
          <reference field="11" count="1" selected="0">
            <x v="120"/>
          </reference>
          <reference field="12" count="1" selected="0">
            <x v="14"/>
          </reference>
          <reference field="15" count="2">
            <x v="5"/>
            <x v="47"/>
          </reference>
        </references>
      </pivotArea>
    </format>
    <format dxfId="66">
      <pivotArea dataOnly="0" labelOnly="1" outline="0" fieldPosition="0">
        <references count="3">
          <reference field="11" count="1" selected="0">
            <x v="402"/>
          </reference>
          <reference field="12" count="1" selected="0">
            <x v="1"/>
          </reference>
          <reference field="15" count="2">
            <x v="55"/>
            <x v="56"/>
          </reference>
        </references>
      </pivotArea>
    </format>
    <format dxfId="65">
      <pivotArea dataOnly="0" labelOnly="1" outline="0" fieldPosition="0">
        <references count="3">
          <reference field="11" count="1" selected="0">
            <x v="172"/>
          </reference>
          <reference field="12" count="1" selected="0">
            <x v="1"/>
          </reference>
          <reference field="15" count="3">
            <x v="44"/>
            <x v="55"/>
            <x v="56"/>
          </reference>
        </references>
      </pivotArea>
    </format>
    <format dxfId="64">
      <pivotArea dataOnly="0" labelOnly="1" outline="0" fieldPosition="0">
        <references count="3">
          <reference field="11" count="1" selected="0">
            <x v="114"/>
          </reference>
          <reference field="12" count="1" selected="0">
            <x v="1"/>
          </reference>
          <reference field="15" count="2">
            <x v="55"/>
            <x v="56"/>
          </reference>
        </references>
      </pivotArea>
    </format>
    <format dxfId="63">
      <pivotArea dataOnly="0" labelOnly="1" outline="0" fieldPosition="0">
        <references count="3">
          <reference field="11" count="1" selected="0">
            <x v="415"/>
          </reference>
          <reference field="12" count="1" selected="0">
            <x v="1"/>
          </reference>
          <reference field="15" count="1">
            <x v="56"/>
          </reference>
        </references>
      </pivotArea>
    </format>
    <format dxfId="62">
      <pivotArea dataOnly="0" labelOnly="1" outline="0" fieldPosition="0">
        <references count="3">
          <reference field="11" count="1" selected="0">
            <x v="409"/>
          </reference>
          <reference field="12" count="1" selected="0">
            <x v="1"/>
          </reference>
          <reference field="15" count="2">
            <x v="41"/>
            <x v="56"/>
          </reference>
        </references>
      </pivotArea>
    </format>
    <format dxfId="61">
      <pivotArea dataOnly="0" labelOnly="1" outline="0" fieldPosition="0">
        <references count="3">
          <reference field="11" count="1" selected="0">
            <x v="4"/>
          </reference>
          <reference field="12" count="1" selected="0">
            <x v="1"/>
          </reference>
          <reference field="15" count="2">
            <x v="41"/>
            <x v="56"/>
          </reference>
        </references>
      </pivotArea>
    </format>
    <format dxfId="60">
      <pivotArea dataOnly="0" labelOnly="1" outline="0" fieldPosition="0">
        <references count="3">
          <reference field="11" count="1" selected="0">
            <x v="152"/>
          </reference>
          <reference field="12" count="1" selected="0">
            <x v="1"/>
          </reference>
          <reference field="15" count="2">
            <x v="55"/>
            <x v="56"/>
          </reference>
        </references>
      </pivotArea>
    </format>
    <format dxfId="59">
      <pivotArea dataOnly="0" labelOnly="1" outline="0" fieldPosition="0">
        <references count="3">
          <reference field="11" count="1" selected="0">
            <x v="244"/>
          </reference>
          <reference field="12" count="1" selected="0">
            <x v="11"/>
          </reference>
          <reference field="15" count="2">
            <x v="53"/>
            <x v="56"/>
          </reference>
        </references>
      </pivotArea>
    </format>
    <format dxfId="58">
      <pivotArea dataOnly="0" labelOnly="1" outline="0" fieldPosition="0">
        <references count="3">
          <reference field="11" count="1" selected="0">
            <x v="315"/>
          </reference>
          <reference field="12" count="1" selected="0">
            <x v="11"/>
          </reference>
          <reference field="15" count="1">
            <x v="32"/>
          </reference>
        </references>
      </pivotArea>
    </format>
    <format dxfId="57">
      <pivotArea dataOnly="0" labelOnly="1" outline="0" fieldPosition="0">
        <references count="3">
          <reference field="11" count="1" selected="0">
            <x v="349"/>
          </reference>
          <reference field="12" count="1" selected="0">
            <x v="11"/>
          </reference>
          <reference field="15" count="1">
            <x v="5"/>
          </reference>
        </references>
      </pivotArea>
    </format>
    <format dxfId="56">
      <pivotArea dataOnly="0" labelOnly="1" outline="0" fieldPosition="0">
        <references count="3">
          <reference field="11" count="1" selected="0">
            <x v="347"/>
          </reference>
          <reference field="12" count="1" selected="0">
            <x v="11"/>
          </reference>
          <reference field="15" count="2">
            <x v="32"/>
            <x v="47"/>
          </reference>
        </references>
      </pivotArea>
    </format>
    <format dxfId="55">
      <pivotArea dataOnly="0" labelOnly="1" outline="0" fieldPosition="0">
        <references count="3">
          <reference field="11" count="1" selected="0">
            <x v="96"/>
          </reference>
          <reference field="12" count="1" selected="0">
            <x v="11"/>
          </reference>
          <reference field="15" count="2">
            <x v="5"/>
            <x v="53"/>
          </reference>
        </references>
      </pivotArea>
    </format>
    <format dxfId="54">
      <pivotArea dataOnly="0" labelOnly="1" outline="0" fieldPosition="0">
        <references count="3">
          <reference field="11" count="1" selected="0">
            <x v="387"/>
          </reference>
          <reference field="12" count="1" selected="0">
            <x v="11"/>
          </reference>
          <reference field="15" count="1">
            <x v="5"/>
          </reference>
        </references>
      </pivotArea>
    </format>
    <format dxfId="53">
      <pivotArea dataOnly="0" labelOnly="1" outline="0" fieldPosition="0">
        <references count="3">
          <reference field="11" count="1" selected="0">
            <x v="167"/>
          </reference>
          <reference field="12" count="1" selected="0">
            <x v="11"/>
          </reference>
          <reference field="15" count="1">
            <x v="5"/>
          </reference>
        </references>
      </pivotArea>
    </format>
    <format dxfId="52">
      <pivotArea dataOnly="0" labelOnly="1" outline="0" fieldPosition="0">
        <references count="3">
          <reference field="11" count="1" selected="0">
            <x v="187"/>
          </reference>
          <reference field="12" count="1" selected="0">
            <x v="11"/>
          </reference>
          <reference field="15" count="1">
            <x v="5"/>
          </reference>
        </references>
      </pivotArea>
    </format>
    <format dxfId="51">
      <pivotArea dataOnly="0" labelOnly="1" outline="0" fieldPosition="0">
        <references count="3">
          <reference field="11" count="1" selected="0">
            <x v="209"/>
          </reference>
          <reference field="12" count="1" selected="0">
            <x v="11"/>
          </reference>
          <reference field="15" count="1">
            <x v="32"/>
          </reference>
        </references>
      </pivotArea>
    </format>
    <format dxfId="50">
      <pivotArea dataOnly="0" labelOnly="1" outline="0" fieldPosition="0">
        <references count="3">
          <reference field="11" count="1" selected="0">
            <x v="382"/>
          </reference>
          <reference field="12" count="1" selected="0">
            <x v="11"/>
          </reference>
          <reference field="15" count="1">
            <x v="5"/>
          </reference>
        </references>
      </pivotArea>
    </format>
    <format dxfId="49">
      <pivotArea dataOnly="0" labelOnly="1" outline="0" fieldPosition="0">
        <references count="3">
          <reference field="11" count="1" selected="0">
            <x v="231"/>
          </reference>
          <reference field="12" count="1" selected="0">
            <x v="11"/>
          </reference>
          <reference field="15" count="1">
            <x v="5"/>
          </reference>
        </references>
      </pivotArea>
    </format>
    <format dxfId="48">
      <pivotArea dataOnly="0" labelOnly="1" outline="0" fieldPosition="0">
        <references count="3">
          <reference field="11" count="1" selected="0">
            <x v="397"/>
          </reference>
          <reference field="12" count="1" selected="0">
            <x v="11"/>
          </reference>
          <reference field="15" count="1">
            <x v="53"/>
          </reference>
        </references>
      </pivotArea>
    </format>
    <format dxfId="47">
      <pivotArea dataOnly="0" labelOnly="1" outline="0" fieldPosition="0">
        <references count="3">
          <reference field="11" count="1" selected="0">
            <x v="51"/>
          </reference>
          <reference field="12" count="1" selected="0">
            <x v="11"/>
          </reference>
          <reference field="15" count="1">
            <x v="53"/>
          </reference>
        </references>
      </pivotArea>
    </format>
    <format dxfId="46">
      <pivotArea dataOnly="0" labelOnly="1" outline="0" fieldPosition="0">
        <references count="3">
          <reference field="11" count="1" selected="0">
            <x v="248"/>
          </reference>
          <reference field="12" count="1" selected="0">
            <x v="11"/>
          </reference>
          <reference field="15" count="1">
            <x v="5"/>
          </reference>
        </references>
      </pivotArea>
    </format>
    <format dxfId="45">
      <pivotArea dataOnly="0" labelOnly="1" outline="0" fieldPosition="0">
        <references count="3">
          <reference field="11" count="1" selected="0">
            <x v="229"/>
          </reference>
          <reference field="12" count="1" selected="0">
            <x v="28"/>
          </reference>
          <reference field="15" count="3">
            <x v="5"/>
            <x v="44"/>
            <x v="56"/>
          </reference>
        </references>
      </pivotArea>
    </format>
    <format dxfId="44">
      <pivotArea dataOnly="0" labelOnly="1" outline="0" fieldPosition="0">
        <references count="3">
          <reference field="11" count="1" selected="0">
            <x v="241"/>
          </reference>
          <reference field="12" count="1" selected="0">
            <x v="33"/>
          </reference>
          <reference field="15" count="2">
            <x v="5"/>
            <x v="44"/>
          </reference>
        </references>
      </pivotArea>
    </format>
    <format dxfId="43">
      <pivotArea dataOnly="0" labelOnly="1" outline="0" fieldPosition="0">
        <references count="3">
          <reference field="11" count="1" selected="0">
            <x v="201"/>
          </reference>
          <reference field="12" count="1" selected="0">
            <x v="29"/>
          </reference>
          <reference field="15" count="1">
            <x v="50"/>
          </reference>
        </references>
      </pivotArea>
    </format>
    <format dxfId="42">
      <pivotArea dataOnly="0" labelOnly="1" outline="0" fieldPosition="0">
        <references count="3">
          <reference field="11" count="1" selected="0">
            <x v="417"/>
          </reference>
          <reference field="12" count="1" selected="0">
            <x v="29"/>
          </reference>
          <reference field="15" count="1">
            <x v="44"/>
          </reference>
        </references>
      </pivotArea>
    </format>
    <format dxfId="41">
      <pivotArea dataOnly="0" labelOnly="1" outline="0" fieldPosition="0">
        <references count="3">
          <reference field="11" count="1" selected="0">
            <x v="188"/>
          </reference>
          <reference field="12" count="1" selected="0">
            <x v="29"/>
          </reference>
          <reference field="15" count="1">
            <x v="50"/>
          </reference>
        </references>
      </pivotArea>
    </format>
    <format dxfId="40">
      <pivotArea dataOnly="0" labelOnly="1" outline="0" fieldPosition="0">
        <references count="3">
          <reference field="11" count="1" selected="0">
            <x v="166"/>
          </reference>
          <reference field="12" count="1" selected="0">
            <x v="29"/>
          </reference>
          <reference field="15" count="1">
            <x v="50"/>
          </reference>
        </references>
      </pivotArea>
    </format>
    <format dxfId="39">
      <pivotArea dataOnly="0" labelOnly="1" outline="0" fieldPosition="0">
        <references count="3">
          <reference field="11" count="1" selected="0">
            <x v="44"/>
          </reference>
          <reference field="12" count="1" selected="0">
            <x v="20"/>
          </reference>
          <reference field="15" count="2">
            <x v="41"/>
            <x v="55"/>
          </reference>
        </references>
      </pivotArea>
    </format>
    <format dxfId="38">
      <pivotArea dataOnly="0" labelOnly="1" outline="0" fieldPosition="0">
        <references count="3">
          <reference field="11" count="1" selected="0">
            <x v="168"/>
          </reference>
          <reference field="12" count="1" selected="0">
            <x v="20"/>
          </reference>
          <reference field="15" count="1">
            <x v="55"/>
          </reference>
        </references>
      </pivotArea>
    </format>
    <format dxfId="37">
      <pivotArea dataOnly="0" labelOnly="1" outline="0" fieldPosition="0">
        <references count="3">
          <reference field="11" count="1" selected="0">
            <x v="185"/>
          </reference>
          <reference field="12" count="1" selected="0">
            <x v="20"/>
          </reference>
          <reference field="15" count="2">
            <x v="55"/>
            <x v="56"/>
          </reference>
        </references>
      </pivotArea>
    </format>
    <format dxfId="36">
      <pivotArea dataOnly="0" labelOnly="1" outline="0" fieldPosition="0">
        <references count="3">
          <reference field="11" count="1" selected="0">
            <x v="55"/>
          </reference>
          <reference field="12" count="1" selected="0">
            <x v="20"/>
          </reference>
          <reference field="15" count="1">
            <x v="56"/>
          </reference>
        </references>
      </pivotArea>
    </format>
    <format dxfId="35">
      <pivotArea dataOnly="0" labelOnly="1" outline="0" fieldPosition="0">
        <references count="3">
          <reference field="11" count="1" selected="0">
            <x v="164"/>
          </reference>
          <reference field="12" count="1" selected="0">
            <x v="20"/>
          </reference>
          <reference field="15" count="1">
            <x v="56"/>
          </reference>
        </references>
      </pivotArea>
    </format>
    <format dxfId="34">
      <pivotArea dataOnly="0" labelOnly="1" outline="0" fieldPosition="0">
        <references count="3">
          <reference field="11" count="1" selected="0">
            <x v="6"/>
          </reference>
          <reference field="12" count="1" selected="0">
            <x v="0"/>
          </reference>
          <reference field="15" count="1">
            <x v="44"/>
          </reference>
        </references>
      </pivotArea>
    </format>
    <format dxfId="33">
      <pivotArea dataOnly="0" labelOnly="1" outline="0" fieldPosition="0">
        <references count="3">
          <reference field="11" count="1" selected="0">
            <x v="153"/>
          </reference>
          <reference field="12" count="1" selected="0">
            <x v="42"/>
          </reference>
          <reference field="15" count="1">
            <x v="55"/>
          </reference>
        </references>
      </pivotArea>
    </format>
    <format dxfId="32">
      <pivotArea dataOnly="0" labelOnly="1" outline="0" fieldPosition="0">
        <references count="3">
          <reference field="11" count="1" selected="0">
            <x v="364"/>
          </reference>
          <reference field="12" count="1" selected="0">
            <x v="42"/>
          </reference>
          <reference field="15" count="2">
            <x v="32"/>
            <x v="44"/>
          </reference>
        </references>
      </pivotArea>
    </format>
    <format dxfId="31">
      <pivotArea dataOnly="0" labelOnly="1" outline="0" fieldPosition="0">
        <references count="3">
          <reference field="11" count="1" selected="0">
            <x v="298"/>
          </reference>
          <reference field="12" count="1" selected="0">
            <x v="42"/>
          </reference>
          <reference field="15" count="1">
            <x v="10"/>
          </reference>
        </references>
      </pivotArea>
    </format>
    <format dxfId="30">
      <pivotArea dataOnly="0" labelOnly="1" outline="0" fieldPosition="0">
        <references count="3">
          <reference field="11" count="1" selected="0">
            <x v="411"/>
          </reference>
          <reference field="12" count="1" selected="0">
            <x v="25"/>
          </reference>
          <reference field="15" count="1">
            <x v="41"/>
          </reference>
        </references>
      </pivotArea>
    </format>
    <format dxfId="29">
      <pivotArea dataOnly="0" labelOnly="1" outline="0" fieldPosition="0">
        <references count="3">
          <reference field="11" count="1" selected="0">
            <x v="134"/>
          </reference>
          <reference field="12" count="1" selected="0">
            <x v="25"/>
          </reference>
          <reference field="15" count="1">
            <x v="41"/>
          </reference>
        </references>
      </pivotArea>
    </format>
    <format dxfId="28">
      <pivotArea dataOnly="0" labelOnly="1" outline="0" fieldPosition="0">
        <references count="3">
          <reference field="11" count="1" selected="0">
            <x v="326"/>
          </reference>
          <reference field="12" count="1" selected="0">
            <x v="25"/>
          </reference>
          <reference field="15" count="1">
            <x v="41"/>
          </reference>
        </references>
      </pivotArea>
    </format>
    <format dxfId="27">
      <pivotArea dataOnly="0" labelOnly="1" outline="0" fieldPosition="0">
        <references count="3">
          <reference field="11" count="1" selected="0">
            <x v="252"/>
          </reference>
          <reference field="12" count="1" selected="0">
            <x v="37"/>
          </reference>
          <reference field="15" count="1">
            <x v="10"/>
          </reference>
        </references>
      </pivotArea>
    </format>
    <format dxfId="26">
      <pivotArea dataOnly="0" labelOnly="1" outline="0" fieldPosition="0">
        <references count="3">
          <reference field="11" count="1" selected="0">
            <x v="101"/>
          </reference>
          <reference field="12" count="1" selected="0">
            <x v="37"/>
          </reference>
          <reference field="15" count="1">
            <x v="10"/>
          </reference>
        </references>
      </pivotArea>
    </format>
    <format dxfId="25">
      <pivotArea dataOnly="0" labelOnly="1" outline="0" fieldPosition="0">
        <references count="3">
          <reference field="11" count="1" selected="0">
            <x v="331"/>
          </reference>
          <reference field="12" count="1" selected="0">
            <x v="37"/>
          </reference>
          <reference field="15" count="1">
            <x v="10"/>
          </reference>
        </references>
      </pivotArea>
    </format>
    <format dxfId="24">
      <pivotArea dataOnly="0" labelOnly="1" outline="0" fieldPosition="0">
        <references count="3">
          <reference field="11" count="1" selected="0">
            <x v="125"/>
          </reference>
          <reference field="12" count="1" selected="0">
            <x v="37"/>
          </reference>
          <reference field="15" count="1">
            <x v="10"/>
          </reference>
        </references>
      </pivotArea>
    </format>
    <format dxfId="23">
      <pivotArea dataOnly="0" labelOnly="1" outline="0" fieldPosition="0">
        <references count="3">
          <reference field="11" count="1" selected="0">
            <x v="225"/>
          </reference>
          <reference field="12" count="1" selected="0">
            <x v="37"/>
          </reference>
          <reference field="15" count="1">
            <x v="10"/>
          </reference>
        </references>
      </pivotArea>
    </format>
    <format dxfId="22">
      <pivotArea dataOnly="0" labelOnly="1" outline="0" fieldPosition="0">
        <references count="3">
          <reference field="11" count="1" selected="0">
            <x v="83"/>
          </reference>
          <reference field="12" count="1" selected="0">
            <x v="2"/>
          </reference>
          <reference field="15" count="2">
            <x v="47"/>
            <x v="56"/>
          </reference>
        </references>
      </pivotArea>
    </format>
    <format dxfId="21">
      <pivotArea dataOnly="0" labelOnly="1" outline="0" fieldPosition="0">
        <references count="3">
          <reference field="11" count="1" selected="0">
            <x v="198"/>
          </reference>
          <reference field="12" count="1" selected="0">
            <x v="2"/>
          </reference>
          <reference field="15" count="1">
            <x v="47"/>
          </reference>
        </references>
      </pivotArea>
    </format>
    <format dxfId="20">
      <pivotArea dataOnly="0" labelOnly="1" outline="0" fieldPosition="0">
        <references count="3">
          <reference field="11" count="1" selected="0">
            <x v="170"/>
          </reference>
          <reference field="12" count="1" selected="0">
            <x v="41"/>
          </reference>
          <reference field="15" count="1">
            <x v="55"/>
          </reference>
        </references>
      </pivotArea>
    </format>
    <format dxfId="19">
      <pivotArea dataOnly="0" labelOnly="1" outline="0" fieldPosition="0">
        <references count="3">
          <reference field="11" count="1" selected="0">
            <x v="404"/>
          </reference>
          <reference field="12" count="1" selected="0">
            <x v="41"/>
          </reference>
          <reference field="15" count="1">
            <x v="44"/>
          </reference>
        </references>
      </pivotArea>
    </format>
    <format dxfId="18">
      <pivotArea dataOnly="0" labelOnly="1" outline="0" fieldPosition="0">
        <references count="3">
          <reference field="11" count="1" selected="0">
            <x v="74"/>
          </reference>
          <reference field="12" count="1" selected="0">
            <x v="41"/>
          </reference>
          <reference field="15" count="1">
            <x v="55"/>
          </reference>
        </references>
      </pivotArea>
    </format>
    <format dxfId="17">
      <pivotArea dataOnly="0" labelOnly="1" outline="0" fieldPosition="0">
        <references count="3">
          <reference field="11" count="1" selected="0">
            <x v="118"/>
          </reference>
          <reference field="12" count="1" selected="0">
            <x v="41"/>
          </reference>
          <reference field="15" count="1">
            <x v="5"/>
          </reference>
        </references>
      </pivotArea>
    </format>
    <format dxfId="16">
      <pivotArea dataOnly="0" labelOnly="1" outline="0" fieldPosition="0">
        <references count="3">
          <reference field="11" count="1" selected="0">
            <x v="190"/>
          </reference>
          <reference field="12" count="1" selected="0">
            <x v="27"/>
          </reference>
          <reference field="15" count="3">
            <x v="5"/>
            <x v="47"/>
            <x v="53"/>
          </reference>
        </references>
      </pivotArea>
    </format>
    <format dxfId="15">
      <pivotArea dataOnly="0" labelOnly="1" outline="0" fieldPosition="0">
        <references count="3">
          <reference field="11" count="1" selected="0">
            <x v="194"/>
          </reference>
          <reference field="12" count="1" selected="0">
            <x v="18"/>
          </reference>
          <reference field="15" count="1">
            <x v="41"/>
          </reference>
        </references>
      </pivotArea>
    </format>
    <format dxfId="14">
      <pivotArea dataOnly="0" labelOnly="1" outline="0" fieldPosition="0">
        <references count="3">
          <reference field="11" count="1" selected="0">
            <x v="183"/>
          </reference>
          <reference field="12" count="1" selected="0">
            <x v="18"/>
          </reference>
          <reference field="15" count="2">
            <x v="10"/>
            <x v="44"/>
          </reference>
        </references>
      </pivotArea>
    </format>
    <format dxfId="13">
      <pivotArea dataOnly="0" labelOnly="1" outline="0" fieldPosition="0">
        <references count="3">
          <reference field="11" count="1" selected="0">
            <x v="29"/>
          </reference>
          <reference field="12" count="1" selected="0">
            <x v="18"/>
          </reference>
          <reference field="15" count="3">
            <x v="10"/>
            <x v="41"/>
            <x v="56"/>
          </reference>
        </references>
      </pivotArea>
    </format>
    <format dxfId="12">
      <pivotArea dataOnly="0" labelOnly="1" outline="0" fieldPosition="0">
        <references count="3">
          <reference field="11" count="1" selected="0">
            <x v="126"/>
          </reference>
          <reference field="12" count="1" selected="0">
            <x v="18"/>
          </reference>
          <reference field="15" count="1">
            <x v="55"/>
          </reference>
        </references>
      </pivotArea>
    </format>
    <format dxfId="11">
      <pivotArea dataOnly="0" labelOnly="1" outline="0" fieldPosition="0">
        <references count="3">
          <reference field="11" count="1" selected="0">
            <x v="232"/>
          </reference>
          <reference field="12" count="1" selected="0">
            <x v="43"/>
          </reference>
          <reference field="15" count="1">
            <x v="5"/>
          </reference>
        </references>
      </pivotArea>
    </format>
    <format dxfId="10">
      <pivotArea dataOnly="0" labelOnly="1" outline="0" fieldPosition="0">
        <references count="3">
          <reference field="11" count="1" selected="0">
            <x v="72"/>
          </reference>
          <reference field="12" count="1" selected="0">
            <x v="31"/>
          </reference>
          <reference field="15" count="1">
            <x v="5"/>
          </reference>
        </references>
      </pivotArea>
    </format>
    <format dxfId="9">
      <pivotArea dataOnly="0" labelOnly="1" outline="0" fieldPosition="0">
        <references count="3">
          <reference field="11" count="1" selected="0">
            <x v="209"/>
          </reference>
          <reference field="12" count="1" selected="0">
            <x v="38"/>
          </reference>
          <reference field="15" count="1">
            <x v="5"/>
          </reference>
        </references>
      </pivotArea>
    </format>
    <format dxfId="8">
      <pivotArea dataOnly="0" labelOnly="1" outline="0" fieldPosition="0">
        <references count="3">
          <reference field="11" count="1" selected="0">
            <x v="321"/>
          </reference>
          <reference field="12" count="1" selected="0">
            <x v="13"/>
          </reference>
          <reference field="15" count="2">
            <x v="44"/>
            <x v="50"/>
          </reference>
        </references>
      </pivotArea>
    </format>
    <format dxfId="7">
      <pivotArea dataOnly="0" labelOnly="1" outline="0" fieldPosition="0">
        <references count="3">
          <reference field="11" count="1" selected="0">
            <x v="194"/>
          </reference>
          <reference field="12" count="1" selected="0">
            <x v="21"/>
          </reference>
          <reference field="15" count="1">
            <x v="10"/>
          </reference>
        </references>
      </pivotArea>
    </format>
    <format dxfId="6">
      <pivotArea dataOnly="0" labelOnly="1" outline="0" fieldPosition="0">
        <references count="3">
          <reference field="11" count="1" selected="0">
            <x v="317"/>
          </reference>
          <reference field="12" count="1" selected="0">
            <x v="7"/>
          </reference>
          <reference field="15" count="1">
            <x v="44"/>
          </reference>
        </references>
      </pivotArea>
    </format>
    <format dxfId="5">
      <pivotArea dataOnly="0" labelOnly="1" outline="0" fieldPosition="0">
        <references count="3">
          <reference field="11" count="1" selected="0">
            <x v="41"/>
          </reference>
          <reference field="12" count="1" selected="0">
            <x v="7"/>
          </reference>
          <reference field="15" count="1">
            <x v="10"/>
          </reference>
        </references>
      </pivotArea>
    </format>
    <format dxfId="4">
      <pivotArea dataOnly="0" labelOnly="1" outline="0" fieldPosition="0">
        <references count="3">
          <reference field="11" count="1" selected="0">
            <x v="418"/>
          </reference>
          <reference field="12" count="1" selected="0">
            <x v="32"/>
          </reference>
          <reference field="15" count="1">
            <x v="10"/>
          </reference>
        </references>
      </pivotArea>
    </format>
    <format dxfId="3">
      <pivotArea dataOnly="0" labelOnly="1" outline="0" fieldPosition="0">
        <references count="3">
          <reference field="11" count="1" selected="0">
            <x v="236"/>
          </reference>
          <reference field="12" count="1" selected="0">
            <x v="4"/>
          </reference>
          <reference field="15" count="1">
            <x v="5"/>
          </reference>
        </references>
      </pivotArea>
    </format>
    <format dxfId="2">
      <pivotArea dataOnly="0" labelOnly="1" outline="0" fieldPosition="0">
        <references count="1">
          <reference field="39" count="0"/>
        </references>
      </pivotArea>
    </format>
    <format dxfId="1">
      <pivotArea dataOnly="0" labelOnly="1" grandCol="1" outline="0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8000000}" name="PivotTable4" cacheId="165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5" indent="0" compact="0" compactData="0" multipleFieldFilters="0" rowHeaderCaption="User Name" colHeaderCaption=" ">
  <location ref="A5:F235" firstHeaderRow="1" firstDataRow="2" firstDataCol="3" rowPageCount="2" colPageCount="1"/>
  <pivotFields count="60">
    <pivotField compact="0" numFmtId="47" outline="0" showAll="0"/>
    <pivotField compact="0" numFmtId="47" outline="0" showAll="0"/>
    <pivotField compact="0" numFmtId="47" outline="0" showAll="0"/>
    <pivotField compact="0" numFmtId="47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m="1" x="2"/>
        <item x="0"/>
        <item m="1" x="1"/>
        <item m="1" x="3"/>
        <item t="default"/>
      </items>
    </pivotField>
    <pivotField dataField="1" compact="0" outline="0" showAll="0"/>
    <pivotField axis="axisRow" compact="0" outline="0" showAll="0" sortType="descending">
      <items count="420">
        <item m="1" x="211"/>
        <item m="1" x="300"/>
        <item m="1" x="188"/>
        <item m="1" x="274"/>
        <item x="7"/>
        <item m="1" x="242"/>
        <item x="38"/>
        <item m="1" x="87"/>
        <item m="1" x="276"/>
        <item m="1" x="349"/>
        <item m="1" x="192"/>
        <item x="80"/>
        <item m="1" x="366"/>
        <item m="1" x="149"/>
        <item m="1" x="122"/>
        <item m="1" x="275"/>
        <item m="1" x="418"/>
        <item m="1" x="143"/>
        <item m="1" x="102"/>
        <item m="1" x="267"/>
        <item m="1" x="263"/>
        <item m="1" x="96"/>
        <item m="1" x="245"/>
        <item m="1" x="309"/>
        <item m="1" x="191"/>
        <item m="1" x="93"/>
        <item m="1" x="297"/>
        <item m="1" x="206"/>
        <item m="1" x="350"/>
        <item x="2"/>
        <item m="1" x="306"/>
        <item m="1" x="200"/>
        <item m="1" x="273"/>
        <item m="1" x="185"/>
        <item m="1" x="337"/>
        <item m="1" x="339"/>
        <item m="1" x="284"/>
        <item m="1" x="107"/>
        <item m="1" x="140"/>
        <item m="1" x="393"/>
        <item m="1" x="112"/>
        <item x="79"/>
        <item m="1" x="157"/>
        <item m="1" x="336"/>
        <item x="13"/>
        <item m="1" x="261"/>
        <item m="1" x="385"/>
        <item m="1" x="160"/>
        <item m="1" x="84"/>
        <item m="1" x="325"/>
        <item m="1" x="285"/>
        <item x="68"/>
        <item m="1" x="123"/>
        <item m="1" x="222"/>
        <item x="34"/>
        <item x="4"/>
        <item m="1" x="404"/>
        <item m="1" x="150"/>
        <item m="1" x="133"/>
        <item m="1" x="137"/>
        <item m="1" x="153"/>
        <item m="1" x="329"/>
        <item m="1" x="342"/>
        <item m="1" x="198"/>
        <item m="1" x="92"/>
        <item m="1" x="247"/>
        <item m="1" x="280"/>
        <item m="1" x="272"/>
        <item m="1" x="408"/>
        <item m="1" x="103"/>
        <item m="1" x="271"/>
        <item m="1" x="232"/>
        <item x="54"/>
        <item m="1" x="126"/>
        <item x="16"/>
        <item m="1" x="189"/>
        <item m="1" x="110"/>
        <item m="1" x="324"/>
        <item m="1" x="145"/>
        <item x="62"/>
        <item m="1" x="205"/>
        <item m="1" x="315"/>
        <item m="1" x="409"/>
        <item x="17"/>
        <item m="1" x="165"/>
        <item m="1" x="367"/>
        <item m="1" x="141"/>
        <item m="1" x="130"/>
        <item m="1" x="114"/>
        <item m="1" x="348"/>
        <item m="1" x="392"/>
        <item m="1" x="88"/>
        <item m="1" x="390"/>
        <item m="1" x="391"/>
        <item m="1" x="148"/>
        <item m="1" x="417"/>
        <item x="37"/>
        <item m="1" x="318"/>
        <item m="1" x="368"/>
        <item m="1" x="268"/>
        <item m="1" x="253"/>
        <item x="33"/>
        <item m="1" x="266"/>
        <item m="1" x="199"/>
        <item m="1" x="162"/>
        <item m="1" x="400"/>
        <item m="1" x="172"/>
        <item m="1" x="406"/>
        <item x="12"/>
        <item m="1" x="357"/>
        <item m="1" x="303"/>
        <item m="1" x="196"/>
        <item m="1" x="402"/>
        <item m="1" x="233"/>
        <item x="5"/>
        <item m="1" x="256"/>
        <item m="1" x="361"/>
        <item m="1" x="326"/>
        <item x="72"/>
        <item m="1" x="355"/>
        <item x="58"/>
        <item m="1" x="414"/>
        <item m="1" x="209"/>
        <item m="1" x="218"/>
        <item m="1" x="341"/>
        <item x="32"/>
        <item x="30"/>
        <item m="1" x="221"/>
        <item m="1" x="395"/>
        <item m="1" x="240"/>
        <item m="1" x="146"/>
        <item m="1" x="277"/>
        <item m="1" x="94"/>
        <item m="1" x="182"/>
        <item x="26"/>
        <item m="1" x="213"/>
        <item m="1" x="313"/>
        <item m="1" x="170"/>
        <item m="1" x="183"/>
        <item m="1" x="134"/>
        <item m="1" x="98"/>
        <item x="43"/>
        <item m="1" x="158"/>
        <item m="1" x="101"/>
        <item m="1" x="360"/>
        <item m="1" x="204"/>
        <item m="1" x="283"/>
        <item m="1" x="91"/>
        <item m="1" x="113"/>
        <item m="1" x="95"/>
        <item x="36"/>
        <item m="1" x="159"/>
        <item x="14"/>
        <item x="45"/>
        <item m="1" x="224"/>
        <item m="1" x="217"/>
        <item m="1" x="166"/>
        <item m="1" x="290"/>
        <item m="1" x="278"/>
        <item m="1" x="214"/>
        <item m="1" x="177"/>
        <item m="1" x="147"/>
        <item m="1" x="363"/>
        <item m="1" x="85"/>
        <item x="8"/>
        <item m="1" x="358"/>
        <item x="25"/>
        <item x="66"/>
        <item x="15"/>
        <item m="1" x="237"/>
        <item x="10"/>
        <item m="1" x="131"/>
        <item x="3"/>
        <item m="1" x="415"/>
        <item m="1" x="184"/>
        <item m="1" x="321"/>
        <item m="1" x="203"/>
        <item m="1" x="226"/>
        <item m="1" x="387"/>
        <item m="1" x="241"/>
        <item m="1" x="207"/>
        <item m="1" x="335"/>
        <item x="74"/>
        <item x="39"/>
        <item m="1" x="251"/>
        <item x="0"/>
        <item m="1" x="311"/>
        <item x="76"/>
        <item x="22"/>
        <item m="1" x="288"/>
        <item x="55"/>
        <item x="47"/>
        <item m="1" x="156"/>
        <item m="1" x="377"/>
        <item x="18"/>
        <item x="50"/>
        <item m="1" x="230"/>
        <item m="1" x="167"/>
        <item x="61"/>
        <item m="1" x="264"/>
        <item m="1" x="411"/>
        <item x="27"/>
        <item m="1" x="176"/>
        <item m="1" x="346"/>
        <item m="1" x="401"/>
        <item m="1" x="279"/>
        <item m="1" x="249"/>
        <item m="1" x="330"/>
        <item m="1" x="234"/>
        <item x="40"/>
        <item m="1" x="375"/>
        <item m="1" x="374"/>
        <item m="1" x="208"/>
        <item m="1" x="99"/>
        <item m="1" x="255"/>
        <item m="1" x="416"/>
        <item m="1" x="307"/>
        <item m="1" x="116"/>
        <item m="1" x="298"/>
        <item m="1" x="187"/>
        <item m="1" x="139"/>
        <item m="1" x="163"/>
        <item m="1" x="173"/>
        <item m="1" x="120"/>
        <item m="1" x="154"/>
        <item x="77"/>
        <item m="1" x="345"/>
        <item m="1" x="398"/>
        <item m="1" x="338"/>
        <item x="20"/>
        <item m="1" x="356"/>
        <item x="73"/>
        <item x="75"/>
        <item m="1" x="227"/>
        <item m="1" x="179"/>
        <item m="1" x="104"/>
        <item x="69"/>
        <item m="1" x="178"/>
        <item m="1" x="365"/>
        <item m="1" x="322"/>
        <item m="1" x="228"/>
        <item x="60"/>
        <item m="1" x="410"/>
        <item x="9"/>
        <item x="6"/>
        <item m="1" x="388"/>
        <item m="1" x="164"/>
        <item m="1" x="225"/>
        <item x="57"/>
        <item m="1" x="382"/>
        <item m="1" x="219"/>
        <item m="1" x="174"/>
        <item x="70"/>
        <item m="1" x="111"/>
        <item m="1" x="304"/>
        <item m="1" x="383"/>
        <item m="1" x="210"/>
        <item m="1" x="282"/>
        <item x="44"/>
        <item m="1" x="372"/>
        <item m="1" x="327"/>
        <item m="1" x="314"/>
        <item m="1" x="412"/>
        <item m="1" x="193"/>
        <item m="1" x="97"/>
        <item m="1" x="231"/>
        <item m="1" x="215"/>
        <item m="1" x="413"/>
        <item m="1" x="405"/>
        <item m="1" x="334"/>
        <item m="1" x="286"/>
        <item m="1" x="294"/>
        <item m="1" x="380"/>
        <item m="1" x="202"/>
        <item m="1" x="82"/>
        <item m="1" x="362"/>
        <item m="1" x="169"/>
        <item m="1" x="121"/>
        <item m="1" x="373"/>
        <item m="1" x="364"/>
        <item m="1" x="127"/>
        <item m="1" x="281"/>
        <item m="1" x="168"/>
        <item m="1" x="258"/>
        <item m="1" x="399"/>
        <item m="1" x="109"/>
        <item m="1" x="142"/>
        <item m="1" x="186"/>
        <item m="1" x="269"/>
        <item m="1" x="386"/>
        <item m="1" x="248"/>
        <item m="1" x="379"/>
        <item m="1" x="117"/>
        <item m="1" x="292"/>
        <item m="1" x="305"/>
        <item m="1" x="293"/>
        <item m="1" x="354"/>
        <item m="1" x="352"/>
        <item x="71"/>
        <item m="1" x="312"/>
        <item m="1" x="265"/>
        <item x="24"/>
        <item m="1" x="299"/>
        <item m="1" x="235"/>
        <item m="1" x="396"/>
        <item m="1" x="100"/>
        <item m="1" x="197"/>
        <item m="1" x="347"/>
        <item m="1" x="310"/>
        <item m="1" x="378"/>
        <item m="1" x="370"/>
        <item m="1" x="115"/>
        <item m="1" x="138"/>
        <item x="29"/>
        <item m="1" x="119"/>
        <item x="41"/>
        <item m="1" x="144"/>
        <item x="35"/>
        <item m="1" x="353"/>
        <item m="1" x="105"/>
        <item m="1" x="250"/>
        <item x="63"/>
        <item m="1" x="175"/>
        <item m="1" x="389"/>
        <item m="1" x="106"/>
        <item m="1" x="118"/>
        <item x="23"/>
        <item m="1" x="394"/>
        <item x="59"/>
        <item m="1" x="180"/>
        <item m="1" x="340"/>
        <item x="56"/>
        <item m="1" x="246"/>
        <item m="1" x="90"/>
        <item m="1" x="125"/>
        <item m="1" x="260"/>
        <item x="11"/>
        <item m="1" x="216"/>
        <item m="1" x="369"/>
        <item m="1" x="331"/>
        <item m="1" x="108"/>
        <item m="1" x="371"/>
        <item m="1" x="243"/>
        <item m="1" x="291"/>
        <item m="1" x="289"/>
        <item m="1" x="317"/>
        <item m="1" x="270"/>
        <item x="65"/>
        <item m="1" x="287"/>
        <item x="52"/>
        <item m="1" x="308"/>
        <item x="49"/>
        <item m="1" x="351"/>
        <item m="1" x="161"/>
        <item m="1" x="407"/>
        <item m="1" x="132"/>
        <item m="1" x="359"/>
        <item m="1" x="181"/>
        <item m="1" x="212"/>
        <item m="1" x="319"/>
        <item m="1" x="296"/>
        <item m="1" x="135"/>
        <item m="1" x="171"/>
        <item m="1" x="328"/>
        <item x="46"/>
        <item m="1" x="239"/>
        <item m="1" x="332"/>
        <item m="1" x="238"/>
        <item m="1" x="220"/>
        <item m="1" x="252"/>
        <item m="1" x="223"/>
        <item x="67"/>
        <item m="1" x="229"/>
        <item m="1" x="190"/>
        <item m="1" x="333"/>
        <item m="1" x="201"/>
        <item m="1" x="86"/>
        <item m="1" x="124"/>
        <item m="1" x="129"/>
        <item m="1" x="295"/>
        <item m="1" x="151"/>
        <item m="1" x="381"/>
        <item x="53"/>
        <item m="1" x="195"/>
        <item m="1" x="194"/>
        <item m="1" x="83"/>
        <item m="1" x="254"/>
        <item x="78"/>
        <item m="1" x="128"/>
        <item m="1" x="384"/>
        <item m="1" x="244"/>
        <item m="1" x="316"/>
        <item m="1" x="236"/>
        <item m="1" x="257"/>
        <item m="1" x="323"/>
        <item m="1" x="343"/>
        <item m="1" x="344"/>
        <item x="64"/>
        <item m="1" x="376"/>
        <item m="1" x="262"/>
        <item m="1" x="403"/>
        <item m="1" x="320"/>
        <item x="1"/>
        <item m="1" x="397"/>
        <item x="48"/>
        <item m="1" x="302"/>
        <item m="1" x="89"/>
        <item m="1" x="155"/>
        <item m="1" x="259"/>
        <item x="21"/>
        <item m="1" x="152"/>
        <item x="28"/>
        <item x="31"/>
        <item m="1" x="136"/>
        <item m="1" x="301"/>
        <item x="19"/>
        <item x="42"/>
        <item x="51"/>
        <item x="8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9" count="1" selected="0">
              <x v="1"/>
            </reference>
          </references>
        </pivotArea>
      </autoSortScope>
    </pivotField>
    <pivotField axis="axisRow" compact="0" outline="0" showAll="0" sortType="descending">
      <items count="49">
        <item x="14"/>
        <item x="1"/>
        <item x="6"/>
        <item x="12"/>
        <item x="22"/>
        <item m="1" x="28"/>
        <item m="1" x="39"/>
        <item x="13"/>
        <item m="1" x="32"/>
        <item m="1" x="46"/>
        <item m="1" x="36"/>
        <item x="3"/>
        <item m="1" x="30"/>
        <item x="21"/>
        <item x="19"/>
        <item m="1" x="25"/>
        <item m="1" x="38"/>
        <item m="1" x="31"/>
        <item x="2"/>
        <item m="1" x="26"/>
        <item x="0"/>
        <item x="11"/>
        <item m="1" x="27"/>
        <item m="1" x="45"/>
        <item m="1" x="37"/>
        <item x="9"/>
        <item m="1" x="44"/>
        <item x="17"/>
        <item x="7"/>
        <item x="8"/>
        <item m="1" x="47"/>
        <item x="16"/>
        <item x="24"/>
        <item x="20"/>
        <item m="1" x="40"/>
        <item x="4"/>
        <item m="1" x="43"/>
        <item x="10"/>
        <item x="18"/>
        <item m="1" x="42"/>
        <item m="1" x="41"/>
        <item x="5"/>
        <item x="15"/>
        <item x="23"/>
        <item m="1" x="29"/>
        <item m="1" x="34"/>
        <item m="1" x="35"/>
        <item m="1" x="3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9" count="1" selected="0">
              <x v="1"/>
            </reference>
          </references>
        </pivotArea>
      </autoSortScope>
    </pivotField>
    <pivotField compact="0" outline="0" showAll="0" defaultSubtotal="0"/>
    <pivotField compact="0" outline="0" showAll="0"/>
    <pivotField axis="axisRow" compact="0" outline="0" showAll="0" sortType="descending">
      <items count="58">
        <item m="1" x="24"/>
        <item m="1" x="11"/>
        <item m="1" x="13"/>
        <item m="1" x="40"/>
        <item m="1" x="15"/>
        <item x="8"/>
        <item m="1" x="35"/>
        <item m="1" x="27"/>
        <item m="1" x="44"/>
        <item m="1" x="18"/>
        <item x="4"/>
        <item m="1" x="55"/>
        <item m="1" x="48"/>
        <item m="1" x="47"/>
        <item m="1" x="41"/>
        <item m="1" x="54"/>
        <item m="1" x="50"/>
        <item m="1" x="16"/>
        <item m="1" x="32"/>
        <item m="1" x="34"/>
        <item m="1" x="17"/>
        <item m="1" x="56"/>
        <item m="1" x="49"/>
        <item m="1" x="14"/>
        <item m="1" x="46"/>
        <item m="1" x="36"/>
        <item m="1" x="28"/>
        <item m="1" x="26"/>
        <item m="1" x="23"/>
        <item m="1" x="52"/>
        <item m="1" x="43"/>
        <item m="1" x="37"/>
        <item x="6"/>
        <item m="1" x="51"/>
        <item m="1" x="42"/>
        <item m="1" x="31"/>
        <item m="1" x="10"/>
        <item m="1" x="12"/>
        <item m="1" x="19"/>
        <item m="1" x="45"/>
        <item m="1" x="25"/>
        <item x="1"/>
        <item m="1" x="53"/>
        <item m="1" x="38"/>
        <item x="5"/>
        <item m="1" x="21"/>
        <item m="1" x="20"/>
        <item x="9"/>
        <item m="1" x="22"/>
        <item m="1" x="39"/>
        <item x="3"/>
        <item m="1" x="29"/>
        <item m="1" x="33"/>
        <item x="7"/>
        <item m="1" x="30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axis="axisPage" compact="0" outline="0" showAll="0">
      <items count="319">
        <item m="1" x="139"/>
        <item m="1" x="294"/>
        <item m="1" x="146"/>
        <item m="1" x="299"/>
        <item m="1" x="152"/>
        <item m="1" x="304"/>
        <item m="1" x="157"/>
        <item m="1" x="309"/>
        <item m="1" x="161"/>
        <item m="1" x="312"/>
        <item m="1" x="163"/>
        <item m="1" x="315"/>
        <item m="1" x="166"/>
        <item m="1" x="21"/>
        <item m="1" x="170"/>
        <item m="1" x="257"/>
        <item m="1" x="265"/>
        <item m="1" x="117"/>
        <item m="1" x="122"/>
        <item m="1" x="276"/>
        <item m="1" x="127"/>
        <item m="1" x="281"/>
        <item m="1" x="133"/>
        <item m="1" x="288"/>
        <item m="1" x="147"/>
        <item m="1" x="300"/>
        <item m="1" x="153"/>
        <item m="1" x="305"/>
        <item m="1" x="158"/>
        <item m="1" x="313"/>
        <item m="1" x="164"/>
        <item m="1" x="316"/>
        <item m="1" x="167"/>
        <item m="1" x="22"/>
        <item m="1" x="173"/>
        <item m="1" x="26"/>
        <item m="1" x="175"/>
        <item m="1" x="273"/>
        <item m="1" x="129"/>
        <item m="1" x="283"/>
        <item m="1" x="135"/>
        <item m="1" x="289"/>
        <item m="1" x="141"/>
        <item m="1" x="301"/>
        <item m="1" x="154"/>
        <item m="1" x="306"/>
        <item m="1" x="159"/>
        <item m="1" x="310"/>
        <item m="1" x="165"/>
        <item m="1" x="317"/>
        <item m="1" x="168"/>
        <item m="1" x="23"/>
        <item m="1" x="171"/>
        <item m="1" x="27"/>
        <item m="1" x="176"/>
        <item m="1" x="29"/>
        <item m="1" x="178"/>
        <item m="1" x="31"/>
        <item m="1" x="136"/>
        <item m="1" x="290"/>
        <item m="1" x="142"/>
        <item m="1" x="296"/>
        <item m="1" x="149"/>
        <item m="1" x="307"/>
        <item m="1" x="160"/>
        <item m="1" x="311"/>
        <item m="1" x="162"/>
        <item m="1" x="314"/>
        <item m="1" x="169"/>
        <item m="1" x="24"/>
        <item m="1" x="172"/>
        <item m="1" x="25"/>
        <item m="1" x="174"/>
        <item m="1" x="30"/>
        <item m="1" x="179"/>
        <item m="1" x="181"/>
        <item m="1" x="34"/>
        <item m="1" x="186"/>
        <item m="1" x="40"/>
        <item m="1" x="28"/>
        <item m="1" x="177"/>
        <item m="1" x="180"/>
        <item m="1" x="32"/>
        <item m="1" x="182"/>
        <item m="1" x="35"/>
        <item m="1" x="184"/>
        <item m="1" x="37"/>
        <item m="1" x="41"/>
        <item m="1" x="189"/>
        <item m="1" x="43"/>
        <item m="1" x="193"/>
        <item m="1" x="47"/>
        <item m="1" x="197"/>
        <item m="1" x="201"/>
        <item m="1" x="54"/>
        <item m="1" x="204"/>
        <item m="1" x="59"/>
        <item m="1" x="210"/>
        <item m="1" x="64"/>
        <item m="1" x="69"/>
        <item m="1" x="221"/>
        <item m="1" x="74"/>
        <item m="1" x="227"/>
        <item m="1" x="81"/>
        <item m="1" x="234"/>
        <item m="1" x="33"/>
        <item m="1" x="183"/>
        <item m="1" x="36"/>
        <item m="1" x="185"/>
        <item m="1" x="38"/>
        <item m="1" x="187"/>
        <item m="1" x="190"/>
        <item m="1" x="44"/>
        <item m="1" x="194"/>
        <item m="1" x="48"/>
        <item m="1" x="198"/>
        <item m="1" x="50"/>
        <item m="1" x="55"/>
        <item m="1" x="205"/>
        <item m="1" x="60"/>
        <item m="1" x="211"/>
        <item m="1" x="65"/>
        <item m="1" x="215"/>
        <item m="1" x="222"/>
        <item m="1" x="75"/>
        <item m="1" x="228"/>
        <item m="1" x="82"/>
        <item m="1" x="235"/>
        <item m="1" x="88"/>
        <item m="1" x="39"/>
        <item m="1" x="188"/>
        <item m="1" x="42"/>
        <item m="1" x="191"/>
        <item m="1" x="45"/>
        <item m="1" x="195"/>
        <item m="1" x="199"/>
        <item m="1" x="51"/>
        <item m="1" x="202"/>
        <item m="1" x="56"/>
        <item m="1" x="206"/>
        <item m="1" x="66"/>
        <item m="1" x="216"/>
        <item m="1" x="70"/>
        <item m="1" x="223"/>
        <item m="1" x="76"/>
        <item m="1" x="229"/>
        <item m="1" x="236"/>
        <item m="1" x="89"/>
        <item m="1" x="242"/>
        <item m="1" x="95"/>
        <item m="1" x="247"/>
        <item m="1" x="102"/>
        <item m="1" x="107"/>
        <item m="1" x="259"/>
        <item m="1" x="192"/>
        <item m="1" x="46"/>
        <item m="1" x="196"/>
        <item m="1" x="49"/>
        <item m="1" x="52"/>
        <item m="1" x="203"/>
        <item m="1" x="57"/>
        <item m="1" x="207"/>
        <item m="1" x="61"/>
        <item m="1" x="212"/>
        <item m="1" x="217"/>
        <item m="1" x="71"/>
        <item m="1" x="224"/>
        <item m="1" x="77"/>
        <item m="1" x="230"/>
        <item m="1" x="83"/>
        <item m="1" x="237"/>
        <item m="1" x="90"/>
        <item m="1" x="243"/>
        <item m="1" x="96"/>
        <item m="1" x="248"/>
        <item m="1" x="103"/>
        <item m="1" x="253"/>
        <item m="1" x="260"/>
        <item m="1" x="112"/>
        <item m="1" x="267"/>
        <item m="1" x="118"/>
        <item m="1" x="200"/>
        <item m="1" x="53"/>
        <item m="1" x="58"/>
        <item m="1" x="208"/>
        <item m="1" x="62"/>
        <item m="1" x="213"/>
        <item m="1" x="67"/>
        <item m="1" x="218"/>
        <item m="1" x="225"/>
        <item m="1" x="78"/>
        <item m="1" x="231"/>
        <item m="1" x="84"/>
        <item m="1" x="238"/>
        <item m="1" x="91"/>
        <item m="1" x="97"/>
        <item m="1" x="249"/>
        <item m="1" x="104"/>
        <item m="1" x="254"/>
        <item m="1" x="108"/>
        <item m="1" x="261"/>
        <item m="1" x="113"/>
        <item m="1" x="268"/>
        <item m="1" x="119"/>
        <item m="1" x="274"/>
        <item m="1" x="124"/>
        <item m="1" x="278"/>
        <item m="1" x="130"/>
        <item m="1" x="284"/>
        <item m="1" x="209"/>
        <item m="1" x="63"/>
        <item m="1" x="214"/>
        <item m="1" x="68"/>
        <item m="1" x="219"/>
        <item m="1" x="72"/>
        <item m="1" x="79"/>
        <item m="1" x="232"/>
        <item m="1" x="85"/>
        <item m="1" x="239"/>
        <item m="1" x="92"/>
        <item m="1" x="244"/>
        <item m="1" x="98"/>
        <item m="1" x="250"/>
        <item m="1" x="105"/>
        <item m="1" x="255"/>
        <item m="1" x="109"/>
        <item m="1" x="262"/>
        <item m="1" x="114"/>
        <item m="1" x="275"/>
        <item m="1" x="125"/>
        <item m="1" x="279"/>
        <item m="1" x="131"/>
        <item m="1" x="269"/>
        <item m="1" x="285"/>
        <item m="1" x="291"/>
        <item m="1" x="143"/>
        <item m="1" x="220"/>
        <item m="1" x="73"/>
        <item m="1" x="226"/>
        <item m="1" x="80"/>
        <item m="1" x="86"/>
        <item m="1" x="240"/>
        <item m="1" x="93"/>
        <item m="1" x="245"/>
        <item m="1" x="99"/>
        <item m="1" x="251"/>
        <item m="1" x="256"/>
        <item m="1" x="110"/>
        <item m="1" x="263"/>
        <item m="1" x="115"/>
        <item m="1" x="270"/>
        <item m="1" x="120"/>
        <item m="1" x="126"/>
        <item m="1" x="280"/>
        <item m="1" x="132"/>
        <item m="1" x="286"/>
        <item m="1" x="137"/>
        <item m="1" x="292"/>
        <item m="1" x="144"/>
        <item m="1" x="297"/>
        <item m="1" x="150"/>
        <item m="1" x="302"/>
        <item m="1" x="155"/>
        <item m="1" x="308"/>
        <item m="1" x="233"/>
        <item m="1" x="87"/>
        <item m="1" x="241"/>
        <item m="1" x="94"/>
        <item m="1" x="246"/>
        <item m="1" x="100"/>
        <item m="1" x="252"/>
        <item m="1" x="106"/>
        <item m="1" x="111"/>
        <item m="1" x="264"/>
        <item m="1" x="116"/>
        <item m="1" x="271"/>
        <item m="1" x="121"/>
        <item m="1" x="287"/>
        <item m="1" x="138"/>
        <item m="1" x="293"/>
        <item m="1" x="145"/>
        <item m="1" x="298"/>
        <item m="1" x="151"/>
        <item m="1" x="303"/>
        <item m="1" x="156"/>
        <item m="1" x="101"/>
        <item m="1" x="258"/>
        <item m="1" x="266"/>
        <item m="1" x="272"/>
        <item m="1" x="123"/>
        <item m="1" x="277"/>
        <item m="1" x="128"/>
        <item m="1" x="282"/>
        <item m="1" x="134"/>
        <item m="1" x="295"/>
        <item m="1" x="140"/>
        <item m="1" x="1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 defaultSubtotal="0"/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 defaultSubtotal="0">
      <items count="2">
        <item x="0"/>
        <item x="1"/>
      </items>
    </pivotField>
    <pivotField compact="0" outline="0" showAl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/>
    <pivotField compact="0" outline="0" showAll="0"/>
    <pivotField axis="axisPage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</pivotFields>
  <rowFields count="3">
    <field x="12"/>
    <field x="11"/>
    <field x="15"/>
  </rowFields>
  <rowItems count="229">
    <i>
      <x v="3"/>
      <x v="150"/>
      <x v="47"/>
    </i>
    <i r="2">
      <x v="32"/>
    </i>
    <i r="2">
      <x v="53"/>
    </i>
    <i t="default" r="1">
      <x v="150"/>
    </i>
    <i r="1">
      <x v="416"/>
      <x v="47"/>
    </i>
    <i r="2">
      <x v="53"/>
    </i>
    <i r="2">
      <x v="32"/>
    </i>
    <i t="default" r="1">
      <x v="416"/>
    </i>
    <i r="1">
      <x v="54"/>
      <x v="32"/>
    </i>
    <i r="2">
      <x v="47"/>
    </i>
    <i t="default" r="1">
      <x v="54"/>
    </i>
    <i r="1">
      <x v="79"/>
      <x v="47"/>
    </i>
    <i t="default" r="1">
      <x v="79"/>
    </i>
    <i r="1">
      <x v="191"/>
      <x v="53"/>
    </i>
    <i t="default" r="1">
      <x v="191"/>
    </i>
    <i r="1">
      <x v="11"/>
      <x v="5"/>
    </i>
    <i t="default" r="1">
      <x v="11"/>
    </i>
    <i r="1">
      <x v="182"/>
      <x v="5"/>
    </i>
    <i t="default" r="1">
      <x v="182"/>
    </i>
    <i r="1">
      <x v="328"/>
      <x v="32"/>
    </i>
    <i t="default" r="1">
      <x v="328"/>
    </i>
    <i r="1">
      <x v="351"/>
      <x v="53"/>
    </i>
    <i r="2">
      <x v="32"/>
    </i>
    <i t="default" r="1">
      <x v="351"/>
    </i>
    <i t="default">
      <x v="3"/>
    </i>
    <i>
      <x v="35"/>
      <x v="412"/>
      <x v="55"/>
    </i>
    <i t="default" r="1">
      <x v="412"/>
    </i>
    <i r="1">
      <x v="371"/>
      <x v="44"/>
    </i>
    <i t="default" r="1">
      <x v="371"/>
    </i>
    <i r="1">
      <x v="301"/>
      <x v="55"/>
    </i>
    <i r="2">
      <x v="41"/>
    </i>
    <i t="default" r="1">
      <x v="301"/>
    </i>
    <i r="1">
      <x v="195"/>
      <x v="55"/>
    </i>
    <i r="2">
      <x v="41"/>
    </i>
    <i t="default" r="1">
      <x v="195"/>
    </i>
    <i r="1">
      <x v="243"/>
      <x v="56"/>
    </i>
    <i r="2">
      <x v="55"/>
    </i>
    <i t="default" r="1">
      <x v="243"/>
    </i>
    <i r="1">
      <x v="141"/>
      <x v="41"/>
    </i>
    <i t="default" r="1">
      <x v="141"/>
    </i>
    <i r="1">
      <x v="336"/>
      <x v="55"/>
    </i>
    <i t="default" r="1">
      <x v="336"/>
    </i>
    <i r="1">
      <x v="313"/>
      <x v="55"/>
    </i>
    <i r="2">
      <x v="41"/>
    </i>
    <i t="default" r="1">
      <x v="313"/>
    </i>
    <i r="1">
      <x v="108"/>
      <x v="55"/>
    </i>
    <i r="2">
      <x v="41"/>
    </i>
    <i t="default" r="1">
      <x v="108"/>
    </i>
    <i r="1">
      <x v="258"/>
      <x v="55"/>
    </i>
    <i t="default" r="1">
      <x v="258"/>
    </i>
    <i t="default">
      <x v="35"/>
    </i>
    <i>
      <x v="14"/>
      <x v="120"/>
      <x v="47"/>
    </i>
    <i r="2">
      <x v="5"/>
    </i>
    <i t="default" r="1">
      <x v="120"/>
    </i>
    <i t="default">
      <x v="14"/>
    </i>
    <i>
      <x v="1"/>
      <x v="402"/>
      <x v="56"/>
    </i>
    <i r="2">
      <x v="55"/>
    </i>
    <i t="default" r="1">
      <x v="402"/>
    </i>
    <i r="1">
      <x v="172"/>
      <x v="56"/>
    </i>
    <i r="2">
      <x v="44"/>
    </i>
    <i r="2">
      <x v="55"/>
    </i>
    <i t="default" r="1">
      <x v="172"/>
    </i>
    <i r="1">
      <x v="114"/>
      <x v="56"/>
    </i>
    <i r="2">
      <x v="55"/>
    </i>
    <i t="default" r="1">
      <x v="114"/>
    </i>
    <i r="1">
      <x v="415"/>
      <x v="56"/>
    </i>
    <i t="default" r="1">
      <x v="415"/>
    </i>
    <i r="1">
      <x v="409"/>
      <x v="41"/>
    </i>
    <i r="2">
      <x v="56"/>
    </i>
    <i t="default" r="1">
      <x v="409"/>
    </i>
    <i r="1">
      <x v="4"/>
      <x v="56"/>
    </i>
    <i r="2">
      <x v="41"/>
    </i>
    <i t="default" r="1">
      <x v="4"/>
    </i>
    <i r="1">
      <x v="152"/>
      <x v="56"/>
    </i>
    <i r="2">
      <x v="55"/>
    </i>
    <i t="default" r="1">
      <x v="152"/>
    </i>
    <i t="default">
      <x v="1"/>
    </i>
    <i>
      <x v="11"/>
      <x v="244"/>
      <x v="53"/>
    </i>
    <i r="2">
      <x v="56"/>
    </i>
    <i t="default" r="1">
      <x v="244"/>
    </i>
    <i r="1">
      <x v="315"/>
      <x v="32"/>
    </i>
    <i t="default" r="1">
      <x v="315"/>
    </i>
    <i r="1">
      <x v="349"/>
      <x v="5"/>
    </i>
    <i t="default" r="1">
      <x v="349"/>
    </i>
    <i r="1">
      <x v="347"/>
      <x v="47"/>
    </i>
    <i r="2">
      <x v="32"/>
    </i>
    <i t="default" r="1">
      <x v="347"/>
    </i>
    <i r="1">
      <x v="96"/>
      <x v="53"/>
    </i>
    <i r="2">
      <x v="5"/>
    </i>
    <i t="default" r="1">
      <x v="96"/>
    </i>
    <i r="1">
      <x v="387"/>
      <x v="5"/>
    </i>
    <i t="default" r="1">
      <x v="387"/>
    </i>
    <i r="1">
      <x v="167"/>
      <x v="5"/>
    </i>
    <i t="default" r="1">
      <x v="167"/>
    </i>
    <i r="1">
      <x v="187"/>
      <x v="5"/>
    </i>
    <i t="default" r="1">
      <x v="187"/>
    </i>
    <i r="1">
      <x v="209"/>
      <x v="32"/>
    </i>
    <i t="default" r="1">
      <x v="209"/>
    </i>
    <i r="1">
      <x v="382"/>
      <x v="5"/>
    </i>
    <i t="default" r="1">
      <x v="382"/>
    </i>
    <i r="1">
      <x v="231"/>
      <x v="5"/>
    </i>
    <i t="default" r="1">
      <x v="231"/>
    </i>
    <i r="1">
      <x v="397"/>
      <x v="53"/>
    </i>
    <i t="default" r="1">
      <x v="397"/>
    </i>
    <i r="1">
      <x v="51"/>
      <x v="53"/>
    </i>
    <i t="default" r="1">
      <x v="51"/>
    </i>
    <i r="1">
      <x v="248"/>
      <x v="5"/>
    </i>
    <i t="default" r="1">
      <x v="248"/>
    </i>
    <i t="default">
      <x v="11"/>
    </i>
    <i>
      <x v="28"/>
      <x v="229"/>
      <x v="5"/>
    </i>
    <i r="2">
      <x v="56"/>
    </i>
    <i r="2">
      <x v="44"/>
    </i>
    <i t="default" r="1">
      <x v="229"/>
    </i>
    <i t="default">
      <x v="28"/>
    </i>
    <i>
      <x v="33"/>
      <x v="241"/>
      <x v="44"/>
    </i>
    <i r="2">
      <x v="5"/>
    </i>
    <i t="default" r="1">
      <x v="241"/>
    </i>
    <i t="default">
      <x v="33"/>
    </i>
    <i>
      <x v="29"/>
      <x v="201"/>
      <x v="50"/>
    </i>
    <i t="default" r="1">
      <x v="201"/>
    </i>
    <i r="1">
      <x v="417"/>
      <x v="44"/>
    </i>
    <i t="default" r="1">
      <x v="417"/>
    </i>
    <i r="1">
      <x v="188"/>
      <x v="50"/>
    </i>
    <i t="default" r="1">
      <x v="188"/>
    </i>
    <i r="1">
      <x v="166"/>
      <x v="50"/>
    </i>
    <i t="default" r="1">
      <x v="166"/>
    </i>
    <i t="default">
      <x v="29"/>
    </i>
    <i>
      <x v="20"/>
      <x v="44"/>
      <x v="41"/>
    </i>
    <i r="2">
      <x v="55"/>
    </i>
    <i t="default" r="1">
      <x v="44"/>
    </i>
    <i r="1">
      <x v="168"/>
      <x v="55"/>
    </i>
    <i t="default" r="1">
      <x v="168"/>
    </i>
    <i r="1">
      <x v="185"/>
      <x v="55"/>
    </i>
    <i r="2">
      <x v="56"/>
    </i>
    <i t="default" r="1">
      <x v="185"/>
    </i>
    <i r="1">
      <x v="55"/>
      <x v="56"/>
    </i>
    <i t="default" r="1">
      <x v="55"/>
    </i>
    <i r="1">
      <x v="164"/>
      <x v="56"/>
    </i>
    <i t="default" r="1">
      <x v="164"/>
    </i>
    <i t="default">
      <x v="20"/>
    </i>
    <i>
      <x/>
      <x v="6"/>
      <x v="44"/>
    </i>
    <i t="default" r="1">
      <x v="6"/>
    </i>
    <i t="default">
      <x/>
    </i>
    <i>
      <x v="42"/>
      <x v="153"/>
      <x v="55"/>
    </i>
    <i t="default" r="1">
      <x v="153"/>
    </i>
    <i r="1">
      <x v="364"/>
      <x v="44"/>
    </i>
    <i r="2">
      <x v="32"/>
    </i>
    <i t="default" r="1">
      <x v="364"/>
    </i>
    <i r="1">
      <x v="298"/>
      <x v="10"/>
    </i>
    <i t="default" r="1">
      <x v="298"/>
    </i>
    <i t="default">
      <x v="42"/>
    </i>
    <i>
      <x v="25"/>
      <x v="411"/>
      <x v="41"/>
    </i>
    <i t="default" r="1">
      <x v="411"/>
    </i>
    <i r="1">
      <x v="134"/>
      <x v="41"/>
    </i>
    <i t="default" r="1">
      <x v="134"/>
    </i>
    <i r="1">
      <x v="326"/>
      <x v="41"/>
    </i>
    <i t="default" r="1">
      <x v="326"/>
    </i>
    <i t="default">
      <x v="25"/>
    </i>
    <i>
      <x v="37"/>
      <x v="252"/>
      <x v="10"/>
    </i>
    <i t="default" r="1">
      <x v="252"/>
    </i>
    <i r="1">
      <x v="101"/>
      <x v="10"/>
    </i>
    <i t="default" r="1">
      <x v="101"/>
    </i>
    <i r="1">
      <x v="331"/>
      <x v="10"/>
    </i>
    <i t="default" r="1">
      <x v="331"/>
    </i>
    <i r="1">
      <x v="125"/>
      <x v="10"/>
    </i>
    <i t="default" r="1">
      <x v="125"/>
    </i>
    <i r="1">
      <x v="225"/>
      <x v="10"/>
    </i>
    <i t="default" r="1">
      <x v="225"/>
    </i>
    <i t="default">
      <x v="37"/>
    </i>
    <i>
      <x v="2"/>
      <x v="83"/>
      <x v="47"/>
    </i>
    <i r="2">
      <x v="56"/>
    </i>
    <i t="default" r="1">
      <x v="83"/>
    </i>
    <i r="1">
      <x v="198"/>
      <x v="47"/>
    </i>
    <i t="default" r="1">
      <x v="198"/>
    </i>
    <i t="default">
      <x v="2"/>
    </i>
    <i>
      <x v="41"/>
      <x v="170"/>
      <x v="55"/>
    </i>
    <i t="default" r="1">
      <x v="170"/>
    </i>
    <i r="1">
      <x v="404"/>
      <x v="44"/>
    </i>
    <i t="default" r="1">
      <x v="404"/>
    </i>
    <i r="1">
      <x v="74"/>
      <x v="55"/>
    </i>
    <i t="default" r="1">
      <x v="74"/>
    </i>
    <i r="1">
      <x v="118"/>
      <x v="5"/>
    </i>
    <i t="default" r="1">
      <x v="118"/>
    </i>
    <i t="default">
      <x v="41"/>
    </i>
    <i>
      <x v="27"/>
      <x v="190"/>
      <x v="5"/>
    </i>
    <i r="2">
      <x v="53"/>
    </i>
    <i r="2">
      <x v="47"/>
    </i>
    <i t="default" r="1">
      <x v="190"/>
    </i>
    <i t="default">
      <x v="27"/>
    </i>
    <i>
      <x v="18"/>
      <x v="194"/>
      <x v="41"/>
    </i>
    <i t="default" r="1">
      <x v="194"/>
    </i>
    <i r="1">
      <x v="183"/>
      <x v="44"/>
    </i>
    <i r="2">
      <x v="10"/>
    </i>
    <i t="default" r="1">
      <x v="183"/>
    </i>
    <i r="1">
      <x v="29"/>
      <x v="10"/>
    </i>
    <i r="2">
      <x v="41"/>
    </i>
    <i r="2">
      <x v="56"/>
    </i>
    <i t="default" r="1">
      <x v="29"/>
    </i>
    <i r="1">
      <x v="126"/>
      <x v="55"/>
    </i>
    <i t="default" r="1">
      <x v="126"/>
    </i>
    <i t="default">
      <x v="18"/>
    </i>
    <i>
      <x v="43"/>
      <x v="232"/>
      <x v="5"/>
    </i>
    <i t="default" r="1">
      <x v="232"/>
    </i>
    <i t="default">
      <x v="43"/>
    </i>
    <i>
      <x v="31"/>
      <x v="72"/>
      <x v="5"/>
    </i>
    <i t="default" r="1">
      <x v="72"/>
    </i>
    <i t="default">
      <x v="31"/>
    </i>
    <i>
      <x v="38"/>
      <x v="209"/>
      <x v="5"/>
    </i>
    <i t="default" r="1">
      <x v="209"/>
    </i>
    <i t="default">
      <x v="38"/>
    </i>
    <i>
      <x v="13"/>
      <x v="321"/>
      <x v="50"/>
    </i>
    <i r="2">
      <x v="44"/>
    </i>
    <i t="default" r="1">
      <x v="321"/>
    </i>
    <i t="default">
      <x v="13"/>
    </i>
    <i>
      <x v="21"/>
      <x v="194"/>
      <x v="10"/>
    </i>
    <i t="default" r="1">
      <x v="194"/>
    </i>
    <i t="default">
      <x v="21"/>
    </i>
    <i>
      <x v="7"/>
      <x v="317"/>
      <x v="44"/>
    </i>
    <i t="default" r="1">
      <x v="317"/>
    </i>
    <i r="1">
      <x v="41"/>
      <x v="10"/>
    </i>
    <i t="default" r="1">
      <x v="41"/>
    </i>
    <i t="default">
      <x v="7"/>
    </i>
    <i>
      <x v="32"/>
      <x v="418"/>
      <x v="10"/>
    </i>
    <i t="default" r="1">
      <x v="418"/>
    </i>
    <i t="default">
      <x v="32"/>
    </i>
    <i>
      <x v="4"/>
      <x v="236"/>
      <x v="5"/>
    </i>
    <i t="default" r="1">
      <x v="236"/>
    </i>
    <i t="default">
      <x v="4"/>
    </i>
    <i t="grand">
      <x/>
    </i>
  </rowItems>
  <colFields count="1">
    <field x="39"/>
  </colFields>
  <colItems count="3">
    <i>
      <x/>
    </i>
    <i>
      <x v="1"/>
    </i>
    <i t="grand">
      <x/>
    </i>
  </colItems>
  <pageFields count="2">
    <pageField fld="51" item="0" hier="-1"/>
    <pageField fld="36" hier="-1"/>
  </pageFields>
  <dataFields count="1">
    <dataField name=" " fld="10" subtotal="count" baseField="0" baseItem="0"/>
  </dataFields>
  <formats count="21">
    <format dxfId="274">
      <pivotArea type="all" dataOnly="0" outline="0" fieldPosition="0"/>
    </format>
    <format dxfId="275">
      <pivotArea outline="0" collapsedLevelsAreSubtotals="1" fieldPosition="0"/>
    </format>
    <format dxfId="276">
      <pivotArea field="9" type="button" dataOnly="0" labelOnly="1" outline="0"/>
    </format>
    <format dxfId="277">
      <pivotArea dataOnly="0" labelOnly="1" grandRow="1" outline="0" fieldPosition="0"/>
    </format>
    <format dxfId="278">
      <pivotArea type="all" dataOnly="0" outline="0" fieldPosition="0"/>
    </format>
    <format dxfId="279">
      <pivotArea outline="0" collapsedLevelsAreSubtotals="1" fieldPosition="0"/>
    </format>
    <format dxfId="280">
      <pivotArea field="9" type="button" dataOnly="0" labelOnly="1" outline="0"/>
    </format>
    <format dxfId="281">
      <pivotArea dataOnly="0" labelOnly="1" grandRow="1" outline="0" fieldPosition="0"/>
    </format>
    <format dxfId="282">
      <pivotArea outline="0" collapsedLevelsAreSubtotals="1" fieldPosition="0">
        <references count="2">
          <reference field="11" count="1" selected="0" defaultSubtotal="1">
            <x v="416"/>
          </reference>
          <reference field="12" count="1" selected="0">
            <x v="3"/>
          </reference>
        </references>
      </pivotArea>
    </format>
    <format dxfId="283">
      <pivotArea dataOnly="0" labelOnly="1" outline="0" fieldPosition="0">
        <references count="2">
          <reference field="11" count="1" defaultSubtotal="1">
            <x v="416"/>
          </reference>
          <reference field="12" count="1" selected="0">
            <x v="3"/>
          </reference>
        </references>
      </pivotArea>
    </format>
    <format dxfId="284">
      <pivotArea outline="0" collapsedLevelsAreSubtotals="1" fieldPosition="0">
        <references count="2">
          <reference field="11" count="1" selected="0" defaultSubtotal="1">
            <x v="54"/>
          </reference>
          <reference field="12" count="1" selected="0">
            <x v="3"/>
          </reference>
        </references>
      </pivotArea>
    </format>
    <format dxfId="285">
      <pivotArea dataOnly="0" labelOnly="1" outline="0" fieldPosition="0">
        <references count="2">
          <reference field="11" count="1" defaultSubtotal="1">
            <x v="54"/>
          </reference>
          <reference field="12" count="1" selected="0">
            <x v="3"/>
          </reference>
        </references>
      </pivotArea>
    </format>
    <format dxfId="286">
      <pivotArea outline="0" collapsedLevelsAreSubtotals="1" fieldPosition="0">
        <references count="2">
          <reference field="11" count="1" selected="0" defaultSubtotal="1">
            <x v="79"/>
          </reference>
          <reference field="12" count="1" selected="0">
            <x v="3"/>
          </reference>
        </references>
      </pivotArea>
    </format>
    <format dxfId="287">
      <pivotArea dataOnly="0" labelOnly="1" outline="0" fieldPosition="0">
        <references count="2">
          <reference field="11" count="1" defaultSubtotal="1">
            <x v="79"/>
          </reference>
          <reference field="12" count="1" selected="0">
            <x v="3"/>
          </reference>
        </references>
      </pivotArea>
    </format>
    <format dxfId="288">
      <pivotArea outline="0" collapsedLevelsAreSubtotals="1" fieldPosition="0">
        <references count="2">
          <reference field="11" count="1" selected="0" defaultSubtotal="1">
            <x v="191"/>
          </reference>
          <reference field="12" count="1" selected="0">
            <x v="3"/>
          </reference>
        </references>
      </pivotArea>
    </format>
    <format dxfId="289">
      <pivotArea dataOnly="0" labelOnly="1" outline="0" fieldPosition="0">
        <references count="2">
          <reference field="11" count="1" defaultSubtotal="1">
            <x v="191"/>
          </reference>
          <reference field="12" count="1" selected="0">
            <x v="3"/>
          </reference>
        </references>
      </pivotArea>
    </format>
    <format dxfId="290">
      <pivotArea outline="0" collapsedLevelsAreSubtotals="1" fieldPosition="0">
        <references count="2">
          <reference field="11" count="1" selected="0" defaultSubtotal="1">
            <x v="11"/>
          </reference>
          <reference field="12" count="1" selected="0">
            <x v="3"/>
          </reference>
        </references>
      </pivotArea>
    </format>
    <format dxfId="291">
      <pivotArea dataOnly="0" labelOnly="1" outline="0" fieldPosition="0">
        <references count="2">
          <reference field="11" count="1" defaultSubtotal="1">
            <x v="11"/>
          </reference>
          <reference field="12" count="1" selected="0">
            <x v="3"/>
          </reference>
        </references>
      </pivotArea>
    </format>
    <format dxfId="292">
      <pivotArea outline="0" collapsedLevelsAreSubtotals="1" fieldPosition="0">
        <references count="2">
          <reference field="11" count="1" selected="0" defaultSubtotal="1">
            <x v="182"/>
          </reference>
          <reference field="12" count="1" selected="0">
            <x v="3"/>
          </reference>
        </references>
      </pivotArea>
    </format>
    <format dxfId="293">
      <pivotArea dataOnly="0" labelOnly="1" outline="0" fieldPosition="0">
        <references count="2">
          <reference field="11" count="1" defaultSubtotal="1">
            <x v="182"/>
          </reference>
          <reference field="12" count="1" selected="0">
            <x v="3"/>
          </reference>
        </references>
      </pivotArea>
    </format>
    <format dxfId="294">
      <pivotArea dataOnly="0" outline="0" fieldPosition="0">
        <references count="2">
          <reference field="11" count="0" defaultSubtotal="1"/>
          <reference field="51" count="1" selected="0">
            <x v="0"/>
          </reference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9000000}" name="PivotTable8" cacheId="16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4" rowHeaderCaption="Error Name" colHeaderCaption="Users LOCATION">
  <location ref="A6:B13" firstHeaderRow="1" firstDataRow="1" firstDataCol="1" rowPageCount="2" colPageCount="1"/>
  <pivotFields count="60">
    <pivotField numFmtId="47" showAll="0"/>
    <pivotField numFmtId="47" showAll="0"/>
    <pivotField numFmtId="47" showAll="0"/>
    <pivotField numFmtId="47" showAll="0"/>
    <pivotField numFmtId="22" showAll="0"/>
    <pivotField numFmtId="22" showAll="0"/>
    <pivotField showAll="0"/>
    <pivotField showAll="0"/>
    <pivotField showAll="0"/>
    <pivotField showAll="0">
      <items count="5">
        <item m="1" x="2"/>
        <item x="0"/>
        <item m="1" x="1"/>
        <item m="1" x="3"/>
        <item t="default"/>
      </items>
    </pivotField>
    <pivotField showAll="0"/>
    <pivotField showAll="0"/>
    <pivotField showAll="0"/>
    <pivotField showAll="0" defaultSubtotal="0"/>
    <pivotField showAll="0"/>
    <pivotField axis="axisPage" multipleItemSelectionAllowed="1" showAll="0">
      <items count="58">
        <item m="1" x="24"/>
        <item m="1" x="17"/>
        <item x="0"/>
        <item m="1" x="53"/>
        <item m="1" x="46"/>
        <item x="6"/>
        <item x="9"/>
        <item m="1" x="27"/>
        <item m="1" x="36"/>
        <item x="5"/>
        <item m="1" x="14"/>
        <item m="1" x="25"/>
        <item m="1" x="28"/>
        <item x="4"/>
        <item x="1"/>
        <item m="1" x="38"/>
        <item m="1" x="12"/>
        <item m="1" x="45"/>
        <item m="1" x="29"/>
        <item m="1" x="22"/>
        <item m="1" x="52"/>
        <item m="1" x="35"/>
        <item m="1" x="49"/>
        <item m="1" x="16"/>
        <item m="1" x="32"/>
        <item x="2"/>
        <item x="3"/>
        <item m="1" x="34"/>
        <item m="1" x="18"/>
        <item m="1" x="20"/>
        <item m="1" x="15"/>
        <item m="1" x="30"/>
        <item m="1" x="42"/>
        <item m="1" x="23"/>
        <item m="1" x="43"/>
        <item m="1" x="26"/>
        <item x="8"/>
        <item m="1" x="10"/>
        <item m="1" x="51"/>
        <item m="1" x="50"/>
        <item m="1" x="56"/>
        <item m="1" x="47"/>
        <item m="1" x="55"/>
        <item m="1" x="33"/>
        <item m="1" x="54"/>
        <item m="1" x="39"/>
        <item m="1" x="44"/>
        <item m="1" x="40"/>
        <item x="7"/>
        <item m="1" x="13"/>
        <item m="1" x="41"/>
        <item m="1" x="37"/>
        <item m="1" x="19"/>
        <item m="1" x="21"/>
        <item m="1" x="31"/>
        <item m="1" x="48"/>
        <item m="1" x="11"/>
        <item t="default"/>
      </items>
    </pivotField>
    <pivotField showAll="0"/>
    <pivotField showAll="0"/>
    <pivotField showAll="0" defaultSubtotal="0"/>
    <pivotField showAll="0"/>
    <pivotField axis="axisRow" multipleItemSelectionAllowed="1" showAll="0">
      <items count="15">
        <item h="1" x="0"/>
        <item h="1" x="1"/>
        <item x="2"/>
        <item x="6"/>
        <item x="5"/>
        <item x="3"/>
        <item x="7"/>
        <item x="4"/>
        <item m="1" x="13"/>
        <item m="1" x="12"/>
        <item m="1" x="8"/>
        <item m="1" x="9"/>
        <item m="1" x="11"/>
        <item h="1"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dataField="1" showAll="0"/>
    <pivotField showAll="0"/>
    <pivotField axis="axisPage" multipleItemSelectionAllowed="1" showAll="0" defaultSubtotal="0">
      <items count="2">
        <item x="0"/>
        <item x="1"/>
      </items>
    </pivotField>
    <pivotField showAll="0" defaultSubtotal="0"/>
    <pivotField showAll="0" defaultSubtotal="0"/>
    <pivotField multipleItemSelectionAllowed="1" showAll="0" defaultSubtotal="0"/>
    <pivotField showAll="0" defaultSubtotal="0"/>
  </pivotFields>
  <rowFields count="1">
    <field x="2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55" hier="-1"/>
    <pageField fld="15" hier="-1"/>
  </pageFields>
  <dataFields count="1">
    <dataField name=" Total Error occurrences" fld="53" baseField="0" baseItem="0"/>
  </dataFields>
  <formats count="14">
    <format dxfId="398">
      <pivotArea type="all" dataOnly="0" outline="0" fieldPosition="0"/>
    </format>
    <format dxfId="397">
      <pivotArea outline="0" collapsedLevelsAreSubtotals="1" fieldPosition="0"/>
    </format>
    <format dxfId="396">
      <pivotArea field="9" type="button" dataOnly="0" labelOnly="1" outline="0"/>
    </format>
    <format dxfId="395">
      <pivotArea dataOnly="0" labelOnly="1" grandRow="1" outline="0" fieldPosition="0"/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field="9" type="button" dataOnly="0" labelOnly="1" outline="0"/>
    </format>
    <format dxfId="391">
      <pivotArea dataOnly="0" labelOnly="1" grandRow="1" outline="0" fieldPosition="0"/>
    </format>
    <format dxfId="390">
      <pivotArea type="all" dataOnly="0" outline="0" fieldPosition="0"/>
    </format>
    <format dxfId="389">
      <pivotArea outline="0" collapsedLevelsAreSubtotals="1" fieldPosition="0"/>
    </format>
    <format dxfId="388">
      <pivotArea field="20" type="button" dataOnly="0" labelOnly="1" outline="0" axis="axisRow" fieldPosition="0"/>
    </format>
    <format dxfId="387">
      <pivotArea dataOnly="0" labelOnly="1" outline="0" axis="axisValues" fieldPosition="0"/>
    </format>
    <format dxfId="386">
      <pivotArea dataOnly="0" labelOnly="1" fieldPosition="0">
        <references count="1">
          <reference field="20" count="0"/>
        </references>
      </pivotArea>
    </format>
    <format dxfId="385">
      <pivotArea dataOnly="0" labelOnly="1" grandRow="1" outline="0" fieldPosition="0"/>
    </format>
  </formats>
  <chartFormats count="1">
    <chartFormat chart="123" format="12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B000000}" name="PivotTable7" cacheId="16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esponsible User Name / Error Name" colHeaderCaption="UserStatus">
  <location ref="B3:D42" firstHeaderRow="1" firstDataRow="2" firstDataCol="1"/>
  <pivotFields count="60">
    <pivotField numFmtId="47" showAll="0"/>
    <pivotField numFmtId="47" showAll="0"/>
    <pivotField numFmtId="47" showAll="0"/>
    <pivotField numFmtId="47" showAll="0"/>
    <pivotField numFmtId="22" showAll="0"/>
    <pivotField numFmtId="22" showAll="0"/>
    <pivotField showAll="0"/>
    <pivotField showAll="0"/>
    <pivotField showAll="0"/>
    <pivotField showAll="0">
      <items count="5">
        <item m="1" x="2"/>
        <item x="0"/>
        <item m="1" x="1"/>
        <item m="1" x="3"/>
        <item t="default"/>
      </items>
    </pivotField>
    <pivotField showAll="0"/>
    <pivotField showAll="0"/>
    <pivotField showAll="0"/>
    <pivotField showAll="0" defaultSubtotal="0"/>
    <pivotField showAll="0"/>
    <pivotField axis="axisRow" showAll="0" sortType="descending">
      <items count="58">
        <item m="1" x="24"/>
        <item m="1" x="17"/>
        <item x="0"/>
        <item m="1" x="53"/>
        <item m="1" x="46"/>
        <item x="6"/>
        <item x="9"/>
        <item m="1" x="27"/>
        <item m="1" x="36"/>
        <item x="5"/>
        <item m="1" x="14"/>
        <item m="1" x="25"/>
        <item m="1" x="28"/>
        <item x="4"/>
        <item x="1"/>
        <item m="1" x="38"/>
        <item m="1" x="12"/>
        <item m="1" x="45"/>
        <item m="1" x="29"/>
        <item m="1" x="22"/>
        <item m="1" x="52"/>
        <item m="1" x="35"/>
        <item m="1" x="49"/>
        <item m="1" x="16"/>
        <item m="1" x="32"/>
        <item x="2"/>
        <item x="3"/>
        <item m="1" x="34"/>
        <item m="1" x="18"/>
        <item m="1" x="20"/>
        <item m="1" x="15"/>
        <item m="1" x="30"/>
        <item m="1" x="42"/>
        <item m="1" x="23"/>
        <item m="1" x="43"/>
        <item m="1" x="26"/>
        <item x="8"/>
        <item m="1" x="10"/>
        <item m="1" x="51"/>
        <item m="1" x="50"/>
        <item m="1" x="56"/>
        <item m="1" x="47"/>
        <item m="1" x="55"/>
        <item m="1" x="33"/>
        <item m="1" x="54"/>
        <item m="1" x="39"/>
        <item m="1" x="44"/>
        <item m="1" x="40"/>
        <item x="7"/>
        <item m="1" x="13"/>
        <item m="1" x="41"/>
        <item m="1" x="37"/>
        <item m="1" x="19"/>
        <item m="1" x="21"/>
        <item m="1" x="31"/>
        <item m="1" x="48"/>
        <item m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/>
    <pivotField axis="axisRow" showAll="0" sortType="descending">
      <items count="15">
        <item h="1" x="0"/>
        <item h="1" x="1"/>
        <item x="2"/>
        <item x="6"/>
        <item x="5"/>
        <item x="3"/>
        <item x="7"/>
        <item x="4"/>
        <item m="1" x="13"/>
        <item m="1" x="12"/>
        <item m="1" x="8"/>
        <item m="1" x="9"/>
        <item m="1" x="11"/>
        <item h="1"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2">
        <item x="0"/>
        <item x="1"/>
      </items>
    </pivotField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/>
    <pivotField showAll="0"/>
    <pivotField axis="axisCol" showAll="0" defaultSubtotal="0">
      <items count="2">
        <item x="0"/>
        <item h="1" x="1"/>
      </items>
    </pivotField>
    <pivotField showAll="0" defaultSubtotal="0"/>
    <pivotField showAll="0" defaultSubtotal="0"/>
    <pivotField multipleItemSelectionAllowed="1" showAll="0" defaultSubtotal="0"/>
    <pivotField showAll="0" defaultSubtotal="0"/>
  </pivotFields>
  <rowFields count="2">
    <field x="15"/>
    <field x="20"/>
  </rowFields>
  <rowItems count="38">
    <i>
      <x v="6"/>
    </i>
    <i r="1">
      <x v="3"/>
    </i>
    <i r="1">
      <x v="2"/>
    </i>
    <i r="1">
      <x v="7"/>
    </i>
    <i r="1">
      <x v="4"/>
    </i>
    <i>
      <x v="48"/>
    </i>
    <i r="1">
      <x v="2"/>
    </i>
    <i r="1">
      <x v="7"/>
    </i>
    <i r="1">
      <x v="3"/>
    </i>
    <i>
      <x v="25"/>
    </i>
    <i r="1">
      <x v="2"/>
    </i>
    <i r="1">
      <x v="3"/>
    </i>
    <i r="1">
      <x v="6"/>
    </i>
    <i r="1">
      <x v="7"/>
    </i>
    <i r="1">
      <x v="4"/>
    </i>
    <i>
      <x v="5"/>
    </i>
    <i r="1">
      <x v="2"/>
    </i>
    <i r="1">
      <x v="3"/>
    </i>
    <i r="1">
      <x v="7"/>
    </i>
    <i>
      <x v="26"/>
    </i>
    <i r="1">
      <x v="2"/>
    </i>
    <i r="1">
      <x v="5"/>
    </i>
    <i r="1">
      <x v="3"/>
    </i>
    <i>
      <x v="2"/>
    </i>
    <i r="1">
      <x v="2"/>
    </i>
    <i r="1">
      <x v="7"/>
    </i>
    <i r="1">
      <x v="5"/>
    </i>
    <i>
      <x v="36"/>
    </i>
    <i r="1">
      <x v="2"/>
    </i>
    <i r="1">
      <x v="4"/>
    </i>
    <i r="1">
      <x v="7"/>
    </i>
    <i r="1">
      <x v="3"/>
    </i>
    <i>
      <x v="14"/>
    </i>
    <i r="1">
      <x v="2"/>
    </i>
    <i r="1">
      <x v="7"/>
    </i>
    <i>
      <x v="13"/>
    </i>
    <i r="1">
      <x v="2"/>
    </i>
    <i t="grand">
      <x/>
    </i>
  </rowItems>
  <colFields count="1">
    <field x="55"/>
  </colFields>
  <colItems count="2">
    <i>
      <x/>
    </i>
    <i t="grand">
      <x/>
    </i>
  </colItems>
  <dataFields count="1">
    <dataField name="Occurrences of Error" fld="21" baseField="0" baseItem="0"/>
  </dataFields>
  <formats count="8">
    <format dxfId="295">
      <pivotArea type="all" dataOnly="0" outline="0" fieldPosition="0"/>
    </format>
    <format dxfId="296">
      <pivotArea outline="0" collapsedLevelsAreSubtotals="1" fieldPosition="0"/>
    </format>
    <format dxfId="297">
      <pivotArea field="9" type="button" dataOnly="0" labelOnly="1" outline="0"/>
    </format>
    <format dxfId="298">
      <pivotArea dataOnly="0" labelOnly="1" grandRow="1" outline="0" fieldPosition="0"/>
    </format>
    <format dxfId="299">
      <pivotArea type="all" dataOnly="0" outline="0" fieldPosition="0"/>
    </format>
    <format dxfId="300">
      <pivotArea outline="0" collapsedLevelsAreSubtotals="1" fieldPosition="0"/>
    </format>
    <format dxfId="301">
      <pivotArea field="9" type="button" dataOnly="0" labelOnly="1" outline="0"/>
    </format>
    <format dxfId="302">
      <pivotArea dataOnly="0" labelOnly="1" grandRow="1" outline="0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A000000}" name="PivotTable5" cacheId="16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User Name" colHeaderCaption=" ">
  <location ref="F4:I17" firstHeaderRow="1" firstDataRow="2" firstDataCol="1" rowPageCount="1" colPageCount="1"/>
  <pivotFields count="60">
    <pivotField numFmtId="47" showAll="0"/>
    <pivotField numFmtId="47" showAll="0"/>
    <pivotField numFmtId="47" showAll="0"/>
    <pivotField numFmtId="47" showAll="0"/>
    <pivotField numFmtId="22" showAll="0"/>
    <pivotField numFmtId="22" showAll="0"/>
    <pivotField showAll="0"/>
    <pivotField showAll="0"/>
    <pivotField showAll="0"/>
    <pivotField showAll="0">
      <items count="5">
        <item m="1" x="2"/>
        <item x="0"/>
        <item m="1" x="1"/>
        <item m="1" x="3"/>
        <item t="default"/>
      </items>
    </pivotField>
    <pivotField dataField="1" showAll="0"/>
    <pivotField showAll="0"/>
    <pivotField showAll="0"/>
    <pivotField showAll="0" defaultSubtotal="0"/>
    <pivotField showAll="0"/>
    <pivotField axis="axisRow" showAll="0" sortType="descending">
      <items count="58">
        <item m="1" x="24"/>
        <item m="1" x="17"/>
        <item x="0"/>
        <item m="1" x="53"/>
        <item m="1" x="46"/>
        <item x="6"/>
        <item x="9"/>
        <item m="1" x="27"/>
        <item m="1" x="36"/>
        <item x="5"/>
        <item m="1" x="14"/>
        <item m="1" x="25"/>
        <item m="1" x="28"/>
        <item x="4"/>
        <item x="1"/>
        <item m="1" x="38"/>
        <item m="1" x="12"/>
        <item m="1" x="45"/>
        <item m="1" x="29"/>
        <item m="1" x="22"/>
        <item m="1" x="52"/>
        <item m="1" x="35"/>
        <item m="1" x="49"/>
        <item m="1" x="16"/>
        <item m="1" x="32"/>
        <item x="2"/>
        <item x="3"/>
        <item m="1" x="34"/>
        <item m="1" x="18"/>
        <item m="1" x="20"/>
        <item m="1" x="15"/>
        <item m="1" x="30"/>
        <item m="1" x="42"/>
        <item m="1" x="23"/>
        <item m="1" x="43"/>
        <item m="1" x="26"/>
        <item x="8"/>
        <item m="1" x="10"/>
        <item m="1" x="51"/>
        <item m="1" x="50"/>
        <item m="1" x="56"/>
        <item m="1" x="47"/>
        <item m="1" x="55"/>
        <item m="1" x="33"/>
        <item m="1" x="54"/>
        <item m="1" x="39"/>
        <item m="1" x="44"/>
        <item m="1" x="40"/>
        <item x="7"/>
        <item m="1" x="13"/>
        <item m="1" x="41"/>
        <item m="1" x="37"/>
        <item m="1" x="19"/>
        <item m="1" x="21"/>
        <item m="1" x="31"/>
        <item m="1" x="48"/>
        <item m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 defaultSubtotal="0"/>
    <pivotField showAll="0" defaultSubtotal="0"/>
    <pivotField axis="axisCol" showAll="0" defaultSubtotal="0">
      <items count="2">
        <item x="0"/>
        <item x="1"/>
      </items>
    </pivotField>
    <pivotField showAl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showAll="0"/>
    <pivotField axis="axisPage" showAll="0" defaultSubtotal="0">
      <items count="2">
        <item x="0"/>
        <item x="1"/>
      </items>
    </pivotField>
    <pivotField showAll="0"/>
    <pivotField showAll="0"/>
    <pivotField showAll="0"/>
    <pivotField axis="axisRow" showAll="0" defaultSubtotal="0">
      <items count="2">
        <item x="0"/>
        <item h="1" x="1"/>
      </items>
    </pivotField>
    <pivotField showAll="0" defaultSubtotal="0"/>
    <pivotField showAll="0"/>
    <pivotField multipleItemSelectionAllowed="1" showAll="0" defaultSubtotal="0"/>
    <pivotField showAll="0" defaultSubtotal="0"/>
  </pivotFields>
  <rowFields count="2">
    <field x="55"/>
    <field x="15"/>
  </rowFields>
  <rowItems count="12">
    <i>
      <x/>
    </i>
    <i r="1">
      <x v="25"/>
    </i>
    <i r="1">
      <x v="48"/>
    </i>
    <i r="1">
      <x v="26"/>
    </i>
    <i r="1">
      <x v="6"/>
    </i>
    <i r="1">
      <x v="14"/>
    </i>
    <i r="1">
      <x v="13"/>
    </i>
    <i r="1">
      <x v="2"/>
    </i>
    <i r="1">
      <x v="5"/>
    </i>
    <i r="1">
      <x v="36"/>
    </i>
    <i r="1">
      <x v="9"/>
    </i>
    <i t="grand">
      <x/>
    </i>
  </rowItems>
  <colFields count="1">
    <field x="39"/>
  </colFields>
  <colItems count="3">
    <i>
      <x/>
    </i>
    <i>
      <x v="1"/>
    </i>
    <i t="grand">
      <x/>
    </i>
  </colItems>
  <pageFields count="1">
    <pageField fld="51" item="0" hier="-1"/>
  </pageFields>
  <dataFields count="1">
    <dataField name=" " fld="10" subtotal="count" baseField="0" baseItem="0"/>
  </dataFields>
  <formats count="8">
    <format dxfId="384">
      <pivotArea type="all" dataOnly="0" outline="0" fieldPosition="0"/>
    </format>
    <format dxfId="383">
      <pivotArea outline="0" collapsedLevelsAreSubtotals="1" fieldPosition="0"/>
    </format>
    <format dxfId="382">
      <pivotArea field="9" type="button" dataOnly="0" labelOnly="1" outline="0"/>
    </format>
    <format dxfId="381">
      <pivotArea dataOnly="0" labelOnly="1" grandRow="1" outline="0" fieldPosition="0"/>
    </format>
    <format dxfId="380">
      <pivotArea type="all" dataOnly="0" outline="0" fieldPosition="0"/>
    </format>
    <format dxfId="379">
      <pivotArea outline="0" collapsedLevelsAreSubtotals="1" fieldPosition="0"/>
    </format>
    <format dxfId="378">
      <pivotArea field="9" type="button" dataOnly="0" labelOnly="1" outline="0"/>
    </format>
    <format dxfId="377">
      <pivotArea dataOnly="0" labelOnly="1" grandRow="1" outline="0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D000000}" name="PivotTable6" cacheId="165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5" indent="0" compact="0" compactData="0" multipleFieldFilters="0" rowHeaderCaption="User Name" colHeaderCaption=" " fieldListSortAscending="1">
  <location ref="B4:H231" firstHeaderRow="1" firstDataRow="2" firstDataCol="4" rowPageCount="2" colPageCount="1"/>
  <pivotFields count="60">
    <pivotField compact="0" numFmtId="47" outline="0" showAll="0"/>
    <pivotField compact="0" numFmtId="47" outline="0" showAll="0"/>
    <pivotField compact="0" numFmtId="47" outline="0" showAll="0"/>
    <pivotField compact="0" numFmtId="47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m="1" x="2"/>
        <item x="0"/>
        <item m="1" x="1"/>
        <item m="1" x="3"/>
        <item t="default"/>
      </items>
    </pivotField>
    <pivotField dataField="1" compact="0" outline="0" showAll="0"/>
    <pivotField axis="axisRow" compact="0" outline="0" showAll="0" defaultSubtotal="0">
      <items count="419">
        <item m="1" x="211"/>
        <item m="1" x="300"/>
        <item m="1" x="188"/>
        <item m="1" x="274"/>
        <item x="7"/>
        <item m="1" x="242"/>
        <item x="38"/>
        <item m="1" x="87"/>
        <item m="1" x="276"/>
        <item m="1" x="349"/>
        <item m="1" x="192"/>
        <item x="80"/>
        <item m="1" x="366"/>
        <item m="1" x="149"/>
        <item m="1" x="122"/>
        <item m="1" x="275"/>
        <item m="1" x="418"/>
        <item m="1" x="143"/>
        <item m="1" x="102"/>
        <item m="1" x="267"/>
        <item m="1" x="263"/>
        <item m="1" x="96"/>
        <item m="1" x="245"/>
        <item m="1" x="309"/>
        <item m="1" x="191"/>
        <item m="1" x="93"/>
        <item m="1" x="297"/>
        <item m="1" x="206"/>
        <item m="1" x="350"/>
        <item x="2"/>
        <item m="1" x="306"/>
        <item m="1" x="200"/>
        <item m="1" x="273"/>
        <item m="1" x="185"/>
        <item m="1" x="337"/>
        <item m="1" x="339"/>
        <item m="1" x="284"/>
        <item m="1" x="107"/>
        <item m="1" x="140"/>
        <item m="1" x="393"/>
        <item m="1" x="301"/>
        <item m="1" x="112"/>
        <item x="79"/>
        <item m="1" x="157"/>
        <item m="1" x="336"/>
        <item x="13"/>
        <item m="1" x="261"/>
        <item m="1" x="385"/>
        <item m="1" x="160"/>
        <item m="1" x="84"/>
        <item m="1" x="325"/>
        <item m="1" x="285"/>
        <item x="68"/>
        <item m="1" x="123"/>
        <item m="1" x="222"/>
        <item x="34"/>
        <item x="4"/>
        <item m="1" x="404"/>
        <item m="1" x="150"/>
        <item m="1" x="133"/>
        <item m="1" x="137"/>
        <item m="1" x="153"/>
        <item m="1" x="329"/>
        <item m="1" x="342"/>
        <item m="1" x="198"/>
        <item m="1" x="92"/>
        <item m="1" x="247"/>
        <item m="1" x="280"/>
        <item m="1" x="272"/>
        <item m="1" x="408"/>
        <item m="1" x="103"/>
        <item m="1" x="271"/>
        <item m="1" x="232"/>
        <item x="54"/>
        <item m="1" x="126"/>
        <item x="16"/>
        <item m="1" x="189"/>
        <item m="1" x="110"/>
        <item m="1" x="324"/>
        <item m="1" x="145"/>
        <item x="62"/>
        <item m="1" x="205"/>
        <item m="1" x="315"/>
        <item m="1" x="409"/>
        <item x="17"/>
        <item m="1" x="165"/>
        <item m="1" x="367"/>
        <item m="1" x="141"/>
        <item x="19"/>
        <item m="1" x="130"/>
        <item m="1" x="114"/>
        <item m="1" x="348"/>
        <item m="1" x="392"/>
        <item m="1" x="88"/>
        <item m="1" x="390"/>
        <item m="1" x="391"/>
        <item m="1" x="148"/>
        <item m="1" x="417"/>
        <item x="37"/>
        <item m="1" x="318"/>
        <item m="1" x="368"/>
        <item m="1" x="268"/>
        <item m="1" x="253"/>
        <item x="33"/>
        <item m="1" x="266"/>
        <item m="1" x="199"/>
        <item m="1" x="162"/>
        <item m="1" x="400"/>
        <item m="1" x="172"/>
        <item m="1" x="406"/>
        <item x="12"/>
        <item m="1" x="357"/>
        <item m="1" x="303"/>
        <item m="1" x="196"/>
        <item m="1" x="402"/>
        <item m="1" x="233"/>
        <item x="5"/>
        <item m="1" x="256"/>
        <item m="1" x="361"/>
        <item m="1" x="326"/>
        <item x="72"/>
        <item m="1" x="355"/>
        <item x="58"/>
        <item m="1" x="414"/>
        <item m="1" x="209"/>
        <item m="1" x="136"/>
        <item m="1" x="218"/>
        <item m="1" x="341"/>
        <item x="32"/>
        <item x="30"/>
        <item m="1" x="221"/>
        <item m="1" x="395"/>
        <item m="1" x="240"/>
        <item m="1" x="146"/>
        <item m="1" x="277"/>
        <item m="1" x="94"/>
        <item m="1" x="182"/>
        <item x="26"/>
        <item x="51"/>
        <item m="1" x="213"/>
        <item m="1" x="313"/>
        <item m="1" x="170"/>
        <item m="1" x="183"/>
        <item m="1" x="134"/>
        <item m="1" x="98"/>
        <item x="43"/>
        <item m="1" x="158"/>
        <item m="1" x="101"/>
        <item m="1" x="360"/>
        <item m="1" x="204"/>
        <item m="1" x="283"/>
        <item m="1" x="91"/>
        <item m="1" x="113"/>
        <item m="1" x="95"/>
        <item x="36"/>
        <item m="1" x="159"/>
        <item x="14"/>
        <item x="45"/>
        <item m="1" x="224"/>
        <item m="1" x="217"/>
        <item m="1" x="166"/>
        <item m="1" x="290"/>
        <item m="1" x="278"/>
        <item m="1" x="214"/>
        <item m="1" x="177"/>
        <item m="1" x="147"/>
        <item m="1" x="363"/>
        <item m="1" x="85"/>
        <item x="8"/>
        <item m="1" x="358"/>
        <item x="25"/>
        <item x="66"/>
        <item x="15"/>
        <item m="1" x="237"/>
        <item x="10"/>
        <item m="1" x="131"/>
        <item x="3"/>
        <item m="1" x="415"/>
        <item m="1" x="184"/>
        <item m="1" x="321"/>
        <item m="1" x="203"/>
        <item m="1" x="226"/>
        <item m="1" x="387"/>
        <item m="1" x="241"/>
        <item m="1" x="207"/>
        <item m="1" x="335"/>
        <item x="74"/>
        <item x="39"/>
        <item m="1" x="251"/>
        <item x="0"/>
        <item m="1" x="311"/>
        <item x="76"/>
        <item x="22"/>
        <item m="1" x="288"/>
        <item x="55"/>
        <item x="47"/>
        <item m="1" x="156"/>
        <item m="1" x="377"/>
        <item x="18"/>
        <item m="1" x="152"/>
        <item x="50"/>
        <item m="1" x="230"/>
        <item m="1" x="167"/>
        <item x="61"/>
        <item m="1" x="264"/>
        <item m="1" x="411"/>
        <item x="27"/>
        <item m="1" x="176"/>
        <item m="1" x="346"/>
        <item m="1" x="401"/>
        <item m="1" x="279"/>
        <item m="1" x="249"/>
        <item m="1" x="330"/>
        <item m="1" x="234"/>
        <item x="40"/>
        <item m="1" x="375"/>
        <item m="1" x="374"/>
        <item m="1" x="208"/>
        <item m="1" x="99"/>
        <item m="1" x="255"/>
        <item m="1" x="416"/>
        <item m="1" x="307"/>
        <item m="1" x="116"/>
        <item x="28"/>
        <item m="1" x="298"/>
        <item m="1" x="187"/>
        <item m="1" x="139"/>
        <item m="1" x="163"/>
        <item m="1" x="173"/>
        <item m="1" x="120"/>
        <item m="1" x="154"/>
        <item x="77"/>
        <item m="1" x="345"/>
        <item m="1" x="398"/>
        <item m="1" x="338"/>
        <item x="20"/>
        <item m="1" x="356"/>
        <item x="73"/>
        <item x="75"/>
        <item m="1" x="227"/>
        <item m="1" x="179"/>
        <item m="1" x="104"/>
        <item x="69"/>
        <item m="1" x="178"/>
        <item m="1" x="365"/>
        <item m="1" x="322"/>
        <item m="1" x="228"/>
        <item x="60"/>
        <item m="1" x="410"/>
        <item x="9"/>
        <item x="6"/>
        <item m="1" x="388"/>
        <item m="1" x="164"/>
        <item m="1" x="225"/>
        <item x="57"/>
        <item m="1" x="382"/>
        <item m="1" x="219"/>
        <item m="1" x="174"/>
        <item x="70"/>
        <item m="1" x="111"/>
        <item m="1" x="304"/>
        <item x="31"/>
        <item x="42"/>
        <item m="1" x="383"/>
        <item m="1" x="210"/>
        <item m="1" x="282"/>
        <item x="44"/>
        <item m="1" x="372"/>
        <item m="1" x="327"/>
        <item m="1" x="314"/>
        <item m="1" x="412"/>
        <item m="1" x="193"/>
        <item m="1" x="97"/>
        <item m="1" x="231"/>
        <item m="1" x="215"/>
        <item m="1" x="413"/>
        <item m="1" x="405"/>
        <item m="1" x="334"/>
        <item m="1" x="286"/>
        <item m="1" x="294"/>
        <item m="1" x="380"/>
        <item m="1" x="202"/>
        <item m="1" x="82"/>
        <item m="1" x="362"/>
        <item m="1" x="169"/>
        <item m="1" x="121"/>
        <item m="1" x="373"/>
        <item m="1" x="364"/>
        <item m="1" x="259"/>
        <item m="1" x="127"/>
        <item m="1" x="281"/>
        <item m="1" x="168"/>
        <item m="1" x="258"/>
        <item m="1" x="399"/>
        <item m="1" x="109"/>
        <item m="1" x="142"/>
        <item m="1" x="186"/>
        <item m="1" x="269"/>
        <item m="1" x="386"/>
        <item m="1" x="248"/>
        <item m="1" x="379"/>
        <item m="1" x="117"/>
        <item m="1" x="292"/>
        <item m="1" x="305"/>
        <item m="1" x="293"/>
        <item m="1" x="354"/>
        <item m="1" x="352"/>
        <item x="71"/>
        <item m="1" x="312"/>
        <item m="1" x="265"/>
        <item x="24"/>
        <item m="1" x="299"/>
        <item m="1" x="235"/>
        <item m="1" x="396"/>
        <item m="1" x="100"/>
        <item m="1" x="197"/>
        <item m="1" x="347"/>
        <item m="1" x="310"/>
        <item m="1" x="378"/>
        <item m="1" x="370"/>
        <item m="1" x="115"/>
        <item m="1" x="138"/>
        <item x="29"/>
        <item m="1" x="119"/>
        <item x="41"/>
        <item m="1" x="144"/>
        <item x="35"/>
        <item m="1" x="353"/>
        <item m="1" x="89"/>
        <item m="1" x="105"/>
        <item m="1" x="250"/>
        <item x="63"/>
        <item m="1" x="175"/>
        <item m="1" x="389"/>
        <item m="1" x="106"/>
        <item m="1" x="118"/>
        <item x="23"/>
        <item m="1" x="394"/>
        <item x="59"/>
        <item m="1" x="180"/>
        <item m="1" x="340"/>
        <item x="56"/>
        <item m="1" x="246"/>
        <item m="1" x="90"/>
        <item m="1" x="125"/>
        <item m="1" x="260"/>
        <item x="11"/>
        <item m="1" x="155"/>
        <item x="21"/>
        <item m="1" x="216"/>
        <item m="1" x="369"/>
        <item m="1" x="331"/>
        <item m="1" x="108"/>
        <item m="1" x="371"/>
        <item m="1" x="243"/>
        <item m="1" x="291"/>
        <item m="1" x="289"/>
        <item m="1" x="317"/>
        <item m="1" x="270"/>
        <item x="65"/>
        <item m="1" x="287"/>
        <item x="81"/>
        <item x="52"/>
        <item m="1" x="308"/>
        <item x="49"/>
        <item m="1" x="351"/>
        <item m="1" x="161"/>
        <item m="1" x="407"/>
        <item m="1" x="132"/>
        <item m="1" x="359"/>
        <item m="1" x="181"/>
        <item m="1" x="212"/>
        <item m="1" x="319"/>
        <item m="1" x="296"/>
        <item m="1" x="135"/>
        <item m="1" x="171"/>
        <item m="1" x="328"/>
        <item x="46"/>
        <item m="1" x="239"/>
        <item m="1" x="332"/>
        <item m="1" x="238"/>
        <item m="1" x="220"/>
        <item m="1" x="252"/>
        <item m="1" x="223"/>
        <item x="67"/>
        <item m="1" x="229"/>
        <item m="1" x="190"/>
        <item m="1" x="333"/>
        <item m="1" x="201"/>
        <item m="1" x="86"/>
        <item m="1" x="124"/>
        <item m="1" x="129"/>
        <item m="1" x="295"/>
        <item m="1" x="151"/>
        <item m="1" x="381"/>
        <item x="53"/>
        <item m="1" x="195"/>
        <item m="1" x="194"/>
        <item m="1" x="83"/>
        <item m="1" x="254"/>
        <item x="78"/>
        <item m="1" x="128"/>
        <item m="1" x="384"/>
        <item m="1" x="244"/>
        <item m="1" x="316"/>
        <item m="1" x="236"/>
        <item m="1" x="257"/>
        <item m="1" x="323"/>
        <item m="1" x="343"/>
        <item m="1" x="344"/>
        <item x="64"/>
        <item m="1" x="376"/>
        <item m="1" x="262"/>
        <item m="1" x="403"/>
        <item m="1" x="320"/>
        <item x="1"/>
        <item m="1" x="397"/>
        <item x="48"/>
        <item m="1" x="302"/>
      </items>
    </pivotField>
    <pivotField axis="axisRow" compact="0" outline="0" showAll="0">
      <items count="49">
        <item x="14"/>
        <item x="1"/>
        <item x="6"/>
        <item x="12"/>
        <item x="22"/>
        <item m="1" x="28"/>
        <item m="1" x="39"/>
        <item x="13"/>
        <item m="1" x="32"/>
        <item m="1" x="46"/>
        <item m="1" x="36"/>
        <item x="3"/>
        <item m="1" x="30"/>
        <item x="21"/>
        <item x="19"/>
        <item m="1" x="25"/>
        <item m="1" x="38"/>
        <item m="1" x="31"/>
        <item x="2"/>
        <item m="1" x="26"/>
        <item x="0"/>
        <item x="11"/>
        <item m="1" x="27"/>
        <item m="1" x="45"/>
        <item m="1" x="37"/>
        <item x="9"/>
        <item m="1" x="44"/>
        <item x="17"/>
        <item x="7"/>
        <item x="8"/>
        <item m="1" x="47"/>
        <item x="16"/>
        <item x="24"/>
        <item x="20"/>
        <item m="1" x="40"/>
        <item x="4"/>
        <item m="1" x="43"/>
        <item x="10"/>
        <item x="18"/>
        <item m="1" x="42"/>
        <item m="1" x="41"/>
        <item x="5"/>
        <item x="15"/>
        <item x="23"/>
        <item m="1" x="29"/>
        <item m="1" x="34"/>
        <item m="1" x="35"/>
        <item m="1" x="33"/>
        <item t="default"/>
      </items>
    </pivotField>
    <pivotField compact="0" outline="0" showAll="0" defaultSubtotal="0"/>
    <pivotField compact="0" outline="0" showAll="0"/>
    <pivotField axis="axisRow" compact="0" outline="0" showAll="0" sortType="descending">
      <items count="58">
        <item m="1" x="24"/>
        <item m="1" x="17"/>
        <item x="0"/>
        <item m="1" x="53"/>
        <item m="1" x="46"/>
        <item x="6"/>
        <item x="9"/>
        <item m="1" x="27"/>
        <item m="1" x="36"/>
        <item x="5"/>
        <item m="1" x="14"/>
        <item m="1" x="25"/>
        <item m="1" x="28"/>
        <item x="4"/>
        <item x="1"/>
        <item m="1" x="38"/>
        <item m="1" x="12"/>
        <item m="1" x="45"/>
        <item m="1" x="29"/>
        <item m="1" x="22"/>
        <item m="1" x="52"/>
        <item m="1" x="35"/>
        <item m="1" x="49"/>
        <item m="1" x="16"/>
        <item m="1" x="32"/>
        <item x="2"/>
        <item x="3"/>
        <item m="1" x="34"/>
        <item m="1" x="18"/>
        <item m="1" x="20"/>
        <item m="1" x="15"/>
        <item m="1" x="30"/>
        <item m="1" x="42"/>
        <item m="1" x="23"/>
        <item m="1" x="43"/>
        <item m="1" x="26"/>
        <item x="8"/>
        <item m="1" x="10"/>
        <item m="1" x="51"/>
        <item m="1" x="50"/>
        <item m="1" x="56"/>
        <item m="1" x="47"/>
        <item m="1" x="55"/>
        <item m="1" x="33"/>
        <item m="1" x="54"/>
        <item m="1" x="39"/>
        <item m="1" x="44"/>
        <item m="1" x="40"/>
        <item x="7"/>
        <item m="1" x="13"/>
        <item m="1" x="41"/>
        <item m="1" x="37"/>
        <item m="1" x="19"/>
        <item m="1" x="21"/>
        <item m="1" x="31"/>
        <item m="1" x="48"/>
        <item m="1" x="1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9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outline="0" showAl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/>
    <pivotField compact="0" outline="0" showAll="0"/>
    <pivotField axis="axisPage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axis="axisRow" compact="0" outline="0" showAll="0">
      <items count="18">
        <item x="3"/>
        <item x="12"/>
        <item x="7"/>
        <item x="4"/>
        <item x="11"/>
        <item x="16"/>
        <item x="10"/>
        <item x="14"/>
        <item x="9"/>
        <item x="6"/>
        <item x="1"/>
        <item x="13"/>
        <item x="5"/>
        <item x="15"/>
        <item x="8"/>
        <item x="2"/>
        <item x="0"/>
        <item t="default"/>
      </items>
    </pivotField>
    <pivotField axis="axisPage" compact="0" outline="0" multipleItemSelectionAllowed="1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</pivotFields>
  <rowFields count="4">
    <field x="15"/>
    <field x="54"/>
    <field x="12"/>
    <field x="11"/>
  </rowFields>
  <rowItems count="226">
    <i>
      <x v="6"/>
      <x v="11"/>
      <x v="2"/>
      <x v="84"/>
    </i>
    <i r="3">
      <x v="203"/>
    </i>
    <i t="default" r="2">
      <x v="2"/>
    </i>
    <i r="2">
      <x v="3"/>
      <x v="55"/>
    </i>
    <i r="3">
      <x v="80"/>
    </i>
    <i r="3">
      <x v="154"/>
    </i>
    <i r="3">
      <x v="262"/>
    </i>
    <i t="default" r="2">
      <x v="3"/>
    </i>
    <i r="2">
      <x v="11"/>
      <x v="359"/>
    </i>
    <i t="default" r="2">
      <x v="11"/>
    </i>
    <i r="2">
      <x v="14"/>
      <x v="122"/>
    </i>
    <i t="default" r="2">
      <x v="14"/>
    </i>
    <i r="2">
      <x v="27"/>
      <x v="194"/>
    </i>
    <i t="default" r="2">
      <x v="27"/>
    </i>
    <i t="default" r="1">
      <x v="11"/>
    </i>
    <i t="default">
      <x v="6"/>
    </i>
    <i>
      <x v="25"/>
      <x v="15"/>
      <x v="1"/>
      <x v="116"/>
    </i>
    <i r="3">
      <x v="156"/>
    </i>
    <i r="3">
      <x v="176"/>
    </i>
    <i r="3">
      <x v="415"/>
    </i>
    <i t="default" r="2">
      <x v="1"/>
    </i>
    <i r="2">
      <x v="18"/>
      <x v="129"/>
    </i>
    <i t="default" r="2">
      <x v="18"/>
    </i>
    <i r="2">
      <x v="20"/>
      <x v="45"/>
    </i>
    <i r="3">
      <x v="172"/>
    </i>
    <i r="3">
      <x v="189"/>
    </i>
    <i t="default" r="2">
      <x v="20"/>
    </i>
    <i r="2">
      <x v="35"/>
      <x v="110"/>
    </i>
    <i r="3">
      <x v="200"/>
    </i>
    <i r="3">
      <x v="249"/>
    </i>
    <i r="3">
      <x v="261"/>
    </i>
    <i r="3">
      <x v="266"/>
    </i>
    <i r="3">
      <x v="310"/>
    </i>
    <i r="3">
      <x v="322"/>
    </i>
    <i r="3">
      <x v="346"/>
    </i>
    <i t="default" r="2">
      <x v="35"/>
    </i>
    <i r="2">
      <x v="41"/>
      <x v="75"/>
    </i>
    <i r="3">
      <x v="174"/>
    </i>
    <i t="default" r="2">
      <x v="41"/>
    </i>
    <i r="2">
      <x v="42"/>
      <x v="157"/>
    </i>
    <i t="default" r="2">
      <x v="42"/>
    </i>
    <i t="default" r="1">
      <x v="15"/>
    </i>
    <i t="default">
      <x v="25"/>
    </i>
    <i>
      <x v="48"/>
      <x v="14"/>
      <x v="3"/>
      <x v="154"/>
    </i>
    <i r="3">
      <x v="195"/>
    </i>
    <i r="3">
      <x v="262"/>
    </i>
    <i r="3">
      <x v="364"/>
    </i>
    <i t="default" r="2">
      <x v="3"/>
    </i>
    <i r="2">
      <x v="11"/>
      <x v="52"/>
    </i>
    <i r="3">
      <x v="98"/>
    </i>
    <i r="3">
      <x v="250"/>
    </i>
    <i r="3">
      <x v="410"/>
    </i>
    <i t="default" r="2">
      <x v="11"/>
    </i>
    <i r="2">
      <x v="27"/>
      <x v="194"/>
    </i>
    <i t="default" r="2">
      <x v="27"/>
    </i>
    <i t="default" r="1">
      <x v="14"/>
    </i>
    <i t="default">
      <x v="48"/>
    </i>
    <i>
      <x v="9"/>
      <x v="2"/>
      <x v="7"/>
      <x v="326"/>
    </i>
    <i t="default" r="2">
      <x v="7"/>
    </i>
    <i r="2">
      <x v="33"/>
      <x v="247"/>
    </i>
    <i t="default" r="2">
      <x v="33"/>
    </i>
    <i t="default" r="1">
      <x v="2"/>
    </i>
    <i r="1">
      <x v="3"/>
      <x v="28"/>
      <x v="235"/>
    </i>
    <i t="default" r="2">
      <x v="28"/>
    </i>
    <i r="2">
      <x v="33"/>
      <x v="247"/>
    </i>
    <i t="default" r="2">
      <x v="33"/>
    </i>
    <i r="2">
      <x v="42"/>
      <x v="377"/>
    </i>
    <i t="default" r="2">
      <x v="42"/>
    </i>
    <i t="default" r="1">
      <x v="3"/>
    </i>
    <i r="1">
      <x v="4"/>
      <x v="41"/>
      <x v="417"/>
    </i>
    <i t="default" r="2">
      <x v="41"/>
    </i>
    <i t="default" r="1">
      <x v="4"/>
    </i>
    <i r="1">
      <x v="6"/>
      <x/>
      <x v="6"/>
    </i>
    <i t="default" r="2">
      <x/>
    </i>
    <i t="default" r="1">
      <x v="6"/>
    </i>
    <i r="1">
      <x v="8"/>
      <x/>
      <x v="6"/>
    </i>
    <i t="default" r="2">
      <x/>
    </i>
    <i r="2">
      <x v="18"/>
      <x v="187"/>
    </i>
    <i t="default" r="2">
      <x v="18"/>
    </i>
    <i t="default" r="1">
      <x v="8"/>
    </i>
    <i r="1">
      <x v="10"/>
      <x/>
      <x v="6"/>
    </i>
    <i t="default" r="2">
      <x/>
    </i>
    <i r="2">
      <x v="35"/>
      <x v="384"/>
    </i>
    <i t="default" r="2">
      <x v="35"/>
    </i>
    <i t="default" r="1">
      <x v="10"/>
    </i>
    <i r="1">
      <x v="12"/>
      <x v="13"/>
      <x v="331"/>
    </i>
    <i t="default" r="2">
      <x v="13"/>
    </i>
    <i r="2">
      <x v="29"/>
      <x v="138"/>
    </i>
    <i t="default" r="2">
      <x v="29"/>
    </i>
    <i t="default" r="1">
      <x v="12"/>
    </i>
    <i r="1">
      <x v="15"/>
      <x v="1"/>
      <x v="176"/>
    </i>
    <i t="default" r="2">
      <x v="1"/>
    </i>
    <i t="default" r="1">
      <x v="15"/>
    </i>
    <i t="default">
      <x v="9"/>
    </i>
    <i>
      <x v="36"/>
      <x v="1"/>
      <x v="11"/>
      <x v="171"/>
    </i>
    <i r="3">
      <x v="191"/>
    </i>
    <i r="3">
      <x v="237"/>
    </i>
    <i r="3">
      <x v="362"/>
    </i>
    <i r="3">
      <x v="395"/>
    </i>
    <i t="default" r="2">
      <x v="11"/>
    </i>
    <i r="2">
      <x v="27"/>
      <x v="194"/>
    </i>
    <i t="default" r="2">
      <x v="27"/>
    </i>
    <i r="2">
      <x v="31"/>
      <x v="73"/>
    </i>
    <i t="default" r="2">
      <x v="31"/>
    </i>
    <i r="2">
      <x v="38"/>
      <x v="214"/>
    </i>
    <i t="default" r="2">
      <x v="38"/>
    </i>
    <i t="default" r="1">
      <x v="1"/>
    </i>
    <i r="1">
      <x v="3"/>
      <x v="28"/>
      <x v="235"/>
    </i>
    <i t="default" r="2">
      <x v="28"/>
    </i>
    <i t="default" r="1">
      <x v="3"/>
    </i>
    <i r="1">
      <x v="5"/>
      <x v="3"/>
      <x v="11"/>
    </i>
    <i r="3">
      <x v="186"/>
    </i>
    <i t="default" r="2">
      <x v="3"/>
    </i>
    <i r="2">
      <x v="14"/>
      <x v="122"/>
    </i>
    <i t="default" r="2">
      <x v="14"/>
    </i>
    <i t="default" r="1">
      <x v="5"/>
    </i>
    <i r="1">
      <x v="7"/>
      <x v="4"/>
      <x v="242"/>
    </i>
    <i t="default" r="2">
      <x v="4"/>
    </i>
    <i r="2">
      <x v="11"/>
      <x v="254"/>
    </i>
    <i t="default" r="2">
      <x v="11"/>
    </i>
    <i r="2">
      <x v="38"/>
      <x v="214"/>
    </i>
    <i t="default" r="2">
      <x v="38"/>
    </i>
    <i r="2">
      <x v="43"/>
      <x v="238"/>
    </i>
    <i t="default" r="2">
      <x v="43"/>
    </i>
    <i t="default" r="1">
      <x v="7"/>
    </i>
    <i r="1">
      <x v="11"/>
      <x v="14"/>
      <x v="122"/>
    </i>
    <i t="default" r="2">
      <x v="14"/>
    </i>
    <i t="default" r="1">
      <x v="11"/>
    </i>
    <i r="1">
      <x v="13"/>
      <x v="11"/>
      <x v="98"/>
    </i>
    <i r="3">
      <x v="400"/>
    </i>
    <i t="default" r="2">
      <x v="11"/>
    </i>
    <i t="default" r="1">
      <x v="13"/>
    </i>
    <i r="1">
      <x v="16"/>
      <x v="33"/>
      <x v="247"/>
    </i>
    <i t="default" r="2">
      <x v="33"/>
    </i>
    <i r="2">
      <x v="41"/>
      <x v="120"/>
    </i>
    <i t="default" r="2">
      <x v="41"/>
    </i>
    <i t="default" r="1">
      <x v="16"/>
    </i>
    <i t="default">
      <x v="36"/>
    </i>
    <i>
      <x v="5"/>
      <x v="9"/>
      <x v="3"/>
      <x v="55"/>
    </i>
    <i r="3">
      <x v="154"/>
    </i>
    <i r="3">
      <x v="262"/>
    </i>
    <i r="3">
      <x v="338"/>
    </i>
    <i r="3">
      <x v="364"/>
    </i>
    <i t="default" r="2">
      <x v="3"/>
    </i>
    <i r="2">
      <x v="11"/>
      <x v="214"/>
    </i>
    <i r="3">
      <x v="324"/>
    </i>
    <i r="3">
      <x v="359"/>
    </i>
    <i t="default" r="2">
      <x v="11"/>
    </i>
    <i r="2">
      <x v="42"/>
      <x v="377"/>
    </i>
    <i t="default" r="2">
      <x v="42"/>
    </i>
    <i t="default" r="1">
      <x v="9"/>
    </i>
    <i t="default">
      <x v="5"/>
    </i>
    <i>
      <x v="14"/>
      <x v="10"/>
      <x v="1"/>
      <x v="4"/>
    </i>
    <i r="3">
      <x v="348"/>
    </i>
    <i t="default" r="2">
      <x v="1"/>
    </i>
    <i r="2">
      <x v="18"/>
      <x v="29"/>
    </i>
    <i r="3">
      <x v="198"/>
    </i>
    <i t="default" r="2">
      <x v="18"/>
    </i>
    <i r="2">
      <x v="20"/>
      <x v="45"/>
    </i>
    <i t="default" r="2">
      <x v="20"/>
    </i>
    <i r="2">
      <x v="25"/>
      <x v="137"/>
    </i>
    <i r="3">
      <x v="223"/>
    </i>
    <i r="3">
      <x v="336"/>
    </i>
    <i t="default" r="2">
      <x v="25"/>
    </i>
    <i r="2">
      <x v="35"/>
      <x v="110"/>
    </i>
    <i r="3">
      <x v="145"/>
    </i>
    <i r="3">
      <x v="200"/>
    </i>
    <i r="3">
      <x v="310"/>
    </i>
    <i r="3">
      <x v="322"/>
    </i>
    <i t="default" r="2">
      <x v="35"/>
    </i>
    <i t="default" r="1">
      <x v="10"/>
    </i>
    <i t="default">
      <x v="14"/>
    </i>
    <i>
      <x v="26"/>
      <x v="12"/>
      <x v="13"/>
      <x v="331"/>
    </i>
    <i t="default" r="2">
      <x v="13"/>
    </i>
    <i r="2">
      <x v="29"/>
      <x v="170"/>
    </i>
    <i r="3">
      <x v="192"/>
    </i>
    <i r="3">
      <x v="206"/>
    </i>
    <i t="default" r="2">
      <x v="29"/>
    </i>
    <i t="default" r="1">
      <x v="12"/>
    </i>
    <i t="default">
      <x v="26"/>
    </i>
    <i>
      <x v="2"/>
      <x/>
      <x v="11"/>
      <x v="250"/>
    </i>
    <i t="default" r="2">
      <x v="11"/>
    </i>
    <i t="default" r="1">
      <x/>
    </i>
    <i r="1">
      <x v="3"/>
      <x v="28"/>
      <x v="235"/>
    </i>
    <i t="default" r="2">
      <x v="28"/>
    </i>
    <i t="default" r="1">
      <x v="3"/>
    </i>
    <i r="1">
      <x v="16"/>
      <x v="1"/>
      <x v="4"/>
    </i>
    <i r="3">
      <x v="88"/>
    </i>
    <i r="3">
      <x v="116"/>
    </i>
    <i r="3">
      <x v="156"/>
    </i>
    <i r="3">
      <x v="176"/>
    </i>
    <i r="3">
      <x v="348"/>
    </i>
    <i r="3">
      <x v="415"/>
    </i>
    <i t="default" r="2">
      <x v="1"/>
    </i>
    <i r="2">
      <x v="2"/>
      <x v="84"/>
    </i>
    <i t="default" r="2">
      <x v="2"/>
    </i>
    <i r="2">
      <x v="18"/>
      <x v="29"/>
    </i>
    <i t="default" r="2">
      <x v="18"/>
    </i>
    <i r="2">
      <x v="20"/>
      <x v="56"/>
    </i>
    <i r="3">
      <x v="168"/>
    </i>
    <i r="3">
      <x v="189"/>
    </i>
    <i t="default" r="2">
      <x v="20"/>
    </i>
    <i r="2">
      <x v="35"/>
      <x v="249"/>
    </i>
    <i t="default" r="2">
      <x v="35"/>
    </i>
    <i t="default" r="1">
      <x v="16"/>
    </i>
    <i t="default">
      <x v="2"/>
    </i>
    <i>
      <x v="13"/>
      <x v="3"/>
      <x v="7"/>
      <x v="42"/>
    </i>
    <i t="default" r="2">
      <x v="7"/>
    </i>
    <i r="2">
      <x v="18"/>
      <x v="29"/>
    </i>
    <i r="3">
      <x v="187"/>
    </i>
    <i t="default" r="2">
      <x v="18"/>
    </i>
    <i r="2">
      <x v="21"/>
      <x v="198"/>
    </i>
    <i t="default" r="2">
      <x v="21"/>
    </i>
    <i r="2">
      <x v="32"/>
      <x v="361"/>
    </i>
    <i t="default" r="2">
      <x v="32"/>
    </i>
    <i r="2">
      <x v="37"/>
      <x v="103"/>
    </i>
    <i r="3">
      <x v="128"/>
    </i>
    <i r="3">
      <x v="231"/>
    </i>
    <i r="3">
      <x v="258"/>
    </i>
    <i r="3">
      <x v="341"/>
    </i>
    <i t="default" r="2">
      <x v="37"/>
    </i>
    <i r="2">
      <x v="42"/>
      <x v="307"/>
    </i>
    <i t="default" r="2">
      <x v="42"/>
    </i>
    <i t="default" r="1">
      <x v="3"/>
    </i>
    <i t="default">
      <x v="13"/>
    </i>
    <i t="grand">
      <x/>
    </i>
  </rowItems>
  <colFields count="1">
    <field x="39"/>
  </colFields>
  <colItems count="3">
    <i>
      <x/>
    </i>
    <i>
      <x v="1"/>
    </i>
    <i t="grand">
      <x/>
    </i>
  </colItems>
  <pageFields count="2">
    <pageField fld="51" item="0" hier="-1"/>
    <pageField fld="55" hier="-1"/>
  </pageFields>
  <dataFields count="1">
    <dataField name=" " fld="10" subtotal="count" baseField="0" baseItem="0"/>
  </dataFields>
  <formats count="29">
    <format dxfId="353">
      <pivotArea type="all" dataOnly="0" outline="0" fieldPosition="0"/>
    </format>
    <format dxfId="352">
      <pivotArea outline="0" collapsedLevelsAreSubtotals="1" fieldPosition="0"/>
    </format>
    <format dxfId="351">
      <pivotArea field="9" type="button" dataOnly="0" labelOnly="1" outline="0"/>
    </format>
    <format dxfId="350">
      <pivotArea dataOnly="0" labelOnly="1" grandRow="1" outline="0" fieldPosition="0"/>
    </format>
    <format dxfId="349">
      <pivotArea type="all" dataOnly="0" outline="0" fieldPosition="0"/>
    </format>
    <format dxfId="348">
      <pivotArea outline="0" collapsedLevelsAreSubtotals="1" fieldPosition="0"/>
    </format>
    <format dxfId="347">
      <pivotArea field="9" type="button" dataOnly="0" labelOnly="1" outline="0"/>
    </format>
    <format dxfId="346">
      <pivotArea dataOnly="0" labelOnly="1" grandRow="1" outline="0" fieldPosition="0"/>
    </format>
    <format dxfId="345">
      <pivotArea type="origin" dataOnly="0" labelOnly="1" outline="0" fieldPosition="0"/>
    </format>
    <format dxfId="344">
      <pivotArea field="55" type="button" dataOnly="0" labelOnly="1" outline="0" axis="axisPage" fieldPosition="1"/>
    </format>
    <format dxfId="343">
      <pivotArea dataOnly="0" labelOnly="1" fieldPosition="0">
        <references count="1">
          <reference field="55" count="0"/>
        </references>
      </pivotArea>
    </format>
    <format dxfId="342">
      <pivotArea dataOnly="0" labelOnly="1" grandRow="1" outline="0" fieldPosition="0"/>
    </format>
    <format dxfId="341">
      <pivotArea type="origin" dataOnly="0" labelOnly="1" outline="0" fieldPosition="0"/>
    </format>
    <format dxfId="340">
      <pivotArea field="55" type="button" dataOnly="0" labelOnly="1" outline="0" axis="axisPage" fieldPosition="1"/>
    </format>
    <format dxfId="339">
      <pivotArea dataOnly="0" labelOnly="1" fieldPosition="0">
        <references count="1">
          <reference field="55" count="0"/>
        </references>
      </pivotArea>
    </format>
    <format dxfId="338">
      <pivotArea dataOnly="0" labelOnly="1" grandRow="1" outline="0" fieldPosition="0"/>
    </format>
    <format dxfId="337">
      <pivotArea type="all" dataOnly="0" outline="0" fieldPosition="0"/>
    </format>
    <format dxfId="336">
      <pivotArea outline="0" collapsedLevelsAreSubtotals="1" fieldPosition="0"/>
    </format>
    <format dxfId="335">
      <pivotArea type="origin" dataOnly="0" labelOnly="1" outline="0" fieldPosition="0"/>
    </format>
    <format dxfId="334">
      <pivotArea field="39" type="button" dataOnly="0" labelOnly="1" outline="0" axis="axisCol" fieldPosition="0"/>
    </format>
    <format dxfId="333">
      <pivotArea type="topRight" dataOnly="0" labelOnly="1" outline="0" fieldPosition="0"/>
    </format>
    <format dxfId="332">
      <pivotArea field="55" type="button" dataOnly="0" labelOnly="1" outline="0" axis="axisPage" fieldPosition="1"/>
    </format>
    <format dxfId="331">
      <pivotArea dataOnly="0" labelOnly="1" fieldPosition="0">
        <references count="1">
          <reference field="55" count="0"/>
        </references>
      </pivotArea>
    </format>
    <format dxfId="330">
      <pivotArea dataOnly="0" labelOnly="1" grandRow="1" outline="0" fieldPosition="0"/>
    </format>
    <format dxfId="329">
      <pivotArea dataOnly="0" labelOnly="1" fieldPosition="0">
        <references count="1">
          <reference field="39" count="0"/>
        </references>
      </pivotArea>
    </format>
    <format dxfId="328">
      <pivotArea dataOnly="0" labelOnly="1" grandCol="1" outline="0" fieldPosition="0"/>
    </format>
    <format dxfId="327">
      <pivotArea dataOnly="0" outline="0" fieldPosition="0">
        <references count="2">
          <reference field="12" count="0" defaultSubtotal="1"/>
          <reference field="51" count="1" selected="0">
            <x v="0"/>
          </reference>
        </references>
      </pivotArea>
    </format>
    <format dxfId="326">
      <pivotArea dataOnly="0" outline="0" fieldPosition="0">
        <references count="2">
          <reference field="51" count="1" selected="0">
            <x v="0"/>
          </reference>
          <reference field="54" count="0" defaultSubtotal="1"/>
        </references>
      </pivotArea>
    </format>
    <format dxfId="325">
      <pivotArea dataOnly="0" outline="0" fieldPosition="0">
        <references count="2">
          <reference field="12" count="0" defaultSubtotal="1"/>
          <reference field="51" count="1" selected="0">
            <x v="0"/>
          </reference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C000000}" name="PivotTable5" cacheId="16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 Responsible User / Error Name" colHeaderCaption="User's Location">
  <location ref="J4:K15" firstHeaderRow="1" firstDataRow="1" firstDataCol="1" rowPageCount="1" colPageCount="1"/>
  <pivotFields count="60">
    <pivotField numFmtId="47" showAll="0" defaultSubtotal="0"/>
    <pivotField numFmtId="47" showAll="0" defaultSubtotal="0"/>
    <pivotField numFmtId="47" showAll="0" defaultSubtotal="0"/>
    <pivotField numFmtId="47" showAll="0" defaultSubtotal="0"/>
    <pivotField numFmtId="22" showAll="0" defaultSubtotal="0"/>
    <pivotField numFmtId="22" showAll="0" defaultSubtotal="0"/>
    <pivotField showAll="0" defaultSubtotal="0"/>
    <pivotField showAll="0" defaultSubtotal="0"/>
    <pivotField showAll="0" defaultSubtotal="0"/>
    <pivotField showAll="0" defaultSubtotal="0">
      <items count="4">
        <item m="1" x="2"/>
        <item x="0"/>
        <item m="1" x="1"/>
        <item m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sortType="descending" defaultSubtotal="0">
      <items count="57">
        <item m="1" x="24"/>
        <item m="1" x="17"/>
        <item x="0"/>
        <item m="1" x="53"/>
        <item m="1" x="46"/>
        <item x="6"/>
        <item x="9"/>
        <item m="1" x="27"/>
        <item m="1" x="36"/>
        <item x="5"/>
        <item m="1" x="14"/>
        <item m="1" x="25"/>
        <item m="1" x="28"/>
        <item x="4"/>
        <item x="1"/>
        <item m="1" x="38"/>
        <item m="1" x="12"/>
        <item m="1" x="45"/>
        <item m="1" x="29"/>
        <item m="1" x="22"/>
        <item m="1" x="52"/>
        <item m="1" x="35"/>
        <item m="1" x="49"/>
        <item m="1" x="16"/>
        <item m="1" x="32"/>
        <item x="2"/>
        <item x="3"/>
        <item m="1" x="34"/>
        <item m="1" x="18"/>
        <item m="1" x="20"/>
        <item m="1" x="15"/>
        <item m="1" x="30"/>
        <item m="1" x="42"/>
        <item m="1" x="23"/>
        <item m="1" x="43"/>
        <item m="1" x="26"/>
        <item x="8"/>
        <item m="1" x="10"/>
        <item m="1" x="51"/>
        <item m="1" x="50"/>
        <item m="1" x="56"/>
        <item m="1" x="47"/>
        <item m="1" x="55"/>
        <item m="1" x="33"/>
        <item m="1" x="54"/>
        <item m="1" x="39"/>
        <item m="1" x="44"/>
        <item m="1" x="40"/>
        <item x="7"/>
        <item m="1" x="13"/>
        <item m="1" x="41"/>
        <item m="1" x="37"/>
        <item m="1" x="19"/>
        <item m="1" x="21"/>
        <item m="1" x="31"/>
        <item m="1" x="48"/>
        <item m="1"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axis="axisRow" showAll="0" sortType="descending" defaultSubtotal="0">
      <items count="14">
        <item h="1" x="0"/>
        <item h="1" x="1"/>
        <item x="2"/>
        <item x="6"/>
        <item x="5"/>
        <item x="3"/>
        <item x="7"/>
        <item x="4"/>
        <item m="1" x="13"/>
        <item m="1" x="12"/>
        <item m="1" x="8"/>
        <item m="1" x="9"/>
        <item m="1" x="11"/>
        <item h="1" m="1"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63">
        <item x="3"/>
        <item x="1"/>
        <item x="10"/>
        <item x="12"/>
        <item m="1" x="36"/>
        <item x="4"/>
        <item x="6"/>
        <item x="15"/>
        <item m="1" x="58"/>
        <item x="9"/>
        <item x="2"/>
        <item x="8"/>
        <item m="1" x="41"/>
        <item m="1" x="33"/>
        <item x="7"/>
        <item x="19"/>
        <item m="1" x="48"/>
        <item x="13"/>
        <item x="11"/>
        <item m="1" x="45"/>
        <item x="5"/>
        <item m="1" x="47"/>
        <item m="1" x="53"/>
        <item x="17"/>
        <item m="1" x="27"/>
        <item x="16"/>
        <item m="1" x="59"/>
        <item m="1" x="40"/>
        <item m="1" x="51"/>
        <item m="1" x="25"/>
        <item m="1" x="37"/>
        <item x="23"/>
        <item m="1" x="32"/>
        <item m="1" x="43"/>
        <item m="1" x="38"/>
        <item x="18"/>
        <item m="1" x="50"/>
        <item m="1" x="28"/>
        <item x="22"/>
        <item x="20"/>
        <item x="24"/>
        <item m="1" x="62"/>
        <item m="1" x="34"/>
        <item x="0"/>
        <item m="1" x="60"/>
        <item m="1" x="42"/>
        <item m="1" x="29"/>
        <item m="1" x="31"/>
        <item m="1" x="52"/>
        <item m="1" x="44"/>
        <item m="1" x="30"/>
        <item x="21"/>
        <item m="1" x="35"/>
        <item m="1" x="49"/>
        <item m="1" x="56"/>
        <item m="1" x="39"/>
        <item m="1" x="54"/>
        <item m="1" x="26"/>
        <item m="1" x="55"/>
        <item x="14"/>
        <item m="1" x="57"/>
        <item m="1" x="46"/>
        <item m="1" x="6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multipleItemSelectionAllowed="1" showAll="0" sortType="ascending" defaultSubtotal="0">
      <items count="2">
        <item h="1" x="0"/>
        <item x="1"/>
      </items>
    </pivotField>
    <pivotField showAll="0" defaultSubtotal="0"/>
    <pivotField showAll="0" defaultSubtotal="0"/>
    <pivotField multipleItemSelectionAllowed="1" showAll="0" defaultSubtotal="0"/>
    <pivotField showAll="0" defaultSubtotal="0"/>
  </pivotFields>
  <rowFields count="2">
    <field x="20"/>
    <field x="15"/>
  </rowFields>
  <rowItems count="11">
    <i>
      <x v="2"/>
    </i>
    <i r="1">
      <x v="9"/>
    </i>
    <i r="1">
      <x v="36"/>
    </i>
    <i>
      <x v="5"/>
    </i>
    <i r="1">
      <x v="9"/>
    </i>
    <i r="1">
      <x v="2"/>
    </i>
    <i>
      <x v="7"/>
    </i>
    <i r="1">
      <x v="36"/>
    </i>
    <i>
      <x v="3"/>
    </i>
    <i r="1">
      <x v="9"/>
    </i>
    <i t="grand">
      <x/>
    </i>
  </rowItems>
  <colItems count="1">
    <i/>
  </colItems>
  <pageFields count="1">
    <pageField fld="55" hier="-1"/>
  </pageFields>
  <dataFields count="1">
    <dataField name=" Error Type" fld="21" baseField="0" baseItem="0"/>
  </dataFields>
  <formats count="23">
    <format dxfId="376">
      <pivotArea type="all" dataOnly="0" outline="0" fieldPosition="0"/>
    </format>
    <format dxfId="375">
      <pivotArea outline="0" collapsedLevelsAreSubtotals="1" fieldPosition="0"/>
    </format>
    <format dxfId="374">
      <pivotArea field="9" type="button" dataOnly="0" labelOnly="1" outline="0"/>
    </format>
    <format dxfId="373">
      <pivotArea dataOnly="0" labelOnly="1" grandRow="1" outline="0" fieldPosition="0"/>
    </format>
    <format dxfId="372">
      <pivotArea type="all" dataOnly="0" outline="0" fieldPosition="0"/>
    </format>
    <format dxfId="371">
      <pivotArea outline="0" collapsedLevelsAreSubtotals="1" fieldPosition="0"/>
    </format>
    <format dxfId="370">
      <pivotArea field="9" type="button" dataOnly="0" labelOnly="1" outline="0"/>
    </format>
    <format dxfId="369">
      <pivotArea dataOnly="0" labelOnly="1" grandRow="1" outline="0" fieldPosition="0"/>
    </format>
    <format dxfId="368">
      <pivotArea type="topRight" dataOnly="0" labelOnly="1" outline="0" offset="AA1" fieldPosition="0"/>
    </format>
    <format dxfId="367">
      <pivotArea grandCol="1" outline="0" collapsedLevelsAreSubtotals="1" fieldPosition="0"/>
    </format>
    <format dxfId="366">
      <pivotArea type="topRight" dataOnly="0" labelOnly="1" outline="0" offset="F1" fieldPosition="0"/>
    </format>
    <format dxfId="365">
      <pivotArea dataOnly="0" labelOnly="1" grandCol="1" outline="0" fieldPosition="0"/>
    </format>
    <format dxfId="364">
      <pivotArea type="all" dataOnly="0" outline="0" fieldPosition="0"/>
    </format>
    <format dxfId="363">
      <pivotArea outline="0" collapsedLevelsAreSubtotals="1" fieldPosition="0"/>
    </format>
    <format dxfId="362">
      <pivotArea type="origin" dataOnly="0" labelOnly="1" outline="0" fieldPosition="0"/>
    </format>
    <format dxfId="361">
      <pivotArea field="55" type="button" dataOnly="0" labelOnly="1" outline="0" axis="axisPage" fieldPosition="0"/>
    </format>
    <format dxfId="360">
      <pivotArea field="38" type="button" dataOnly="0" labelOnly="1" outline="0"/>
    </format>
    <format dxfId="359">
      <pivotArea type="topRight" dataOnly="0" labelOnly="1" outline="0" fieldPosition="0"/>
    </format>
    <format dxfId="358">
      <pivotArea field="20" type="button" dataOnly="0" labelOnly="1" outline="0" axis="axisRow" fieldPosition="0"/>
    </format>
    <format dxfId="357">
      <pivotArea dataOnly="0" labelOnly="1" fieldPosition="0">
        <references count="1">
          <reference field="20" count="1">
            <x v="1"/>
          </reference>
        </references>
      </pivotArea>
    </format>
    <format dxfId="356">
      <pivotArea dataOnly="0" labelOnly="1" grandRow="1" outline="0" fieldPosition="0"/>
    </format>
    <format dxfId="355">
      <pivotArea dataOnly="0" labelOnly="1" fieldPosition="0">
        <references count="1">
          <reference field="55" count="0"/>
        </references>
      </pivotArea>
    </format>
    <format dxfId="354">
      <pivotArea dataOnly="0" labelOnly="1" grandCol="1" outline="0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E000000}" name="PivotTable2" cacheId="16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 Responsible User Name / Error Name" colHeaderCaption="Hospital Names">
  <location ref="A4:AV38" firstHeaderRow="1" firstDataRow="3" firstDataCol="1" rowPageCount="2" colPageCount="1"/>
  <pivotFields count="58">
    <pivotField numFmtId="47" showAll="0"/>
    <pivotField numFmtId="47" showAll="0"/>
    <pivotField numFmtId="47" showAll="0"/>
    <pivotField numFmtId="47" showAll="0"/>
    <pivotField numFmtId="22" showAll="0"/>
    <pivotField numFmtId="22" showAll="0"/>
    <pivotField axis="axisPage" showAll="0">
      <items count="24">
        <item m="1" x="4"/>
        <item m="1" x="10"/>
        <item m="1" x="6"/>
        <item m="1" x="7"/>
        <item m="1" x="17"/>
        <item m="1" x="22"/>
        <item m="1" x="14"/>
        <item m="1" x="13"/>
        <item m="1" x="18"/>
        <item m="1" x="15"/>
        <item m="1" x="20"/>
        <item m="1" x="16"/>
        <item x="0"/>
        <item m="1" x="11"/>
        <item m="1" x="21"/>
        <item x="2"/>
        <item m="1" x="9"/>
        <item m="1" x="19"/>
        <item m="1" x="5"/>
        <item m="1" x="3"/>
        <item m="1" x="12"/>
        <item m="1" x="8"/>
        <item x="1"/>
        <item t="default"/>
      </items>
    </pivotField>
    <pivotField showAll="0"/>
    <pivotField showAll="0"/>
    <pivotField showAll="0">
      <items count="6">
        <item m="1" x="3"/>
        <item x="0"/>
        <item x="1"/>
        <item m="1" x="2"/>
        <item m="1" x="4"/>
        <item t="default"/>
      </items>
    </pivotField>
    <pivotField showAll="0"/>
    <pivotField showAll="0"/>
    <pivotField showAll="0"/>
    <pivotField showAll="0" defaultSubtotal="0"/>
    <pivotField showAll="0"/>
    <pivotField axis="axisRow" showAll="0" sortType="descending">
      <items count="59">
        <item m="1" x="25"/>
        <item m="1" x="18"/>
        <item x="0"/>
        <item m="1" x="52"/>
        <item m="1" x="24"/>
        <item m="1" x="54"/>
        <item m="1" x="47"/>
        <item x="6"/>
        <item m="1" x="33"/>
        <item x="9"/>
        <item m="1" x="28"/>
        <item x="3"/>
        <item m="1" x="17"/>
        <item x="2"/>
        <item m="1" x="35"/>
        <item m="1" x="37"/>
        <item x="5"/>
        <item m="1" x="15"/>
        <item m="1" x="26"/>
        <item m="1" x="29"/>
        <item x="4"/>
        <item x="1"/>
        <item x="8"/>
        <item m="1" x="57"/>
        <item m="1" x="39"/>
        <item m="1" x="13"/>
        <item m="1" x="56"/>
        <item m="1" x="46"/>
        <item m="1" x="21"/>
        <item m="1" x="30"/>
        <item m="1" x="23"/>
        <item m="1" x="53"/>
        <item x="7"/>
        <item m="1" x="44"/>
        <item m="1" x="36"/>
        <item m="1" x="50"/>
        <item m="1" x="19"/>
        <item m="1" x="27"/>
        <item m="1" x="43"/>
        <item m="1" x="11"/>
        <item m="1" x="55"/>
        <item m="1" x="51"/>
        <item m="1" x="31"/>
        <item m="1" x="40"/>
        <item m="1" x="34"/>
        <item m="1" x="45"/>
        <item m="1" x="16"/>
        <item m="1" x="48"/>
        <item x="10"/>
        <item m="1" x="41"/>
        <item m="1" x="42"/>
        <item m="1" x="14"/>
        <item m="1" x="38"/>
        <item m="1" x="20"/>
        <item m="1" x="22"/>
        <item m="1" x="32"/>
        <item m="1" x="49"/>
        <item m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/>
    <pivotField axis="axisRow" showAll="0" sortType="descending">
      <items count="15">
        <item h="1" x="0"/>
        <item x="1"/>
        <item x="2"/>
        <item x="6"/>
        <item x="4"/>
        <item x="5"/>
        <item x="3"/>
        <item x="7"/>
        <item m="1" x="13"/>
        <item m="1" x="12"/>
        <item m="1" x="8"/>
        <item h="1" m="1" x="9"/>
        <item h="1" m="1" x="11"/>
        <item h="1"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axis="axisCol" showAll="0">
      <items count="214">
        <item x="11"/>
        <item x="6"/>
        <item x="9"/>
        <item x="29"/>
        <item x="28"/>
        <item x="19"/>
        <item m="1" x="151"/>
        <item m="1" x="78"/>
        <item x="43"/>
        <item x="52"/>
        <item x="32"/>
        <item m="1" x="211"/>
        <item x="49"/>
        <item m="1" x="89"/>
        <item x="3"/>
        <item x="40"/>
        <item m="1" x="164"/>
        <item x="10"/>
        <item x="2"/>
        <item x="14"/>
        <item x="30"/>
        <item x="1"/>
        <item m="1" x="59"/>
        <item m="1" x="81"/>
        <item x="31"/>
        <item m="1" x="190"/>
        <item x="35"/>
        <item m="1" x="123"/>
        <item x="7"/>
        <item x="0"/>
        <item x="16"/>
        <item m="1" x="97"/>
        <item m="1" x="56"/>
        <item m="1" x="152"/>
        <item m="1" x="126"/>
        <item m="1" x="144"/>
        <item m="1" x="189"/>
        <item m="1" x="71"/>
        <item m="1" x="212"/>
        <item x="41"/>
        <item x="18"/>
        <item m="1" x="70"/>
        <item m="1" x="90"/>
        <item m="1" x="60"/>
        <item m="1" x="185"/>
        <item x="4"/>
        <item x="12"/>
        <item m="1" x="88"/>
        <item x="38"/>
        <item m="1" x="67"/>
        <item x="13"/>
        <item x="17"/>
        <item m="1" x="192"/>
        <item x="33"/>
        <item m="1" x="135"/>
        <item x="51"/>
        <item m="1" x="72"/>
        <item m="1" x="178"/>
        <item m="1" x="198"/>
        <item m="1" x="94"/>
        <item m="1" x="55"/>
        <item m="1" x="114"/>
        <item m="1" x="179"/>
        <item m="1" x="102"/>
        <item m="1" x="194"/>
        <item x="26"/>
        <item m="1" x="143"/>
        <item m="1" x="170"/>
        <item m="1" x="138"/>
        <item x="20"/>
        <item x="50"/>
        <item x="42"/>
        <item m="1" x="156"/>
        <item m="1" x="160"/>
        <item x="47"/>
        <item m="1" x="158"/>
        <item x="23"/>
        <item m="1" x="121"/>
        <item m="1" x="203"/>
        <item m="1" x="109"/>
        <item m="1" x="58"/>
        <item m="1" x="74"/>
        <item m="1" x="82"/>
        <item m="1" x="115"/>
        <item m="1" x="137"/>
        <item x="27"/>
        <item m="1" x="131"/>
        <item m="1" x="113"/>
        <item m="1" x="133"/>
        <item m="1" x="104"/>
        <item x="39"/>
        <item x="8"/>
        <item m="1" x="66"/>
        <item m="1" x="187"/>
        <item m="1" x="186"/>
        <item m="1" x="98"/>
        <item m="1" x="103"/>
        <item m="1" x="169"/>
        <item m="1" x="118"/>
        <item x="53"/>
        <item m="1" x="176"/>
        <item x="5"/>
        <item m="1" x="73"/>
        <item x="22"/>
        <item m="1" x="136"/>
        <item m="1" x="145"/>
        <item m="1" x="197"/>
        <item m="1" x="87"/>
        <item m="1" x="154"/>
        <item m="1" x="93"/>
        <item m="1" x="106"/>
        <item m="1" x="77"/>
        <item m="1" x="165"/>
        <item m="1" x="107"/>
        <item m="1" x="146"/>
        <item m="1" x="149"/>
        <item x="34"/>
        <item m="1" x="76"/>
        <item m="1" x="208"/>
        <item m="1" x="68"/>
        <item m="1" x="61"/>
        <item m="1" x="105"/>
        <item x="37"/>
        <item m="1" x="147"/>
        <item m="1" x="181"/>
        <item x="36"/>
        <item x="24"/>
        <item m="1" x="127"/>
        <item m="1" x="196"/>
        <item m="1" x="172"/>
        <item m="1" x="63"/>
        <item x="25"/>
        <item m="1" x="177"/>
        <item x="48"/>
        <item m="1" x="57"/>
        <item m="1" x="210"/>
        <item m="1" x="171"/>
        <item m="1" x="142"/>
        <item m="1" x="110"/>
        <item m="1" x="116"/>
        <item m="1" x="79"/>
        <item x="44"/>
        <item m="1" x="188"/>
        <item m="1" x="130"/>
        <item m="1" x="148"/>
        <item x="15"/>
        <item m="1" x="100"/>
        <item m="1" x="86"/>
        <item m="1" x="117"/>
        <item m="1" x="64"/>
        <item m="1" x="184"/>
        <item m="1" x="193"/>
        <item m="1" x="201"/>
        <item m="1" x="95"/>
        <item m="1" x="155"/>
        <item m="1" x="75"/>
        <item m="1" x="112"/>
        <item m="1" x="120"/>
        <item m="1" x="99"/>
        <item m="1" x="159"/>
        <item m="1" x="69"/>
        <item m="1" x="80"/>
        <item m="1" x="209"/>
        <item m="1" x="175"/>
        <item m="1" x="180"/>
        <item m="1" x="195"/>
        <item m="1" x="182"/>
        <item m="1" x="119"/>
        <item m="1" x="163"/>
        <item m="1" x="83"/>
        <item m="1" x="92"/>
        <item m="1" x="161"/>
        <item m="1" x="207"/>
        <item m="1" x="85"/>
        <item m="1" x="166"/>
        <item m="1" x="191"/>
        <item m="1" x="125"/>
        <item m="1" x="202"/>
        <item m="1" x="129"/>
        <item m="1" x="206"/>
        <item m="1" x="150"/>
        <item m="1" x="128"/>
        <item m="1" x="199"/>
        <item m="1" x="174"/>
        <item m="1" x="62"/>
        <item m="1" x="168"/>
        <item m="1" x="84"/>
        <item m="1" x="101"/>
        <item m="1" x="204"/>
        <item m="1" x="65"/>
        <item m="1" x="183"/>
        <item m="1" x="108"/>
        <item m="1" x="162"/>
        <item m="1" x="111"/>
        <item x="45"/>
        <item m="1" x="153"/>
        <item m="1" x="132"/>
        <item m="1" x="141"/>
        <item m="1" x="167"/>
        <item m="1" x="134"/>
        <item m="1" x="205"/>
        <item m="1" x="140"/>
        <item m="1" x="91"/>
        <item m="1" x="124"/>
        <item m="1" x="139"/>
        <item x="46"/>
        <item m="1" x="157"/>
        <item m="1" x="122"/>
        <item m="1" x="96"/>
        <item m="1" x="200"/>
        <item m="1" x="54"/>
        <item m="1" x="173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 defaultSubtotal="0"/>
    <pivotField axis="axisCol" showAll="0" defaultSubtotal="0">
      <items count="65">
        <item x="3"/>
        <item m="1" x="35"/>
        <item x="1"/>
        <item x="10"/>
        <item x="9"/>
        <item x="12"/>
        <item x="20"/>
        <item x="8"/>
        <item x="2"/>
        <item m="1" x="38"/>
        <item m="1" x="28"/>
        <item x="17"/>
        <item x="4"/>
        <item x="6"/>
        <item x="15"/>
        <item m="1" x="33"/>
        <item m="1" x="47"/>
        <item m="1" x="34"/>
        <item m="1" x="45"/>
        <item m="1" x="60"/>
        <item m="1" x="43"/>
        <item m="1" x="61"/>
        <item x="24"/>
        <item m="1" x="55"/>
        <item x="0"/>
        <item m="1" x="46"/>
        <item m="1" x="44"/>
        <item x="22"/>
        <item m="1" x="50"/>
        <item x="19"/>
        <item x="5"/>
        <item m="1" x="49"/>
        <item m="1" x="40"/>
        <item m="1" x="62"/>
        <item x="16"/>
        <item x="7"/>
        <item m="1" x="26"/>
        <item m="1" x="39"/>
        <item m="1" x="64"/>
        <item m="1" x="36"/>
        <item x="13"/>
        <item x="11"/>
        <item m="1" x="53"/>
        <item x="23"/>
        <item m="1" x="29"/>
        <item m="1" x="52"/>
        <item m="1" x="30"/>
        <item m="1" x="42"/>
        <item m="1" x="32"/>
        <item x="18"/>
        <item x="25"/>
        <item m="1" x="54"/>
        <item m="1" x="31"/>
        <item x="21"/>
        <item m="1" x="37"/>
        <item m="1" x="51"/>
        <item m="1" x="58"/>
        <item m="1" x="41"/>
        <item m="1" x="56"/>
        <item m="1" x="27"/>
        <item m="1" x="57"/>
        <item x="14"/>
        <item m="1" x="59"/>
        <item m="1" x="48"/>
        <item m="1" x="63"/>
      </items>
    </pivotField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/>
    <pivotField axis="axisPage" showAll="0" defaultSubtotal="0">
      <items count="3">
        <item x="0"/>
        <item x="1"/>
        <item x="2"/>
      </items>
    </pivotField>
    <pivotField showAll="0"/>
    <pivotField showAll="0"/>
    <pivotField showAll="0"/>
    <pivotField showAll="0" sortType="ascending" defaultSubtotal="0">
      <items count="4">
        <item m="1" x="3"/>
        <item x="0"/>
        <item x="1"/>
        <item x="2"/>
      </items>
    </pivotField>
    <pivotField showAll="0" defaultSubtotal="0"/>
    <pivotField showAll="0" defaultSubtotal="0"/>
  </pivotFields>
  <rowFields count="2">
    <field x="20"/>
    <field x="15"/>
  </rowFields>
  <rowItems count="32">
    <i>
      <x v="1"/>
    </i>
    <i r="1">
      <x v="9"/>
    </i>
    <i r="1">
      <x v="22"/>
    </i>
    <i r="1">
      <x v="32"/>
    </i>
    <i r="1">
      <x v="16"/>
    </i>
    <i r="1">
      <x v="7"/>
    </i>
    <i r="1">
      <x v="13"/>
    </i>
    <i r="1">
      <x v="2"/>
    </i>
    <i r="1">
      <x v="20"/>
    </i>
    <i r="1">
      <x v="21"/>
    </i>
    <i r="1">
      <x v="11"/>
    </i>
    <i>
      <x v="2"/>
    </i>
    <i r="1">
      <x v="11"/>
    </i>
    <i r="1">
      <x v="13"/>
    </i>
    <i r="1">
      <x v="21"/>
    </i>
    <i r="1">
      <x v="22"/>
    </i>
    <i r="1">
      <x v="32"/>
    </i>
    <i r="1">
      <x v="16"/>
    </i>
    <i r="1">
      <x v="20"/>
    </i>
    <i>
      <x v="4"/>
    </i>
    <i r="1">
      <x v="21"/>
    </i>
    <i r="1">
      <x v="2"/>
    </i>
    <i r="1">
      <x v="22"/>
    </i>
    <i r="1">
      <x v="9"/>
    </i>
    <i r="1">
      <x v="13"/>
    </i>
    <i>
      <x v="6"/>
    </i>
    <i r="1">
      <x v="2"/>
    </i>
    <i>
      <x v="7"/>
    </i>
    <i r="1">
      <x v="13"/>
    </i>
    <i>
      <x v="3"/>
    </i>
    <i r="1">
      <x v="11"/>
    </i>
    <i t="grand">
      <x/>
    </i>
  </rowItems>
  <colFields count="2">
    <field x="38"/>
    <field x="23"/>
  </colFields>
  <colItems count="47">
    <i>
      <x/>
      <x v="1"/>
    </i>
    <i r="1">
      <x v="24"/>
    </i>
    <i r="1">
      <x v="194"/>
    </i>
    <i>
      <x v="2"/>
      <x v="14"/>
    </i>
    <i r="1">
      <x v="21"/>
    </i>
    <i r="1">
      <x v="28"/>
    </i>
    <i r="1">
      <x v="30"/>
    </i>
    <i r="1">
      <x v="40"/>
    </i>
    <i r="1">
      <x v="45"/>
    </i>
    <i r="1">
      <x v="145"/>
    </i>
    <i>
      <x v="3"/>
      <x v="4"/>
    </i>
    <i r="1">
      <x v="15"/>
    </i>
    <i r="1">
      <x v="55"/>
    </i>
    <i r="1">
      <x v="85"/>
    </i>
    <i>
      <x v="4"/>
      <x v="65"/>
    </i>
    <i r="1">
      <x v="103"/>
    </i>
    <i r="1">
      <x v="116"/>
    </i>
    <i r="1">
      <x v="126"/>
    </i>
    <i>
      <x v="5"/>
      <x v="3"/>
    </i>
    <i>
      <x v="6"/>
      <x v="8"/>
    </i>
    <i r="1">
      <x v="74"/>
    </i>
    <i>
      <x v="7"/>
      <x v="5"/>
    </i>
    <i r="1">
      <x v="76"/>
    </i>
    <i r="1">
      <x v="122"/>
    </i>
    <i r="1">
      <x v="125"/>
    </i>
    <i r="1">
      <x v="212"/>
    </i>
    <i>
      <x v="8"/>
      <x v="18"/>
    </i>
    <i r="1">
      <x v="19"/>
    </i>
    <i>
      <x v="11"/>
      <x v="90"/>
    </i>
    <i>
      <x v="12"/>
      <x/>
    </i>
    <i r="1">
      <x v="2"/>
    </i>
    <i>
      <x v="13"/>
      <x/>
    </i>
    <i>
      <x v="14"/>
      <x/>
    </i>
    <i>
      <x v="24"/>
      <x v="29"/>
    </i>
    <i r="1">
      <x v="50"/>
    </i>
    <i>
      <x v="29"/>
      <x v="39"/>
    </i>
    <i>
      <x v="30"/>
      <x/>
    </i>
    <i>
      <x v="35"/>
      <x v="51"/>
    </i>
    <i r="1">
      <x v="71"/>
    </i>
    <i>
      <x v="40"/>
      <x v="2"/>
    </i>
    <i r="1">
      <x v="28"/>
    </i>
    <i>
      <x v="41"/>
      <x v="19"/>
    </i>
    <i>
      <x v="43"/>
      <x v="70"/>
    </i>
    <i>
      <x v="49"/>
      <x v="9"/>
    </i>
    <i r="1">
      <x v="24"/>
    </i>
    <i>
      <x v="61"/>
      <x v="20"/>
    </i>
    <i t="grand">
      <x/>
    </i>
  </colItems>
  <pageFields count="2">
    <pageField fld="6" item="12" hier="-1"/>
    <pageField fld="51" item="0" hier="-1"/>
  </pageFields>
  <dataFields count="1">
    <dataField name=" Total_error_type_receiver_by_auditor" fld="21" baseField="0" baseItem="0"/>
  </dataFields>
  <formats count="22">
    <format dxfId="324">
      <pivotArea type="all" dataOnly="0" outline="0" fieldPosition="0"/>
    </format>
    <format dxfId="323">
      <pivotArea outline="0" collapsedLevelsAreSubtotals="1" fieldPosition="0"/>
    </format>
    <format dxfId="322">
      <pivotArea field="9" type="button" dataOnly="0" labelOnly="1" outline="0"/>
    </format>
    <format dxfId="321">
      <pivotArea dataOnly="0" labelOnly="1" grandRow="1" outline="0" fieldPosition="0"/>
    </format>
    <format dxfId="320">
      <pivotArea type="all" dataOnly="0" outline="0" fieldPosition="0"/>
    </format>
    <format dxfId="319">
      <pivotArea outline="0" collapsedLevelsAreSubtotals="1" fieldPosition="0"/>
    </format>
    <format dxfId="318">
      <pivotArea field="9" type="button" dataOnly="0" labelOnly="1" outline="0"/>
    </format>
    <format dxfId="317">
      <pivotArea dataOnly="0" labelOnly="1" grandRow="1" outline="0" fieldPosition="0"/>
    </format>
    <format dxfId="316">
      <pivotArea type="topRight" dataOnly="0" labelOnly="1" outline="0" offset="AA1" fieldPosition="0"/>
    </format>
    <format dxfId="315">
      <pivotArea grandCol="1" outline="0" collapsedLevelsAreSubtotals="1" fieldPosition="0"/>
    </format>
    <format dxfId="314">
      <pivotArea type="topRight" dataOnly="0" labelOnly="1" outline="0" offset="F1" fieldPosition="0"/>
    </format>
    <format dxfId="313">
      <pivotArea dataOnly="0" labelOnly="1" grandCol="1" outline="0" fieldPosition="0"/>
    </format>
    <format dxfId="312">
      <pivotArea type="all" dataOnly="0" outline="0" fieldPosition="0"/>
    </format>
    <format dxfId="311">
      <pivotArea outline="0" collapsedLevelsAreSubtotals="1" fieldPosition="0"/>
    </format>
    <format dxfId="310">
      <pivotArea type="origin" dataOnly="0" labelOnly="1" outline="0" fieldPosition="0"/>
    </format>
    <format dxfId="309">
      <pivotArea field="55" type="button" dataOnly="0" labelOnly="1" outline="0"/>
    </format>
    <format dxfId="308">
      <pivotArea field="38" type="button" dataOnly="0" labelOnly="1" outline="0" axis="axisCol" fieldPosition="0"/>
    </format>
    <format dxfId="307">
      <pivotArea type="topRight" dataOnly="0" labelOnly="1" outline="0" fieldPosition="0"/>
    </format>
    <format dxfId="306">
      <pivotArea field="20" type="button" dataOnly="0" labelOnly="1" outline="0" axis="axisRow" fieldPosition="0"/>
    </format>
    <format dxfId="305">
      <pivotArea dataOnly="0" labelOnly="1" fieldPosition="0">
        <references count="1">
          <reference field="20" count="1">
            <x v="1"/>
          </reference>
        </references>
      </pivotArea>
    </format>
    <format dxfId="304">
      <pivotArea dataOnly="0" labelOnly="1" grandRow="1" outline="0" fieldPosition="0"/>
    </format>
    <format dxfId="303">
      <pivotArea dataOnly="0" labelOnly="1" grandCol="1" outline="0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thiruchelvi.m@cardioscribes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gallamanohar@gmail.com" TargetMode="External"/><Relationship Id="rId1" Type="http://schemas.openxmlformats.org/officeDocument/2006/relationships/hyperlink" Target="mailto:parineeta.patel@cardioscribes.com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jyotishankar.gilani@cardioscribes.com" TargetMode="External"/><Relationship Id="rId4" Type="http://schemas.openxmlformats.org/officeDocument/2006/relationships/hyperlink" Target="mailto:pradumn.singh@cardioscribes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P15"/>
  <sheetViews>
    <sheetView showGridLines="0" workbookViewId="0"/>
  </sheetViews>
  <sheetFormatPr defaultColWidth="12.7109375" defaultRowHeight="14.45" customHeight="1" x14ac:dyDescent="0.25"/>
  <cols>
    <col min="1" max="1" width="27" bestFit="1" customWidth="1"/>
    <col min="2" max="3" width="12.7109375" customWidth="1"/>
  </cols>
  <sheetData>
    <row r="1" spans="1:16" ht="14.45" customHeight="1" x14ac:dyDescent="0.25">
      <c r="A1" s="15"/>
    </row>
    <row r="2" spans="1:16" ht="14.45" customHeight="1" x14ac:dyDescent="0.25">
      <c r="B2" s="52" t="s">
        <v>58</v>
      </c>
      <c r="C2" s="52"/>
    </row>
    <row r="3" spans="1:16" ht="14.45" customHeight="1" x14ac:dyDescent="0.25">
      <c r="A3" s="16" t="s">
        <v>62</v>
      </c>
      <c r="B3" s="16" t="s">
        <v>102</v>
      </c>
      <c r="C3" s="16" t="s">
        <v>120</v>
      </c>
      <c r="D3" s="16" t="s">
        <v>138</v>
      </c>
      <c r="E3" s="16" t="s">
        <v>110</v>
      </c>
      <c r="F3" s="16" t="s">
        <v>107</v>
      </c>
      <c r="G3" s="16" t="s">
        <v>114</v>
      </c>
      <c r="H3" s="16" t="s">
        <v>119</v>
      </c>
      <c r="I3" s="16" t="s">
        <v>448</v>
      </c>
      <c r="J3" s="16" t="s">
        <v>169</v>
      </c>
      <c r="K3" s="16" t="s">
        <v>180</v>
      </c>
      <c r="L3" s="16" t="s">
        <v>199</v>
      </c>
      <c r="M3" s="16" t="s">
        <v>134</v>
      </c>
      <c r="N3" s="16" t="s">
        <v>135</v>
      </c>
      <c r="O3" s="16" t="s">
        <v>108</v>
      </c>
      <c r="P3" s="16" t="s">
        <v>44</v>
      </c>
    </row>
    <row r="4" spans="1:16" ht="14.45" customHeight="1" x14ac:dyDescent="0.25">
      <c r="A4" s="1" t="s">
        <v>462</v>
      </c>
      <c r="B4" s="1">
        <v>11</v>
      </c>
      <c r="C4" s="1"/>
      <c r="D4" s="1"/>
      <c r="E4" s="1"/>
      <c r="F4" s="1"/>
      <c r="G4" s="1"/>
      <c r="H4" s="1"/>
      <c r="I4" s="1"/>
      <c r="J4" s="1"/>
      <c r="K4" s="1">
        <v>3</v>
      </c>
      <c r="L4" s="1"/>
      <c r="M4" s="1">
        <v>1</v>
      </c>
      <c r="N4" s="1"/>
      <c r="O4" s="1"/>
      <c r="P4" s="1">
        <v>15</v>
      </c>
    </row>
    <row r="5" spans="1:16" ht="14.45" customHeight="1" x14ac:dyDescent="0.25">
      <c r="A5" s="1" t="s">
        <v>125</v>
      </c>
      <c r="B5" s="1"/>
      <c r="C5" s="1"/>
      <c r="D5" s="1"/>
      <c r="E5" s="1">
        <v>4</v>
      </c>
      <c r="F5" s="1">
        <v>5</v>
      </c>
      <c r="G5" s="1"/>
      <c r="H5" s="1"/>
      <c r="I5" s="1"/>
      <c r="J5" s="1"/>
      <c r="K5" s="1"/>
      <c r="L5" s="1"/>
      <c r="M5" s="1"/>
      <c r="N5" s="1">
        <v>1</v>
      </c>
      <c r="O5" s="1"/>
      <c r="P5" s="1">
        <v>10</v>
      </c>
    </row>
    <row r="6" spans="1:16" ht="14.45" customHeight="1" x14ac:dyDescent="0.25">
      <c r="A6" s="1" t="s">
        <v>132</v>
      </c>
      <c r="B6" s="1">
        <v>5</v>
      </c>
      <c r="C6" s="1"/>
      <c r="D6" s="1"/>
      <c r="E6" s="1"/>
      <c r="F6" s="1"/>
      <c r="G6" s="1"/>
      <c r="H6" s="1">
        <v>2</v>
      </c>
      <c r="I6" s="1"/>
      <c r="J6" s="1"/>
      <c r="K6" s="1"/>
      <c r="L6" s="1">
        <v>2</v>
      </c>
      <c r="M6" s="1"/>
      <c r="N6" s="1"/>
      <c r="O6" s="1">
        <v>1</v>
      </c>
      <c r="P6" s="1">
        <v>10</v>
      </c>
    </row>
    <row r="7" spans="1:16" ht="14.45" customHeight="1" x14ac:dyDescent="0.25">
      <c r="A7" s="1" t="s">
        <v>473</v>
      </c>
      <c r="B7" s="1">
        <v>2</v>
      </c>
      <c r="C7" s="1">
        <v>7</v>
      </c>
      <c r="D7" s="1"/>
      <c r="E7" s="1"/>
      <c r="F7" s="1"/>
      <c r="G7" s="1">
        <v>1</v>
      </c>
      <c r="H7" s="1"/>
      <c r="I7" s="1"/>
      <c r="J7" s="1"/>
      <c r="K7" s="1"/>
      <c r="L7" s="1"/>
      <c r="M7" s="1"/>
      <c r="N7" s="1"/>
      <c r="O7" s="1"/>
      <c r="P7" s="1">
        <v>10</v>
      </c>
    </row>
    <row r="8" spans="1:16" ht="14.45" customHeight="1" x14ac:dyDescent="0.25">
      <c r="A8" s="1" t="s">
        <v>156</v>
      </c>
      <c r="B8" s="1"/>
      <c r="C8" s="1"/>
      <c r="D8" s="1"/>
      <c r="E8" s="1"/>
      <c r="F8" s="1"/>
      <c r="G8" s="1"/>
      <c r="H8" s="1"/>
      <c r="I8" s="1">
        <v>6</v>
      </c>
      <c r="J8" s="1">
        <v>1</v>
      </c>
      <c r="K8" s="1"/>
      <c r="L8" s="1"/>
      <c r="M8" s="1"/>
      <c r="N8" s="1">
        <v>2</v>
      </c>
      <c r="O8" s="1"/>
      <c r="P8" s="1">
        <v>9</v>
      </c>
    </row>
    <row r="9" spans="1:16" ht="14.45" customHeight="1" x14ac:dyDescent="0.25">
      <c r="A9" s="1" t="s">
        <v>153</v>
      </c>
      <c r="B9" s="1"/>
      <c r="C9" s="1"/>
      <c r="D9" s="1">
        <v>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8</v>
      </c>
    </row>
    <row r="10" spans="1:16" ht="14.4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ht="14.45" customHeight="1" x14ac:dyDescent="0.25">
      <c r="A11" s="16" t="s">
        <v>62</v>
      </c>
      <c r="B11" s="16" t="s">
        <v>120</v>
      </c>
      <c r="C11" s="16" t="s">
        <v>122</v>
      </c>
      <c r="D11" s="16" t="s">
        <v>118</v>
      </c>
      <c r="E11" s="16" t="s">
        <v>110</v>
      </c>
      <c r="F11" s="16" t="s">
        <v>119</v>
      </c>
      <c r="G11" s="16" t="s">
        <v>102</v>
      </c>
      <c r="H11" s="16" t="s">
        <v>107</v>
      </c>
      <c r="I11" s="16" t="s">
        <v>138</v>
      </c>
      <c r="J11" s="16" t="s">
        <v>236</v>
      </c>
      <c r="K11" s="16" t="s">
        <v>134</v>
      </c>
      <c r="L11" s="16" t="s">
        <v>189</v>
      </c>
      <c r="M11" s="16" t="s">
        <v>170</v>
      </c>
      <c r="N11" s="16" t="s">
        <v>44</v>
      </c>
    </row>
    <row r="12" spans="1:16" ht="14.45" customHeight="1" x14ac:dyDescent="0.25">
      <c r="A12" s="1" t="s">
        <v>103</v>
      </c>
      <c r="B12" s="1">
        <v>3</v>
      </c>
      <c r="C12" s="1">
        <v>1</v>
      </c>
      <c r="D12" s="1">
        <v>2</v>
      </c>
      <c r="E12" s="1"/>
      <c r="F12" s="1"/>
      <c r="G12" s="1"/>
      <c r="H12" s="1"/>
      <c r="I12" s="1"/>
      <c r="J12" s="1"/>
      <c r="K12" s="1"/>
      <c r="L12" s="1">
        <v>1</v>
      </c>
      <c r="M12" s="1">
        <v>1</v>
      </c>
      <c r="N12" s="1">
        <v>8</v>
      </c>
    </row>
    <row r="13" spans="1:16" ht="14.45" customHeight="1" x14ac:dyDescent="0.25">
      <c r="A13" s="1" t="s">
        <v>111</v>
      </c>
      <c r="B13" s="1">
        <v>5</v>
      </c>
      <c r="C13" s="1"/>
      <c r="D13" s="1"/>
      <c r="E13" s="1"/>
      <c r="F13" s="1">
        <v>1</v>
      </c>
      <c r="G13" s="1">
        <v>1</v>
      </c>
      <c r="H13" s="1"/>
      <c r="I13" s="1"/>
      <c r="J13" s="1"/>
      <c r="K13" s="1"/>
      <c r="L13" s="1"/>
      <c r="M13" s="1"/>
      <c r="N13" s="1">
        <v>7</v>
      </c>
    </row>
    <row r="14" spans="1:16" ht="14.45" customHeight="1" x14ac:dyDescent="0.25">
      <c r="A14" s="1" t="s">
        <v>480</v>
      </c>
      <c r="B14" s="1"/>
      <c r="C14" s="1">
        <v>2</v>
      </c>
      <c r="D14" s="1"/>
      <c r="E14" s="1"/>
      <c r="F14" s="1"/>
      <c r="G14" s="1"/>
      <c r="H14" s="1">
        <v>1</v>
      </c>
      <c r="I14" s="1">
        <v>2</v>
      </c>
      <c r="J14" s="1">
        <v>1</v>
      </c>
      <c r="K14" s="1"/>
      <c r="L14" s="1"/>
      <c r="M14" s="1"/>
      <c r="N14" s="1">
        <v>6</v>
      </c>
    </row>
    <row r="15" spans="1:16" ht="14.45" customHeight="1" x14ac:dyDescent="0.25">
      <c r="A15" s="1" t="s">
        <v>482</v>
      </c>
      <c r="B15" s="1"/>
      <c r="C15" s="1"/>
      <c r="D15" s="1"/>
      <c r="E15" s="1">
        <v>2</v>
      </c>
      <c r="F15" s="1">
        <v>1</v>
      </c>
      <c r="G15" s="1"/>
      <c r="H15" s="1"/>
      <c r="I15" s="1"/>
      <c r="J15" s="1"/>
      <c r="K15" s="1">
        <v>1</v>
      </c>
      <c r="L15" s="1"/>
      <c r="M15" s="1"/>
      <c r="N15" s="1">
        <v>4</v>
      </c>
    </row>
  </sheetData>
  <mergeCells count="1">
    <mergeCell ref="B2:C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P31"/>
  <sheetViews>
    <sheetView showGridLines="0" workbookViewId="0"/>
  </sheetViews>
  <sheetFormatPr defaultRowHeight="15" x14ac:dyDescent="0.25"/>
  <cols>
    <col min="1" max="1" width="21.7109375" customWidth="1"/>
    <col min="2" max="2" width="18.42578125" customWidth="1"/>
    <col min="3" max="3" width="12.85546875" customWidth="1"/>
    <col min="4" max="4" width="18.28515625" customWidth="1"/>
    <col min="5" max="5" width="11.5703125" customWidth="1"/>
    <col min="6" max="6" width="11.5703125" bestFit="1" customWidth="1"/>
    <col min="7" max="7" width="18" customWidth="1"/>
    <col min="8" max="8" width="12.85546875" customWidth="1"/>
    <col min="9" max="9" width="18.28515625" customWidth="1"/>
    <col min="10" max="10" width="11.5703125" customWidth="1"/>
    <col min="11" max="12" width="11.5703125" bestFit="1" customWidth="1"/>
    <col min="13" max="13" width="34.7109375" customWidth="1"/>
    <col min="14" max="14" width="17.5703125" customWidth="1"/>
    <col min="15" max="20" width="8.7109375" bestFit="1" customWidth="1"/>
    <col min="21" max="21" width="8.7109375" customWidth="1"/>
    <col min="22" max="22" width="8.7109375" bestFit="1" customWidth="1"/>
    <col min="23" max="23" width="23.28515625" bestFit="1" customWidth="1"/>
  </cols>
  <sheetData>
    <row r="1" spans="1:16" x14ac:dyDescent="0.25">
      <c r="O1" s="5"/>
      <c r="P1" s="5"/>
    </row>
    <row r="2" spans="1:16" x14ac:dyDescent="0.25">
      <c r="A2" s="3" t="s">
        <v>32</v>
      </c>
      <c r="B2" s="1" t="s">
        <v>55</v>
      </c>
      <c r="G2" s="3" t="s">
        <v>5</v>
      </c>
      <c r="H2" s="1" t="s">
        <v>104</v>
      </c>
      <c r="M2" s="7" t="s">
        <v>5</v>
      </c>
      <c r="N2" s="4" t="s">
        <v>55</v>
      </c>
    </row>
    <row r="3" spans="1:16" x14ac:dyDescent="0.25">
      <c r="A3" s="3" t="s">
        <v>45</v>
      </c>
      <c r="B3" s="1" t="s">
        <v>47</v>
      </c>
      <c r="G3" s="3" t="s">
        <v>45</v>
      </c>
      <c r="H3" s="1" t="s">
        <v>47</v>
      </c>
      <c r="M3" s="6" t="s">
        <v>45</v>
      </c>
      <c r="N3" s="4" t="s">
        <v>47</v>
      </c>
    </row>
    <row r="5" spans="1:16" x14ac:dyDescent="0.25">
      <c r="A5" s="3" t="s">
        <v>65</v>
      </c>
      <c r="B5" s="2" t="s">
        <v>60</v>
      </c>
      <c r="C5" s="1" t="s">
        <v>50</v>
      </c>
      <c r="D5" s="1" t="s">
        <v>48</v>
      </c>
      <c r="E5" s="1" t="s">
        <v>51</v>
      </c>
      <c r="G5" s="3" t="s">
        <v>58</v>
      </c>
      <c r="H5" s="1" t="s">
        <v>50</v>
      </c>
      <c r="I5" s="1" t="s">
        <v>48</v>
      </c>
      <c r="J5" s="1" t="s">
        <v>51</v>
      </c>
      <c r="M5" s="6" t="s">
        <v>66</v>
      </c>
      <c r="N5" s="4" t="s">
        <v>67</v>
      </c>
    </row>
    <row r="6" spans="1:16" x14ac:dyDescent="0.25">
      <c r="A6" s="1" t="s">
        <v>104</v>
      </c>
      <c r="B6" s="2">
        <v>98.766604660154798</v>
      </c>
      <c r="C6" s="1">
        <v>158</v>
      </c>
      <c r="D6" s="1">
        <v>408</v>
      </c>
      <c r="E6" s="1">
        <v>240</v>
      </c>
      <c r="G6" s="1" t="s">
        <v>119</v>
      </c>
      <c r="H6" s="1">
        <v>20</v>
      </c>
      <c r="I6" s="1">
        <v>75</v>
      </c>
      <c r="J6" s="1">
        <v>23</v>
      </c>
      <c r="M6" s="4" t="s">
        <v>470</v>
      </c>
      <c r="N6" s="4">
        <v>239</v>
      </c>
    </row>
    <row r="7" spans="1:16" x14ac:dyDescent="0.25">
      <c r="A7" s="1" t="s">
        <v>470</v>
      </c>
      <c r="B7" s="2">
        <v>98.76144401019728</v>
      </c>
      <c r="C7" s="1">
        <v>158</v>
      </c>
      <c r="D7" s="1">
        <v>408</v>
      </c>
      <c r="E7" s="1">
        <v>239</v>
      </c>
      <c r="G7" s="1" t="s">
        <v>110</v>
      </c>
      <c r="H7" s="1">
        <v>17</v>
      </c>
      <c r="I7" s="1">
        <v>35</v>
      </c>
      <c r="J7" s="1">
        <v>25</v>
      </c>
      <c r="M7" s="4" t="s">
        <v>1299</v>
      </c>
      <c r="N7" s="4">
        <v>1</v>
      </c>
    </row>
    <row r="8" spans="1:16" x14ac:dyDescent="0.25">
      <c r="A8" s="1" t="s">
        <v>1299</v>
      </c>
      <c r="B8" s="2">
        <v>100</v>
      </c>
      <c r="C8" s="1">
        <v>0</v>
      </c>
      <c r="D8" s="1">
        <v>0</v>
      </c>
      <c r="E8" s="1">
        <v>1</v>
      </c>
      <c r="G8" s="1" t="s">
        <v>108</v>
      </c>
      <c r="H8" s="1">
        <v>5</v>
      </c>
      <c r="I8" s="1">
        <v>8</v>
      </c>
      <c r="J8" s="1">
        <v>15</v>
      </c>
      <c r="M8" s="4" t="s">
        <v>44</v>
      </c>
      <c r="N8" s="4">
        <v>240</v>
      </c>
    </row>
    <row r="9" spans="1:16" x14ac:dyDescent="0.25">
      <c r="A9" s="1" t="s">
        <v>44</v>
      </c>
      <c r="B9" s="2">
        <v>98.766604660154798</v>
      </c>
      <c r="C9" s="1">
        <v>158</v>
      </c>
      <c r="D9" s="1">
        <v>408</v>
      </c>
      <c r="E9" s="1">
        <v>240</v>
      </c>
      <c r="G9" s="1" t="s">
        <v>102</v>
      </c>
      <c r="H9" s="1">
        <v>44</v>
      </c>
      <c r="I9" s="1">
        <v>120</v>
      </c>
      <c r="J9" s="1">
        <v>51</v>
      </c>
    </row>
    <row r="10" spans="1:16" x14ac:dyDescent="0.25">
      <c r="G10" s="1" t="s">
        <v>122</v>
      </c>
      <c r="H10" s="1">
        <v>11</v>
      </c>
      <c r="I10" s="1">
        <v>18</v>
      </c>
      <c r="J10" s="1">
        <v>16</v>
      </c>
    </row>
    <row r="11" spans="1:16" x14ac:dyDescent="0.25">
      <c r="G11" s="1" t="s">
        <v>133</v>
      </c>
      <c r="H11" s="1">
        <v>3</v>
      </c>
      <c r="I11" s="1">
        <v>10</v>
      </c>
      <c r="J11" s="1">
        <v>4</v>
      </c>
    </row>
    <row r="12" spans="1:16" x14ac:dyDescent="0.25">
      <c r="G12" s="1" t="s">
        <v>148</v>
      </c>
      <c r="H12" s="1">
        <v>2</v>
      </c>
      <c r="I12" s="1">
        <v>2</v>
      </c>
      <c r="J12" s="1">
        <v>5</v>
      </c>
    </row>
    <row r="13" spans="1:16" x14ac:dyDescent="0.25">
      <c r="G13" s="1" t="s">
        <v>135</v>
      </c>
      <c r="H13" s="1">
        <v>5</v>
      </c>
      <c r="I13" s="1">
        <v>7</v>
      </c>
      <c r="J13" s="1">
        <v>8</v>
      </c>
    </row>
    <row r="14" spans="1:16" x14ac:dyDescent="0.25">
      <c r="G14" s="1" t="s">
        <v>169</v>
      </c>
      <c r="H14" s="1">
        <v>7</v>
      </c>
      <c r="I14" s="1">
        <v>13</v>
      </c>
      <c r="J14" s="1">
        <v>12</v>
      </c>
    </row>
    <row r="15" spans="1:16" x14ac:dyDescent="0.25">
      <c r="G15" s="1" t="s">
        <v>138</v>
      </c>
      <c r="H15" s="1">
        <v>10</v>
      </c>
      <c r="I15" s="1">
        <v>23</v>
      </c>
      <c r="J15" s="1">
        <v>25</v>
      </c>
    </row>
    <row r="16" spans="1:16" x14ac:dyDescent="0.25">
      <c r="G16" s="1" t="s">
        <v>189</v>
      </c>
      <c r="H16" s="1">
        <v>4</v>
      </c>
      <c r="I16" s="1">
        <v>5</v>
      </c>
      <c r="J16" s="1">
        <v>5</v>
      </c>
    </row>
    <row r="17" spans="7:10" x14ac:dyDescent="0.25">
      <c r="G17" s="1" t="s">
        <v>140</v>
      </c>
      <c r="H17" s="1">
        <v>6</v>
      </c>
      <c r="I17" s="1">
        <v>16</v>
      </c>
      <c r="J17" s="1">
        <v>6</v>
      </c>
    </row>
    <row r="18" spans="7:10" x14ac:dyDescent="0.25">
      <c r="G18" s="1" t="s">
        <v>141</v>
      </c>
      <c r="H18" s="1">
        <v>2</v>
      </c>
      <c r="I18" s="1">
        <v>11</v>
      </c>
      <c r="J18" s="1">
        <v>2</v>
      </c>
    </row>
    <row r="19" spans="7:10" x14ac:dyDescent="0.25">
      <c r="G19" s="1" t="s">
        <v>253</v>
      </c>
      <c r="H19" s="1">
        <v>1</v>
      </c>
      <c r="I19" s="1">
        <v>4</v>
      </c>
      <c r="J19" s="1">
        <v>1</v>
      </c>
    </row>
    <row r="20" spans="7:10" x14ac:dyDescent="0.25">
      <c r="G20" s="1" t="s">
        <v>147</v>
      </c>
      <c r="H20" s="1">
        <v>2</v>
      </c>
      <c r="I20" s="1">
        <v>6</v>
      </c>
      <c r="J20" s="1">
        <v>4</v>
      </c>
    </row>
    <row r="21" spans="7:10" x14ac:dyDescent="0.25">
      <c r="G21" s="1" t="s">
        <v>188</v>
      </c>
      <c r="H21" s="1">
        <v>3</v>
      </c>
      <c r="I21" s="1">
        <v>15</v>
      </c>
      <c r="J21" s="1">
        <v>3</v>
      </c>
    </row>
    <row r="22" spans="7:10" x14ac:dyDescent="0.25">
      <c r="G22" s="1" t="s">
        <v>171</v>
      </c>
      <c r="H22" s="1">
        <v>0</v>
      </c>
      <c r="I22" s="1">
        <v>0</v>
      </c>
      <c r="J22" s="1">
        <v>1</v>
      </c>
    </row>
    <row r="23" spans="7:10" x14ac:dyDescent="0.25">
      <c r="G23" s="1" t="s">
        <v>191</v>
      </c>
      <c r="H23" s="1">
        <v>1</v>
      </c>
      <c r="I23" s="1">
        <v>5</v>
      </c>
      <c r="J23" s="1">
        <v>1</v>
      </c>
    </row>
    <row r="24" spans="7:10" x14ac:dyDescent="0.25">
      <c r="G24" s="1" t="s">
        <v>159</v>
      </c>
      <c r="H24" s="1">
        <v>2</v>
      </c>
      <c r="I24" s="1">
        <v>2</v>
      </c>
      <c r="J24" s="1">
        <v>2</v>
      </c>
    </row>
    <row r="25" spans="7:10" x14ac:dyDescent="0.25">
      <c r="G25" s="1" t="s">
        <v>194</v>
      </c>
      <c r="H25" s="1">
        <v>0</v>
      </c>
      <c r="I25" s="1">
        <v>0</v>
      </c>
      <c r="J25" s="1">
        <v>1</v>
      </c>
    </row>
    <row r="26" spans="7:10" x14ac:dyDescent="0.25">
      <c r="G26" s="1" t="s">
        <v>118</v>
      </c>
      <c r="H26" s="1">
        <v>6</v>
      </c>
      <c r="I26" s="1">
        <v>24</v>
      </c>
      <c r="J26" s="1">
        <v>6</v>
      </c>
    </row>
    <row r="27" spans="7:10" x14ac:dyDescent="0.25">
      <c r="G27" s="1" t="s">
        <v>134</v>
      </c>
      <c r="H27" s="1">
        <v>0</v>
      </c>
      <c r="I27" s="1">
        <v>0</v>
      </c>
      <c r="J27" s="1">
        <v>1</v>
      </c>
    </row>
    <row r="28" spans="7:10" x14ac:dyDescent="0.25">
      <c r="G28" s="1" t="s">
        <v>168</v>
      </c>
      <c r="H28" s="1">
        <v>5</v>
      </c>
      <c r="I28" s="1">
        <v>7</v>
      </c>
      <c r="J28" s="1">
        <v>15</v>
      </c>
    </row>
    <row r="29" spans="7:10" x14ac:dyDescent="0.25">
      <c r="G29" s="1" t="s">
        <v>158</v>
      </c>
      <c r="H29" s="1">
        <v>0</v>
      </c>
      <c r="I29" s="1">
        <v>0</v>
      </c>
      <c r="J29" s="1">
        <v>2</v>
      </c>
    </row>
    <row r="30" spans="7:10" x14ac:dyDescent="0.25">
      <c r="G30" s="1" t="s">
        <v>1239</v>
      </c>
      <c r="H30" s="1">
        <v>2</v>
      </c>
      <c r="I30" s="1">
        <v>2</v>
      </c>
      <c r="J30" s="1">
        <v>6</v>
      </c>
    </row>
    <row r="31" spans="7:10" x14ac:dyDescent="0.25">
      <c r="G31" s="1" t="s">
        <v>44</v>
      </c>
      <c r="H31" s="1">
        <v>158</v>
      </c>
      <c r="I31" s="1">
        <v>408</v>
      </c>
      <c r="J31" s="1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B1:AD64"/>
  <sheetViews>
    <sheetView showGridLines="0" workbookViewId="0">
      <selection activeCell="B3" sqref="B3"/>
    </sheetView>
  </sheetViews>
  <sheetFormatPr defaultRowHeight="15" x14ac:dyDescent="0.25"/>
  <cols>
    <col min="1" max="1" width="8.85546875"/>
    <col min="2" max="2" width="26.7109375" style="17" customWidth="1"/>
    <col min="3" max="3" width="26.5703125" style="17" customWidth="1"/>
    <col min="4" max="4" width="18.42578125" style="20" customWidth="1"/>
    <col min="5" max="5" width="10.7109375" style="17" customWidth="1"/>
    <col min="6" max="7" width="16" style="17" customWidth="1"/>
    <col min="8" max="8" width="26.7109375" style="17" bestFit="1" customWidth="1"/>
    <col min="9" max="9" width="26.5703125" style="17" customWidth="1"/>
    <col min="10" max="10" width="18.42578125" style="20" customWidth="1"/>
    <col min="11" max="11" width="10.7109375" style="17" customWidth="1"/>
    <col min="12" max="12" width="16" style="17" customWidth="1"/>
    <col min="13" max="13" width="16" customWidth="1"/>
    <col min="14" max="14" width="22.28515625" bestFit="1" customWidth="1"/>
    <col min="15" max="15" width="26.5703125" customWidth="1"/>
    <col min="16" max="16" width="18.42578125" style="8" customWidth="1"/>
    <col min="17" max="17" width="10.7109375" customWidth="1"/>
    <col min="18" max="19" width="16" customWidth="1"/>
    <col min="20" max="20" width="22.28515625" customWidth="1"/>
    <col min="21" max="21" width="26.5703125" customWidth="1"/>
    <col min="22" max="22" width="18.42578125" style="8" customWidth="1"/>
    <col min="23" max="23" width="10.7109375" customWidth="1"/>
    <col min="24" max="25" width="16" customWidth="1"/>
    <col min="26" max="26" width="22.28515625" customWidth="1"/>
    <col min="27" max="27" width="26.5703125" customWidth="1"/>
    <col min="28" max="28" width="10.7109375" customWidth="1"/>
    <col min="29" max="30" width="16" customWidth="1"/>
    <col min="31" max="31" width="16" bestFit="1" customWidth="1"/>
  </cols>
  <sheetData>
    <row r="1" spans="2:30" ht="18.75" x14ac:dyDescent="0.3">
      <c r="B1" s="53" t="s">
        <v>70</v>
      </c>
      <c r="C1" s="53"/>
      <c r="D1" s="53"/>
      <c r="E1" s="53"/>
      <c r="F1" s="53"/>
      <c r="H1" s="53" t="s">
        <v>61</v>
      </c>
      <c r="I1" s="53"/>
      <c r="J1" s="53"/>
      <c r="K1" s="53"/>
      <c r="L1" s="53"/>
      <c r="N1" s="54" t="s">
        <v>68</v>
      </c>
      <c r="O1" s="54"/>
      <c r="P1" s="54"/>
      <c r="Q1" s="54"/>
      <c r="R1" s="54"/>
      <c r="T1" s="54" t="s">
        <v>72</v>
      </c>
      <c r="U1" s="54"/>
      <c r="V1" s="54"/>
      <c r="W1" s="54"/>
      <c r="X1" s="54"/>
      <c r="Z1" s="54" t="s">
        <v>71</v>
      </c>
      <c r="AA1" s="54"/>
      <c r="AB1" s="54"/>
      <c r="AC1" s="54"/>
      <c r="AD1" s="54"/>
    </row>
    <row r="2" spans="2:30" x14ac:dyDescent="0.25">
      <c r="B2" s="18" t="s">
        <v>42</v>
      </c>
      <c r="C2" s="19" t="s">
        <v>98</v>
      </c>
      <c r="H2" s="18" t="s">
        <v>42</v>
      </c>
      <c r="I2" s="19" t="s">
        <v>98</v>
      </c>
      <c r="N2" s="3" t="s">
        <v>42</v>
      </c>
      <c r="O2" s="1" t="s">
        <v>98</v>
      </c>
      <c r="T2" s="3" t="s">
        <v>42</v>
      </c>
      <c r="U2" s="1" t="s">
        <v>98</v>
      </c>
      <c r="Z2" s="3" t="s">
        <v>42</v>
      </c>
      <c r="AA2" s="1" t="s">
        <v>98</v>
      </c>
    </row>
    <row r="3" spans="2:30" x14ac:dyDescent="0.25">
      <c r="B3" s="18" t="s">
        <v>45</v>
      </c>
      <c r="C3" s="19" t="s">
        <v>47</v>
      </c>
      <c r="H3" s="18" t="s">
        <v>45</v>
      </c>
      <c r="I3" s="19" t="s">
        <v>47</v>
      </c>
      <c r="N3" s="3" t="s">
        <v>45</v>
      </c>
      <c r="O3" s="1" t="s">
        <v>47</v>
      </c>
      <c r="T3" s="3" t="s">
        <v>45</v>
      </c>
      <c r="U3" s="1" t="s">
        <v>47</v>
      </c>
      <c r="Z3" s="3" t="s">
        <v>45</v>
      </c>
      <c r="AA3" s="1" t="s">
        <v>47</v>
      </c>
    </row>
    <row r="5" spans="2:30" ht="14.45" customHeight="1" x14ac:dyDescent="0.25">
      <c r="B5" s="18" t="s">
        <v>32</v>
      </c>
      <c r="C5" s="18" t="s">
        <v>9</v>
      </c>
      <c r="D5" s="21" t="s">
        <v>60</v>
      </c>
      <c r="E5" s="19" t="s">
        <v>54</v>
      </c>
      <c r="F5" s="19" t="s">
        <v>59</v>
      </c>
      <c r="H5" s="18" t="s">
        <v>32</v>
      </c>
      <c r="I5" s="18" t="s">
        <v>9</v>
      </c>
      <c r="J5" s="21" t="s">
        <v>60</v>
      </c>
      <c r="K5" s="19" t="s">
        <v>54</v>
      </c>
      <c r="L5" s="19" t="s">
        <v>59</v>
      </c>
      <c r="N5" s="3" t="s">
        <v>32</v>
      </c>
      <c r="O5" s="3" t="s">
        <v>9</v>
      </c>
      <c r="P5" s="2" t="s">
        <v>60</v>
      </c>
      <c r="Q5" s="1" t="s">
        <v>54</v>
      </c>
      <c r="R5" s="1" t="s">
        <v>59</v>
      </c>
      <c r="T5" s="3" t="s">
        <v>32</v>
      </c>
      <c r="U5" s="3" t="s">
        <v>9</v>
      </c>
      <c r="V5" s="2" t="s">
        <v>60</v>
      </c>
      <c r="W5" s="1" t="s">
        <v>54</v>
      </c>
      <c r="X5" s="1" t="s">
        <v>59</v>
      </c>
      <c r="Z5" s="3" t="s">
        <v>32</v>
      </c>
      <c r="AA5" s="3" t="s">
        <v>9</v>
      </c>
      <c r="AB5" s="1" t="s">
        <v>54</v>
      </c>
      <c r="AC5" s="1" t="s">
        <v>59</v>
      </c>
    </row>
    <row r="6" spans="2:30" x14ac:dyDescent="0.25">
      <c r="B6" s="19" t="s">
        <v>43</v>
      </c>
      <c r="C6" s="19"/>
      <c r="D6" s="21">
        <v>98.860030153443716</v>
      </c>
      <c r="E6" s="19">
        <v>121</v>
      </c>
      <c r="F6" s="19">
        <v>276</v>
      </c>
      <c r="H6" s="19" t="s">
        <v>43</v>
      </c>
      <c r="I6" s="19"/>
      <c r="J6" s="21">
        <v>98.860030153443716</v>
      </c>
      <c r="K6" s="19">
        <v>121</v>
      </c>
      <c r="L6" s="19">
        <v>276</v>
      </c>
      <c r="N6" s="1" t="s">
        <v>1269</v>
      </c>
      <c r="O6" s="1"/>
      <c r="P6" s="2">
        <v>98.622307189232799</v>
      </c>
      <c r="Q6" s="1">
        <v>25</v>
      </c>
      <c r="R6" s="1">
        <v>77</v>
      </c>
      <c r="T6" s="1" t="s">
        <v>1269</v>
      </c>
      <c r="U6" s="1"/>
      <c r="V6" s="2">
        <v>98.622307189232799</v>
      </c>
      <c r="W6" s="1">
        <v>25</v>
      </c>
      <c r="X6" s="1">
        <v>77</v>
      </c>
      <c r="Z6" s="1" t="s">
        <v>1269</v>
      </c>
      <c r="AA6" s="1"/>
      <c r="AB6" s="1">
        <v>25</v>
      </c>
      <c r="AC6" s="1">
        <v>77</v>
      </c>
    </row>
    <row r="7" spans="2:30" x14ac:dyDescent="0.25">
      <c r="B7" s="19"/>
      <c r="C7" s="19" t="s">
        <v>103</v>
      </c>
      <c r="D7" s="21">
        <v>99.655620763261851</v>
      </c>
      <c r="E7" s="19">
        <v>11</v>
      </c>
      <c r="F7" s="19">
        <v>22</v>
      </c>
      <c r="H7" s="19"/>
      <c r="I7" s="19" t="s">
        <v>103</v>
      </c>
      <c r="J7" s="21">
        <v>99.655620763261851</v>
      </c>
      <c r="K7" s="19">
        <v>11</v>
      </c>
      <c r="L7" s="19">
        <v>22</v>
      </c>
      <c r="N7" s="1"/>
      <c r="O7" s="1" t="s">
        <v>103</v>
      </c>
      <c r="P7" s="2">
        <v>99.66124661246613</v>
      </c>
      <c r="Q7" s="1">
        <v>1</v>
      </c>
      <c r="R7" s="1">
        <v>1</v>
      </c>
      <c r="T7" s="1"/>
      <c r="U7" s="1" t="s">
        <v>103</v>
      </c>
      <c r="V7" s="2">
        <v>99.66124661246613</v>
      </c>
      <c r="W7" s="1">
        <v>1</v>
      </c>
      <c r="X7" s="1">
        <v>1</v>
      </c>
      <c r="Z7" s="1"/>
      <c r="AA7" s="1" t="s">
        <v>103</v>
      </c>
      <c r="AB7" s="1">
        <v>1</v>
      </c>
      <c r="AC7" s="1">
        <v>1</v>
      </c>
    </row>
    <row r="8" spans="2:30" x14ac:dyDescent="0.25">
      <c r="B8" s="19"/>
      <c r="C8" s="19" t="s">
        <v>132</v>
      </c>
      <c r="D8" s="21">
        <v>99.10749667578736</v>
      </c>
      <c r="E8" s="19">
        <v>17</v>
      </c>
      <c r="F8" s="19">
        <v>37</v>
      </c>
      <c r="H8" s="19"/>
      <c r="I8" s="19" t="s">
        <v>132</v>
      </c>
      <c r="J8" s="21">
        <v>99.10749667578736</v>
      </c>
      <c r="K8" s="19">
        <v>17</v>
      </c>
      <c r="L8" s="19">
        <v>37</v>
      </c>
      <c r="N8" s="1"/>
      <c r="O8" s="1" t="s">
        <v>480</v>
      </c>
      <c r="P8" s="2">
        <v>98.301197683684222</v>
      </c>
      <c r="Q8" s="1">
        <v>11</v>
      </c>
      <c r="R8" s="1">
        <v>34</v>
      </c>
      <c r="T8" s="1"/>
      <c r="U8" s="1" t="s">
        <v>480</v>
      </c>
      <c r="V8" s="2">
        <v>98.301197683684222</v>
      </c>
      <c r="W8" s="1">
        <v>11</v>
      </c>
      <c r="X8" s="1">
        <v>34</v>
      </c>
      <c r="Z8" s="1"/>
      <c r="AA8" s="1" t="s">
        <v>480</v>
      </c>
      <c r="AB8" s="1">
        <v>11</v>
      </c>
      <c r="AC8" s="1">
        <v>34</v>
      </c>
    </row>
    <row r="9" spans="2:30" x14ac:dyDescent="0.25">
      <c r="B9" s="19"/>
      <c r="C9" s="19" t="s">
        <v>457</v>
      </c>
      <c r="D9" s="21">
        <v>95.162648540462129</v>
      </c>
      <c r="E9" s="19">
        <v>22</v>
      </c>
      <c r="F9" s="19">
        <v>79</v>
      </c>
      <c r="H9" s="19"/>
      <c r="I9" s="19" t="s">
        <v>457</v>
      </c>
      <c r="J9" s="21">
        <v>95.162648540462129</v>
      </c>
      <c r="K9" s="19">
        <v>22</v>
      </c>
      <c r="L9" s="19">
        <v>79</v>
      </c>
      <c r="N9" s="1"/>
      <c r="O9" s="1" t="s">
        <v>482</v>
      </c>
      <c r="P9" s="2">
        <v>98.826298738720183</v>
      </c>
      <c r="Q9" s="1">
        <v>13</v>
      </c>
      <c r="R9" s="1">
        <v>42</v>
      </c>
      <c r="T9" s="1"/>
      <c r="U9" s="1" t="s">
        <v>482</v>
      </c>
      <c r="V9" s="2">
        <v>98.826298738720183</v>
      </c>
      <c r="W9" s="1">
        <v>13</v>
      </c>
      <c r="X9" s="1">
        <v>42</v>
      </c>
      <c r="Z9" s="1"/>
      <c r="AA9" s="1" t="s">
        <v>482</v>
      </c>
      <c r="AB9" s="1">
        <v>13</v>
      </c>
      <c r="AC9" s="1">
        <v>42</v>
      </c>
    </row>
    <row r="10" spans="2:30" x14ac:dyDescent="0.25">
      <c r="B10" s="19"/>
      <c r="C10" s="19" t="s">
        <v>480</v>
      </c>
      <c r="D10" s="21">
        <v>100</v>
      </c>
      <c r="E10" s="19">
        <v>0</v>
      </c>
      <c r="F10" s="19">
        <v>0</v>
      </c>
      <c r="H10" s="19"/>
      <c r="I10" s="19" t="s">
        <v>480</v>
      </c>
      <c r="J10" s="21">
        <v>100</v>
      </c>
      <c r="K10" s="19">
        <v>0</v>
      </c>
      <c r="L10" s="19">
        <v>0</v>
      </c>
      <c r="N10" s="1" t="s">
        <v>43</v>
      </c>
      <c r="O10" s="1"/>
      <c r="P10" s="2">
        <v>98.860030153443716</v>
      </c>
      <c r="Q10" s="1">
        <v>121</v>
      </c>
      <c r="R10" s="1">
        <v>276</v>
      </c>
      <c r="T10" s="1" t="s">
        <v>43</v>
      </c>
      <c r="U10" s="1"/>
      <c r="V10" s="2">
        <v>98.860030153443716</v>
      </c>
      <c r="W10" s="1">
        <v>121</v>
      </c>
      <c r="X10" s="1">
        <v>276</v>
      </c>
      <c r="Z10" s="1" t="s">
        <v>43</v>
      </c>
      <c r="AA10" s="1"/>
      <c r="AB10" s="1">
        <v>121</v>
      </c>
      <c r="AC10" s="1">
        <v>276</v>
      </c>
    </row>
    <row r="11" spans="2:30" x14ac:dyDescent="0.25">
      <c r="B11" s="19"/>
      <c r="C11" s="19" t="s">
        <v>99</v>
      </c>
      <c r="D11" s="21">
        <v>99.705795822300672</v>
      </c>
      <c r="E11" s="19">
        <v>9</v>
      </c>
      <c r="F11" s="19">
        <v>16</v>
      </c>
      <c r="H11" s="19"/>
      <c r="I11" s="19" t="s">
        <v>99</v>
      </c>
      <c r="J11" s="21">
        <v>99.705795822300672</v>
      </c>
      <c r="K11" s="19">
        <v>9</v>
      </c>
      <c r="L11" s="19">
        <v>16</v>
      </c>
      <c r="N11" s="1"/>
      <c r="O11" s="1" t="s">
        <v>103</v>
      </c>
      <c r="P11" s="2">
        <v>99.655620763261851</v>
      </c>
      <c r="Q11" s="1">
        <v>11</v>
      </c>
      <c r="R11" s="1">
        <v>22</v>
      </c>
      <c r="T11" s="1"/>
      <c r="U11" s="1" t="s">
        <v>103</v>
      </c>
      <c r="V11" s="2">
        <v>99.655620763261851</v>
      </c>
      <c r="W11" s="1">
        <v>11</v>
      </c>
      <c r="X11" s="1">
        <v>22</v>
      </c>
      <c r="Z11" s="1"/>
      <c r="AA11" s="1" t="s">
        <v>103</v>
      </c>
      <c r="AB11" s="1">
        <v>11</v>
      </c>
      <c r="AC11" s="1">
        <v>22</v>
      </c>
    </row>
    <row r="12" spans="2:30" x14ac:dyDescent="0.25">
      <c r="B12" s="19"/>
      <c r="C12" s="19" t="s">
        <v>478</v>
      </c>
      <c r="D12" s="21">
        <v>99.297783493591197</v>
      </c>
      <c r="E12" s="19">
        <v>14</v>
      </c>
      <c r="F12" s="19">
        <v>21</v>
      </c>
      <c r="H12" s="19"/>
      <c r="I12" s="19" t="s">
        <v>478</v>
      </c>
      <c r="J12" s="21">
        <v>99.297783493591197</v>
      </c>
      <c r="K12" s="19">
        <v>14</v>
      </c>
      <c r="L12" s="19">
        <v>21</v>
      </c>
      <c r="N12" s="1"/>
      <c r="O12" s="1" t="s">
        <v>132</v>
      </c>
      <c r="P12" s="2">
        <v>99.10749667578736</v>
      </c>
      <c r="Q12" s="1">
        <v>17</v>
      </c>
      <c r="R12" s="1">
        <v>37</v>
      </c>
      <c r="T12" s="1"/>
      <c r="U12" s="1" t="s">
        <v>132</v>
      </c>
      <c r="V12" s="2">
        <v>99.10749667578736</v>
      </c>
      <c r="W12" s="1">
        <v>17</v>
      </c>
      <c r="X12" s="1">
        <v>37</v>
      </c>
      <c r="Z12" s="1"/>
      <c r="AA12" s="1" t="s">
        <v>457</v>
      </c>
      <c r="AB12" s="1">
        <v>22</v>
      </c>
      <c r="AC12" s="1">
        <v>79</v>
      </c>
    </row>
    <row r="13" spans="2:30" x14ac:dyDescent="0.25">
      <c r="B13" s="19"/>
      <c r="C13" s="19" t="s">
        <v>459</v>
      </c>
      <c r="D13" s="21">
        <v>98.596779071752692</v>
      </c>
      <c r="E13" s="19">
        <v>14</v>
      </c>
      <c r="F13" s="19">
        <v>21</v>
      </c>
      <c r="H13" s="19"/>
      <c r="I13" s="19" t="s">
        <v>459</v>
      </c>
      <c r="J13" s="21">
        <v>98.596779071752692</v>
      </c>
      <c r="K13" s="19">
        <v>14</v>
      </c>
      <c r="L13" s="19">
        <v>21</v>
      </c>
      <c r="N13" s="1"/>
      <c r="O13" s="1" t="s">
        <v>457</v>
      </c>
      <c r="P13" s="2">
        <v>95.162648540462129</v>
      </c>
      <c r="Q13" s="1">
        <v>22</v>
      </c>
      <c r="R13" s="1">
        <v>79</v>
      </c>
      <c r="T13" s="1"/>
      <c r="U13" s="1" t="s">
        <v>457</v>
      </c>
      <c r="V13" s="2">
        <v>95.162648540462129</v>
      </c>
      <c r="W13" s="1">
        <v>22</v>
      </c>
      <c r="X13" s="1">
        <v>79</v>
      </c>
      <c r="Z13" s="1"/>
      <c r="AA13" s="1" t="s">
        <v>480</v>
      </c>
      <c r="AB13" s="1">
        <v>0</v>
      </c>
      <c r="AC13" s="1">
        <v>0</v>
      </c>
    </row>
    <row r="14" spans="2:30" x14ac:dyDescent="0.25">
      <c r="B14" s="19"/>
      <c r="C14" s="19" t="s">
        <v>153</v>
      </c>
      <c r="D14" s="21">
        <v>99.783623881856002</v>
      </c>
      <c r="E14" s="19">
        <v>9</v>
      </c>
      <c r="F14" s="19">
        <v>21</v>
      </c>
      <c r="H14" s="19"/>
      <c r="I14" s="19" t="s">
        <v>153</v>
      </c>
      <c r="J14" s="21">
        <v>99.783623881856002</v>
      </c>
      <c r="K14" s="19">
        <v>9</v>
      </c>
      <c r="L14" s="19">
        <v>21</v>
      </c>
      <c r="N14" s="1"/>
      <c r="O14" s="1" t="s">
        <v>480</v>
      </c>
      <c r="P14" s="2">
        <v>100</v>
      </c>
      <c r="Q14" s="1">
        <v>0</v>
      </c>
      <c r="R14" s="1">
        <v>0</v>
      </c>
      <c r="T14" s="1"/>
      <c r="U14" s="1" t="s">
        <v>480</v>
      </c>
      <c r="V14" s="2">
        <v>100</v>
      </c>
      <c r="W14" s="1">
        <v>0</v>
      </c>
      <c r="X14" s="1">
        <v>0</v>
      </c>
      <c r="Z14" s="1"/>
      <c r="AA14" s="1" t="s">
        <v>132</v>
      </c>
      <c r="AB14" s="1">
        <v>17</v>
      </c>
      <c r="AC14" s="1">
        <v>37</v>
      </c>
    </row>
    <row r="15" spans="2:30" x14ac:dyDescent="0.25">
      <c r="B15" s="19"/>
      <c r="C15" s="19" t="s">
        <v>482</v>
      </c>
      <c r="D15" s="21">
        <v>99.350504358101176</v>
      </c>
      <c r="E15" s="19">
        <v>7</v>
      </c>
      <c r="F15" s="19">
        <v>17</v>
      </c>
      <c r="H15" s="19"/>
      <c r="I15" s="19" t="s">
        <v>482</v>
      </c>
      <c r="J15" s="21">
        <v>99.350504358101176</v>
      </c>
      <c r="K15" s="19">
        <v>7</v>
      </c>
      <c r="L15" s="19">
        <v>17</v>
      </c>
      <c r="N15" s="1"/>
      <c r="O15" s="1" t="s">
        <v>99</v>
      </c>
      <c r="P15" s="2">
        <v>99.705795822300672</v>
      </c>
      <c r="Q15" s="1">
        <v>9</v>
      </c>
      <c r="R15" s="1">
        <v>16</v>
      </c>
      <c r="T15" s="1"/>
      <c r="U15" s="1" t="s">
        <v>99</v>
      </c>
      <c r="V15" s="2">
        <v>99.705795822300672</v>
      </c>
      <c r="W15" s="1">
        <v>9</v>
      </c>
      <c r="X15" s="1">
        <v>16</v>
      </c>
      <c r="Z15" s="1"/>
      <c r="AA15" s="1" t="s">
        <v>99</v>
      </c>
      <c r="AB15" s="1">
        <v>9</v>
      </c>
      <c r="AC15" s="1">
        <v>16</v>
      </c>
    </row>
    <row r="16" spans="2:30" x14ac:dyDescent="0.25">
      <c r="B16" s="19"/>
      <c r="C16" s="19" t="s">
        <v>1096</v>
      </c>
      <c r="D16" s="21">
        <v>99.086854285545385</v>
      </c>
      <c r="E16" s="19">
        <v>18</v>
      </c>
      <c r="F16" s="19">
        <v>42</v>
      </c>
      <c r="H16" s="19"/>
      <c r="I16" s="19" t="s">
        <v>1096</v>
      </c>
      <c r="J16" s="21">
        <v>99.086854285545385</v>
      </c>
      <c r="K16" s="19">
        <v>18</v>
      </c>
      <c r="L16" s="19">
        <v>42</v>
      </c>
      <c r="N16" s="1"/>
      <c r="O16" s="1" t="s">
        <v>478</v>
      </c>
      <c r="P16" s="2">
        <v>99.297783493591197</v>
      </c>
      <c r="Q16" s="1">
        <v>14</v>
      </c>
      <c r="R16" s="1">
        <v>21</v>
      </c>
      <c r="T16" s="1"/>
      <c r="U16" s="1" t="s">
        <v>478</v>
      </c>
      <c r="V16" s="2">
        <v>99.297783493591197</v>
      </c>
      <c r="W16" s="1">
        <v>14</v>
      </c>
      <c r="X16" s="1">
        <v>21</v>
      </c>
      <c r="Z16" s="1"/>
      <c r="AA16" s="1" t="s">
        <v>478</v>
      </c>
      <c r="AB16" s="1">
        <v>14</v>
      </c>
      <c r="AC16" s="1">
        <v>21</v>
      </c>
    </row>
    <row r="17" spans="2:29" x14ac:dyDescent="0.25">
      <c r="B17" s="19" t="s">
        <v>1269</v>
      </c>
      <c r="C17" s="19"/>
      <c r="D17" s="21">
        <v>98.622307189232799</v>
      </c>
      <c r="E17" s="19">
        <v>25</v>
      </c>
      <c r="F17" s="19">
        <v>77</v>
      </c>
      <c r="H17" s="19" t="s">
        <v>1269</v>
      </c>
      <c r="I17" s="19"/>
      <c r="J17" s="21">
        <v>98.622307189232799</v>
      </c>
      <c r="K17" s="19">
        <v>25</v>
      </c>
      <c r="L17" s="19">
        <v>77</v>
      </c>
      <c r="N17" s="1"/>
      <c r="O17" s="1" t="s">
        <v>459</v>
      </c>
      <c r="P17" s="2">
        <v>98.596779071752692</v>
      </c>
      <c r="Q17" s="1">
        <v>14</v>
      </c>
      <c r="R17" s="1">
        <v>21</v>
      </c>
      <c r="T17" s="1"/>
      <c r="U17" s="1" t="s">
        <v>459</v>
      </c>
      <c r="V17" s="2">
        <v>98.596779071752692</v>
      </c>
      <c r="W17" s="1">
        <v>14</v>
      </c>
      <c r="X17" s="1">
        <v>21</v>
      </c>
      <c r="Z17" s="1"/>
      <c r="AA17" s="1" t="s">
        <v>459</v>
      </c>
      <c r="AB17" s="1">
        <v>14</v>
      </c>
      <c r="AC17" s="1">
        <v>21</v>
      </c>
    </row>
    <row r="18" spans="2:29" x14ac:dyDescent="0.25">
      <c r="B18" s="19"/>
      <c r="C18" s="19" t="s">
        <v>103</v>
      </c>
      <c r="D18" s="21">
        <v>99.66124661246613</v>
      </c>
      <c r="E18" s="19">
        <v>1</v>
      </c>
      <c r="F18" s="19">
        <v>1</v>
      </c>
      <c r="H18" s="19"/>
      <c r="I18" s="19" t="s">
        <v>103</v>
      </c>
      <c r="J18" s="21">
        <v>99.66124661246613</v>
      </c>
      <c r="K18" s="19">
        <v>1</v>
      </c>
      <c r="L18" s="19">
        <v>1</v>
      </c>
      <c r="N18" s="1"/>
      <c r="O18" s="1" t="s">
        <v>153</v>
      </c>
      <c r="P18" s="2">
        <v>99.783623881856002</v>
      </c>
      <c r="Q18" s="1">
        <v>9</v>
      </c>
      <c r="R18" s="1">
        <v>21</v>
      </c>
      <c r="T18" s="1"/>
      <c r="U18" s="1" t="s">
        <v>153</v>
      </c>
      <c r="V18" s="2">
        <v>99.783623881856002</v>
      </c>
      <c r="W18" s="1">
        <v>9</v>
      </c>
      <c r="X18" s="1">
        <v>21</v>
      </c>
      <c r="Z18" s="1"/>
      <c r="AA18" s="1" t="s">
        <v>153</v>
      </c>
      <c r="AB18" s="1">
        <v>9</v>
      </c>
      <c r="AC18" s="1">
        <v>21</v>
      </c>
    </row>
    <row r="19" spans="2:29" x14ac:dyDescent="0.25">
      <c r="B19" s="19"/>
      <c r="C19" s="19" t="s">
        <v>480</v>
      </c>
      <c r="D19" s="21">
        <v>98.301197683684222</v>
      </c>
      <c r="E19" s="19">
        <v>11</v>
      </c>
      <c r="F19" s="19">
        <v>34</v>
      </c>
      <c r="H19" s="19"/>
      <c r="I19" s="19" t="s">
        <v>480</v>
      </c>
      <c r="J19" s="21">
        <v>98.301197683684222</v>
      </c>
      <c r="K19" s="19">
        <v>11</v>
      </c>
      <c r="L19" s="19">
        <v>34</v>
      </c>
      <c r="N19" s="1"/>
      <c r="O19" s="1" t="s">
        <v>482</v>
      </c>
      <c r="P19" s="2">
        <v>99.350504358101176</v>
      </c>
      <c r="Q19" s="1">
        <v>7</v>
      </c>
      <c r="R19" s="1">
        <v>17</v>
      </c>
      <c r="T19" s="1"/>
      <c r="U19" s="1" t="s">
        <v>482</v>
      </c>
      <c r="V19" s="2">
        <v>99.350504358101176</v>
      </c>
      <c r="W19" s="1">
        <v>7</v>
      </c>
      <c r="X19" s="1">
        <v>17</v>
      </c>
      <c r="Z19" s="1"/>
      <c r="AA19" s="1" t="s">
        <v>482</v>
      </c>
      <c r="AB19" s="1">
        <v>7</v>
      </c>
      <c r="AC19" s="1">
        <v>17</v>
      </c>
    </row>
    <row r="20" spans="2:29" x14ac:dyDescent="0.25">
      <c r="B20" s="19"/>
      <c r="C20" s="19" t="s">
        <v>482</v>
      </c>
      <c r="D20" s="21">
        <v>98.826298738720183</v>
      </c>
      <c r="E20" s="19">
        <v>13</v>
      </c>
      <c r="F20" s="19">
        <v>42</v>
      </c>
      <c r="H20" s="19"/>
      <c r="I20" s="19" t="s">
        <v>482</v>
      </c>
      <c r="J20" s="21">
        <v>98.826298738720183</v>
      </c>
      <c r="K20" s="19">
        <v>13</v>
      </c>
      <c r="L20" s="19">
        <v>42</v>
      </c>
      <c r="N20" s="1"/>
      <c r="O20" s="1" t="s">
        <v>1096</v>
      </c>
      <c r="P20" s="2">
        <v>99.086854285545385</v>
      </c>
      <c r="Q20" s="1">
        <v>18</v>
      </c>
      <c r="R20" s="1">
        <v>42</v>
      </c>
      <c r="T20" s="1"/>
      <c r="U20" s="1" t="s">
        <v>1096</v>
      </c>
      <c r="V20" s="2">
        <v>99.086854285545385</v>
      </c>
      <c r="W20" s="1">
        <v>18</v>
      </c>
      <c r="X20" s="1">
        <v>42</v>
      </c>
      <c r="Z20" s="1"/>
      <c r="AA20" s="1" t="s">
        <v>1096</v>
      </c>
      <c r="AB20" s="1">
        <v>18</v>
      </c>
      <c r="AC20" s="1">
        <v>42</v>
      </c>
    </row>
    <row r="21" spans="2:29" x14ac:dyDescent="0.25">
      <c r="B21" s="19" t="s">
        <v>44</v>
      </c>
      <c r="C21" s="19"/>
      <c r="D21" s="21">
        <v>98.825471308426273</v>
      </c>
      <c r="E21" s="19">
        <v>146</v>
      </c>
      <c r="F21" s="19">
        <v>353</v>
      </c>
      <c r="H21" s="19" t="s">
        <v>44</v>
      </c>
      <c r="I21" s="19"/>
      <c r="J21" s="21">
        <v>98.825471308426273</v>
      </c>
      <c r="K21" s="19">
        <v>146</v>
      </c>
      <c r="L21" s="19">
        <v>353</v>
      </c>
      <c r="N21" s="1" t="s">
        <v>44</v>
      </c>
      <c r="O21" s="1"/>
      <c r="P21" s="2">
        <v>98.825471308426302</v>
      </c>
      <c r="Q21" s="1">
        <v>146</v>
      </c>
      <c r="R21" s="1">
        <v>353</v>
      </c>
      <c r="T21" s="1" t="s">
        <v>44</v>
      </c>
      <c r="U21" s="1"/>
      <c r="V21" s="2">
        <v>98.825471308426302</v>
      </c>
      <c r="W21" s="1">
        <v>146</v>
      </c>
      <c r="X21" s="1">
        <v>353</v>
      </c>
      <c r="Z21" s="1" t="s">
        <v>44</v>
      </c>
      <c r="AA21" s="1"/>
      <c r="AB21" s="1">
        <v>146</v>
      </c>
      <c r="AC21" s="1">
        <v>353</v>
      </c>
    </row>
    <row r="22" spans="2:29" x14ac:dyDescent="0.25">
      <c r="B22"/>
      <c r="C22"/>
      <c r="D22"/>
      <c r="E22"/>
      <c r="F22"/>
      <c r="H22"/>
      <c r="I22"/>
      <c r="J22"/>
      <c r="K22"/>
      <c r="L22"/>
      <c r="P22"/>
      <c r="V22"/>
    </row>
    <row r="23" spans="2:29" x14ac:dyDescent="0.25">
      <c r="B23"/>
      <c r="C23"/>
      <c r="D23"/>
      <c r="E23"/>
      <c r="F23"/>
      <c r="H23"/>
      <c r="I23"/>
      <c r="J23"/>
      <c r="K23"/>
      <c r="L23"/>
      <c r="P23"/>
      <c r="V23"/>
    </row>
    <row r="24" spans="2:29" x14ac:dyDescent="0.25">
      <c r="B24"/>
      <c r="C24"/>
      <c r="D24"/>
      <c r="E24"/>
      <c r="F24"/>
      <c r="H24"/>
      <c r="I24"/>
      <c r="J24"/>
      <c r="K24"/>
      <c r="L24"/>
      <c r="P24"/>
      <c r="V24"/>
    </row>
    <row r="25" spans="2:29" x14ac:dyDescent="0.25">
      <c r="B25"/>
      <c r="C25"/>
      <c r="D25"/>
      <c r="E25"/>
      <c r="F25"/>
      <c r="H25"/>
      <c r="I25"/>
      <c r="J25"/>
      <c r="K25"/>
      <c r="L25"/>
      <c r="P25"/>
      <c r="V25"/>
    </row>
    <row r="26" spans="2:29" x14ac:dyDescent="0.25">
      <c r="B26"/>
      <c r="C26"/>
      <c r="D26"/>
      <c r="E26"/>
      <c r="F26"/>
      <c r="H26"/>
      <c r="I26"/>
      <c r="J26"/>
      <c r="K26"/>
      <c r="L26"/>
      <c r="P26"/>
      <c r="V26"/>
    </row>
    <row r="27" spans="2:29" x14ac:dyDescent="0.25">
      <c r="B27"/>
      <c r="C27"/>
      <c r="D27"/>
      <c r="E27"/>
      <c r="F27"/>
      <c r="H27"/>
      <c r="I27"/>
      <c r="J27"/>
      <c r="K27"/>
      <c r="L27"/>
      <c r="P27"/>
      <c r="V27"/>
    </row>
    <row r="28" spans="2:29" x14ac:dyDescent="0.25">
      <c r="B28"/>
      <c r="C28"/>
      <c r="D28"/>
      <c r="E28"/>
      <c r="F28"/>
      <c r="H28"/>
      <c r="I28"/>
      <c r="J28"/>
      <c r="K28"/>
      <c r="L28"/>
      <c r="P28"/>
      <c r="V28"/>
    </row>
    <row r="29" spans="2:29" x14ac:dyDescent="0.25">
      <c r="B29"/>
      <c r="C29"/>
      <c r="D29"/>
      <c r="E29"/>
      <c r="F29"/>
      <c r="H29"/>
      <c r="I29"/>
      <c r="J29"/>
      <c r="K29"/>
      <c r="L29"/>
      <c r="P29"/>
      <c r="V29"/>
    </row>
    <row r="30" spans="2:29" x14ac:dyDescent="0.25">
      <c r="B30"/>
      <c r="C30"/>
      <c r="D30"/>
      <c r="E30"/>
      <c r="F30"/>
      <c r="H30"/>
      <c r="I30"/>
      <c r="J30"/>
      <c r="K30"/>
      <c r="L30"/>
      <c r="P30"/>
      <c r="V30"/>
    </row>
    <row r="31" spans="2:29" x14ac:dyDescent="0.25">
      <c r="B31"/>
      <c r="C31"/>
      <c r="D31"/>
      <c r="E31"/>
      <c r="F31"/>
      <c r="H31"/>
      <c r="I31"/>
      <c r="J31"/>
      <c r="K31"/>
      <c r="L31"/>
      <c r="P31"/>
      <c r="V31"/>
    </row>
    <row r="32" spans="2:29" x14ac:dyDescent="0.25">
      <c r="B32"/>
      <c r="C32"/>
      <c r="D32"/>
      <c r="E32"/>
      <c r="F32"/>
      <c r="H32"/>
      <c r="I32"/>
      <c r="J32"/>
      <c r="K32"/>
      <c r="L32"/>
      <c r="P32"/>
      <c r="V32"/>
    </row>
    <row r="33" spans="2:22" x14ac:dyDescent="0.25">
      <c r="B33"/>
      <c r="C33"/>
      <c r="D33"/>
      <c r="E33"/>
      <c r="F33"/>
      <c r="H33"/>
      <c r="I33"/>
      <c r="J33"/>
      <c r="K33"/>
      <c r="L33"/>
      <c r="P33"/>
      <c r="V33"/>
    </row>
    <row r="34" spans="2:22" x14ac:dyDescent="0.25">
      <c r="B34"/>
      <c r="C34"/>
      <c r="D34"/>
      <c r="E34"/>
      <c r="F34"/>
      <c r="H34"/>
      <c r="I34"/>
      <c r="J34"/>
      <c r="K34"/>
      <c r="L34"/>
      <c r="P34"/>
      <c r="V34"/>
    </row>
    <row r="35" spans="2:22" x14ac:dyDescent="0.25">
      <c r="B35"/>
      <c r="C35"/>
      <c r="D35"/>
      <c r="E35"/>
      <c r="F35"/>
      <c r="H35"/>
      <c r="I35"/>
      <c r="J35"/>
      <c r="K35"/>
      <c r="L35"/>
      <c r="P35"/>
      <c r="V35"/>
    </row>
    <row r="36" spans="2:22" x14ac:dyDescent="0.25">
      <c r="B36"/>
      <c r="C36"/>
      <c r="D36"/>
      <c r="E36"/>
      <c r="F36"/>
      <c r="H36"/>
      <c r="I36"/>
      <c r="J36"/>
      <c r="K36"/>
      <c r="L36"/>
      <c r="P36"/>
      <c r="V36"/>
    </row>
    <row r="37" spans="2:22" x14ac:dyDescent="0.25">
      <c r="B37"/>
      <c r="C37"/>
      <c r="D37"/>
      <c r="E37"/>
      <c r="F37"/>
      <c r="H37"/>
      <c r="I37"/>
      <c r="J37"/>
      <c r="K37"/>
      <c r="L37"/>
      <c r="P37"/>
      <c r="V37"/>
    </row>
    <row r="38" spans="2:22" x14ac:dyDescent="0.25">
      <c r="B38"/>
      <c r="C38"/>
      <c r="D38"/>
      <c r="E38"/>
      <c r="F38"/>
      <c r="H38"/>
      <c r="I38"/>
      <c r="J38"/>
      <c r="K38"/>
      <c r="L38"/>
      <c r="P38"/>
      <c r="V38"/>
    </row>
    <row r="39" spans="2:22" x14ac:dyDescent="0.25">
      <c r="B39"/>
      <c r="C39"/>
      <c r="D39"/>
      <c r="E39"/>
      <c r="F39"/>
      <c r="H39"/>
      <c r="I39"/>
      <c r="J39"/>
      <c r="K39"/>
      <c r="L39"/>
      <c r="P39"/>
      <c r="V39"/>
    </row>
    <row r="40" spans="2:22" x14ac:dyDescent="0.25">
      <c r="B40"/>
      <c r="C40"/>
      <c r="D40"/>
      <c r="E40"/>
      <c r="F40"/>
      <c r="H40"/>
      <c r="I40"/>
      <c r="J40"/>
      <c r="K40"/>
      <c r="L40"/>
      <c r="P40"/>
      <c r="V40"/>
    </row>
    <row r="41" spans="2:22" x14ac:dyDescent="0.25">
      <c r="B41"/>
      <c r="C41"/>
      <c r="D41"/>
      <c r="E41"/>
      <c r="F41"/>
      <c r="H41"/>
      <c r="I41"/>
      <c r="J41"/>
      <c r="K41"/>
      <c r="L41"/>
      <c r="P41"/>
      <c r="V41"/>
    </row>
    <row r="42" spans="2:22" x14ac:dyDescent="0.25">
      <c r="B42"/>
      <c r="C42"/>
      <c r="D42"/>
      <c r="E42"/>
      <c r="F42"/>
      <c r="H42"/>
      <c r="I42"/>
      <c r="J42"/>
      <c r="K42"/>
      <c r="L42"/>
      <c r="P42"/>
      <c r="V42"/>
    </row>
    <row r="43" spans="2:22" x14ac:dyDescent="0.25">
      <c r="B43"/>
      <c r="C43"/>
      <c r="D43"/>
      <c r="E43"/>
      <c r="F43"/>
      <c r="H43"/>
      <c r="I43"/>
      <c r="J43"/>
      <c r="K43"/>
      <c r="L43"/>
      <c r="P43"/>
      <c r="V43"/>
    </row>
    <row r="44" spans="2:22" x14ac:dyDescent="0.25">
      <c r="B44"/>
      <c r="C44"/>
      <c r="D44"/>
      <c r="E44"/>
      <c r="F44"/>
      <c r="H44"/>
      <c r="I44"/>
      <c r="J44"/>
      <c r="K44"/>
      <c r="L44"/>
      <c r="P44"/>
      <c r="V44"/>
    </row>
    <row r="45" spans="2:22" x14ac:dyDescent="0.25">
      <c r="B45"/>
      <c r="C45"/>
      <c r="D45"/>
      <c r="E45"/>
      <c r="F45"/>
      <c r="H45"/>
      <c r="I45"/>
      <c r="J45"/>
      <c r="K45"/>
      <c r="L45"/>
      <c r="P45"/>
      <c r="V45"/>
    </row>
    <row r="46" spans="2:22" x14ac:dyDescent="0.25">
      <c r="D46" s="17"/>
      <c r="J46" s="17"/>
      <c r="P46"/>
      <c r="V46"/>
    </row>
    <row r="47" spans="2:22" x14ac:dyDescent="0.25">
      <c r="D47" s="17"/>
      <c r="J47" s="17"/>
      <c r="P47"/>
      <c r="V47"/>
    </row>
    <row r="48" spans="2:22" x14ac:dyDescent="0.25">
      <c r="D48" s="17"/>
      <c r="J48" s="17"/>
      <c r="P48"/>
      <c r="V48"/>
    </row>
    <row r="49" spans="4:22" x14ac:dyDescent="0.25">
      <c r="D49" s="17"/>
      <c r="J49" s="17"/>
      <c r="P49"/>
      <c r="V49"/>
    </row>
    <row r="50" spans="4:22" x14ac:dyDescent="0.25">
      <c r="D50" s="17"/>
      <c r="J50" s="17"/>
      <c r="P50"/>
      <c r="V50"/>
    </row>
    <row r="51" spans="4:22" x14ac:dyDescent="0.25">
      <c r="D51" s="17"/>
      <c r="J51" s="17"/>
      <c r="P51"/>
      <c r="V51"/>
    </row>
    <row r="52" spans="4:22" x14ac:dyDescent="0.25">
      <c r="D52" s="17"/>
      <c r="J52" s="17"/>
      <c r="P52"/>
      <c r="V52"/>
    </row>
    <row r="53" spans="4:22" x14ac:dyDescent="0.25">
      <c r="D53" s="17"/>
      <c r="J53" s="17"/>
      <c r="P53"/>
      <c r="V53"/>
    </row>
    <row r="54" spans="4:22" x14ac:dyDescent="0.25">
      <c r="D54" s="17"/>
      <c r="J54" s="17"/>
      <c r="P54"/>
      <c r="V54"/>
    </row>
    <row r="55" spans="4:22" x14ac:dyDescent="0.25">
      <c r="D55" s="17"/>
      <c r="J55" s="17"/>
      <c r="P55"/>
      <c r="V55"/>
    </row>
    <row r="56" spans="4:22" x14ac:dyDescent="0.25">
      <c r="D56" s="17"/>
      <c r="J56" s="17"/>
      <c r="P56"/>
      <c r="V56"/>
    </row>
    <row r="57" spans="4:22" x14ac:dyDescent="0.25">
      <c r="D57" s="17"/>
      <c r="J57" s="17"/>
      <c r="P57"/>
      <c r="V57"/>
    </row>
    <row r="58" spans="4:22" x14ac:dyDescent="0.25">
      <c r="D58" s="17"/>
      <c r="J58" s="17"/>
      <c r="P58"/>
      <c r="V58"/>
    </row>
    <row r="59" spans="4:22" x14ac:dyDescent="0.25">
      <c r="D59" s="17"/>
      <c r="J59" s="17"/>
      <c r="P59"/>
      <c r="V59"/>
    </row>
    <row r="60" spans="4:22" x14ac:dyDescent="0.25">
      <c r="D60" s="17"/>
      <c r="J60" s="17"/>
      <c r="P60"/>
      <c r="V60"/>
    </row>
    <row r="61" spans="4:22" x14ac:dyDescent="0.25">
      <c r="D61" s="17"/>
      <c r="J61" s="17"/>
      <c r="P61"/>
      <c r="V61"/>
    </row>
    <row r="62" spans="4:22" x14ac:dyDescent="0.25">
      <c r="D62" s="17"/>
      <c r="J62" s="17"/>
      <c r="P62"/>
      <c r="V62"/>
    </row>
    <row r="63" spans="4:22" x14ac:dyDescent="0.25">
      <c r="D63" s="17"/>
      <c r="J63" s="17"/>
      <c r="P63"/>
      <c r="V63"/>
    </row>
    <row r="64" spans="4:22" x14ac:dyDescent="0.25">
      <c r="D64" s="17"/>
      <c r="J64" s="17"/>
      <c r="P64"/>
      <c r="V64"/>
    </row>
  </sheetData>
  <mergeCells count="5">
    <mergeCell ref="B1:F1"/>
    <mergeCell ref="H1:L1"/>
    <mergeCell ref="N1:R1"/>
    <mergeCell ref="T1:X1"/>
    <mergeCell ref="Z1:AD1"/>
  </mergeCell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FD24-E7E6-4888-9A23-67DB3BCDD720}">
  <dimension ref="B2:AA10"/>
  <sheetViews>
    <sheetView showGridLines="0" tabSelected="1" workbookViewId="0"/>
  </sheetViews>
  <sheetFormatPr defaultRowHeight="24.95" customHeight="1" x14ac:dyDescent="0.25"/>
  <cols>
    <col min="1" max="26" width="15.7109375" customWidth="1"/>
  </cols>
  <sheetData>
    <row r="2" spans="2:27" ht="24.95" customHeight="1" x14ac:dyDescent="0.25">
      <c r="B2" s="73" t="s">
        <v>1533</v>
      </c>
      <c r="C2" s="74"/>
      <c r="D2" s="75"/>
      <c r="E2" s="73" t="s">
        <v>1534</v>
      </c>
      <c r="F2" s="74"/>
      <c r="G2" s="75"/>
      <c r="H2" s="73" t="s">
        <v>1535</v>
      </c>
      <c r="I2" s="74"/>
      <c r="J2" s="75"/>
      <c r="K2" s="73" t="s">
        <v>1536</v>
      </c>
      <c r="L2" s="74"/>
      <c r="M2" s="75"/>
    </row>
    <row r="3" spans="2:27" ht="24.95" customHeight="1" x14ac:dyDescent="0.25">
      <c r="B3" s="79">
        <f>GETPIVOTDATA("File_name",'Master Pivot'!$A$4)</f>
        <v>240</v>
      </c>
      <c r="C3" s="80"/>
      <c r="D3" s="81"/>
      <c r="E3" s="76">
        <f>GETPIVOTDATA("File_name",'Master Pivot'!$A$4,"NoGo/Go","Go")/DashBoard!B3</f>
        <v>0.72499999999999998</v>
      </c>
      <c r="F3" s="77"/>
      <c r="G3" s="82"/>
      <c r="H3" s="83">
        <f>GETPIVOTDATA("File_name",'Master Pivot'!$A$4,"NoGo/Go","NoGo")</f>
        <v>66</v>
      </c>
      <c r="I3" s="84"/>
      <c r="J3" s="85"/>
      <c r="K3" s="76">
        <f>GETPIVOTDATA("File_name",'Master Pivot'!$A$4,"NoGo/Go","NoGo")/B3</f>
        <v>0.27500000000000002</v>
      </c>
      <c r="L3" s="77"/>
      <c r="M3" s="82"/>
    </row>
    <row r="8" spans="2:27" ht="24.95" customHeight="1" x14ac:dyDescent="0.25">
      <c r="Z8" t="s">
        <v>495</v>
      </c>
      <c r="AA8" s="13" t="s">
        <v>1537</v>
      </c>
    </row>
    <row r="9" spans="2:27" ht="24.95" customHeight="1" x14ac:dyDescent="0.25">
      <c r="Z9" t="s">
        <v>25</v>
      </c>
      <c r="AA9" s="13">
        <f>GETPIVOTDATA("File_name",'Master Pivot'!$A$4,"NoGo/Go","Go")</f>
        <v>174</v>
      </c>
    </row>
    <row r="10" spans="2:27" ht="24.95" customHeight="1" x14ac:dyDescent="0.25">
      <c r="Z10" t="s">
        <v>474</v>
      </c>
      <c r="AA10" s="13">
        <f>GETPIVOTDATA("File_name",'Master Pivot'!$A$4,"NoGo/Go","NoGo")</f>
        <v>66</v>
      </c>
    </row>
  </sheetData>
  <mergeCells count="8">
    <mergeCell ref="H2:J2"/>
    <mergeCell ref="H3:J3"/>
    <mergeCell ref="K2:M2"/>
    <mergeCell ref="K3:M3"/>
    <mergeCell ref="B2:D2"/>
    <mergeCell ref="B3:D3"/>
    <mergeCell ref="E2:G2"/>
    <mergeCell ref="E3:G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5926-F4A6-4616-8A4F-7E75B54AF427}">
  <dimension ref="A1:F234"/>
  <sheetViews>
    <sheetView showGridLines="0" topLeftCell="A202" workbookViewId="0">
      <selection activeCell="D6" sqref="D6"/>
    </sheetView>
  </sheetViews>
  <sheetFormatPr defaultRowHeight="15" x14ac:dyDescent="0.25"/>
  <cols>
    <col min="1" max="1" width="43.140625" bestFit="1" customWidth="1"/>
    <col min="2" max="2" width="37.85546875" bestFit="1" customWidth="1"/>
    <col min="3" max="3" width="28.28515625" bestFit="1" customWidth="1"/>
    <col min="4" max="4" width="14.140625" bestFit="1" customWidth="1"/>
    <col min="5" max="5" width="6.140625" bestFit="1" customWidth="1"/>
    <col min="6" max="6" width="11.28515625" bestFit="1" customWidth="1"/>
  </cols>
  <sheetData>
    <row r="1" spans="1:6" x14ac:dyDescent="0.25">
      <c r="A1" s="3" t="s">
        <v>45</v>
      </c>
      <c r="B1" s="1" t="s">
        <v>47</v>
      </c>
    </row>
    <row r="2" spans="1:6" x14ac:dyDescent="0.25">
      <c r="A2" s="3" t="s">
        <v>91</v>
      </c>
      <c r="B2" s="1" t="s">
        <v>55</v>
      </c>
    </row>
    <row r="4" spans="1:6" x14ac:dyDescent="0.25">
      <c r="A4" s="3" t="s">
        <v>57</v>
      </c>
      <c r="B4" s="1"/>
      <c r="C4" s="1"/>
      <c r="D4" s="3" t="s">
        <v>33</v>
      </c>
      <c r="E4" s="1"/>
      <c r="F4" s="1"/>
    </row>
    <row r="5" spans="1:6" x14ac:dyDescent="0.25">
      <c r="A5" s="3" t="s">
        <v>8</v>
      </c>
      <c r="B5" s="3" t="s">
        <v>7</v>
      </c>
      <c r="C5" s="3" t="s">
        <v>9</v>
      </c>
      <c r="D5" s="4" t="s">
        <v>25</v>
      </c>
      <c r="E5" s="4" t="s">
        <v>474</v>
      </c>
      <c r="F5" s="4" t="s">
        <v>44</v>
      </c>
    </row>
    <row r="6" spans="1:6" x14ac:dyDescent="0.25">
      <c r="A6" s="60" t="s">
        <v>101</v>
      </c>
      <c r="B6" s="60" t="s">
        <v>1272</v>
      </c>
      <c r="C6" s="4" t="s">
        <v>457</v>
      </c>
      <c r="D6" s="70">
        <v>5</v>
      </c>
      <c r="E6" s="70">
        <v>3</v>
      </c>
      <c r="F6" s="70">
        <v>8</v>
      </c>
    </row>
    <row r="7" spans="1:6" x14ac:dyDescent="0.25">
      <c r="A7" s="61"/>
      <c r="B7" s="61"/>
      <c r="C7" s="4" t="s">
        <v>132</v>
      </c>
      <c r="D7" s="70">
        <v>3</v>
      </c>
      <c r="E7" s="70">
        <v>4</v>
      </c>
      <c r="F7" s="70">
        <v>7</v>
      </c>
    </row>
    <row r="8" spans="1:6" x14ac:dyDescent="0.25">
      <c r="A8" s="61"/>
      <c r="B8" s="61"/>
      <c r="C8" s="4" t="s">
        <v>1096</v>
      </c>
      <c r="D8" s="70">
        <v>3</v>
      </c>
      <c r="E8" s="70">
        <v>2</v>
      </c>
      <c r="F8" s="70">
        <v>5</v>
      </c>
    </row>
    <row r="9" spans="1:6" x14ac:dyDescent="0.25">
      <c r="A9" s="61"/>
      <c r="B9" s="78" t="s">
        <v>1430</v>
      </c>
      <c r="C9" s="67"/>
      <c r="D9" s="71">
        <v>11</v>
      </c>
      <c r="E9" s="71">
        <v>9</v>
      </c>
      <c r="F9" s="71">
        <v>20</v>
      </c>
    </row>
    <row r="10" spans="1:6" x14ac:dyDescent="0.25">
      <c r="A10" s="61"/>
      <c r="B10" s="60" t="s">
        <v>1355</v>
      </c>
      <c r="C10" s="4" t="s">
        <v>457</v>
      </c>
      <c r="D10" s="70"/>
      <c r="E10" s="70">
        <v>3</v>
      </c>
      <c r="F10" s="70">
        <v>3</v>
      </c>
    </row>
    <row r="11" spans="1:6" x14ac:dyDescent="0.25">
      <c r="A11" s="61"/>
      <c r="B11" s="61"/>
      <c r="C11" s="4" t="s">
        <v>1096</v>
      </c>
      <c r="D11" s="70"/>
      <c r="E11" s="70">
        <v>2</v>
      </c>
      <c r="F11" s="70">
        <v>2</v>
      </c>
    </row>
    <row r="12" spans="1:6" x14ac:dyDescent="0.25">
      <c r="A12" s="61"/>
      <c r="B12" s="61"/>
      <c r="C12" s="4" t="s">
        <v>132</v>
      </c>
      <c r="D12" s="70">
        <v>1</v>
      </c>
      <c r="E12" s="70"/>
      <c r="F12" s="70">
        <v>1</v>
      </c>
    </row>
    <row r="13" spans="1:6" x14ac:dyDescent="0.25">
      <c r="A13" s="61"/>
      <c r="B13" s="78" t="s">
        <v>1431</v>
      </c>
      <c r="C13" s="67"/>
      <c r="D13" s="71">
        <v>1</v>
      </c>
      <c r="E13" s="71">
        <v>5</v>
      </c>
      <c r="F13" s="71">
        <v>6</v>
      </c>
    </row>
    <row r="14" spans="1:6" x14ac:dyDescent="0.25">
      <c r="A14" s="61"/>
      <c r="B14" s="60" t="s">
        <v>1248</v>
      </c>
      <c r="C14" s="4" t="s">
        <v>132</v>
      </c>
      <c r="D14" s="70">
        <v>3</v>
      </c>
      <c r="E14" s="70">
        <v>1</v>
      </c>
      <c r="F14" s="70">
        <v>4</v>
      </c>
    </row>
    <row r="15" spans="1:6" x14ac:dyDescent="0.25">
      <c r="A15" s="61"/>
      <c r="B15" s="61"/>
      <c r="C15" s="4" t="s">
        <v>457</v>
      </c>
      <c r="D15" s="70"/>
      <c r="E15" s="70">
        <v>2</v>
      </c>
      <c r="F15" s="70">
        <v>2</v>
      </c>
    </row>
    <row r="16" spans="1:6" x14ac:dyDescent="0.25">
      <c r="A16" s="61"/>
      <c r="B16" s="78" t="s">
        <v>1432</v>
      </c>
      <c r="C16" s="67"/>
      <c r="D16" s="71">
        <v>3</v>
      </c>
      <c r="E16" s="71">
        <v>3</v>
      </c>
      <c r="F16" s="71">
        <v>6</v>
      </c>
    </row>
    <row r="17" spans="1:6" x14ac:dyDescent="0.25">
      <c r="A17" s="61"/>
      <c r="B17" s="4" t="s">
        <v>1249</v>
      </c>
      <c r="C17" s="4" t="s">
        <v>457</v>
      </c>
      <c r="D17" s="70"/>
      <c r="E17" s="70">
        <v>3</v>
      </c>
      <c r="F17" s="70">
        <v>3</v>
      </c>
    </row>
    <row r="18" spans="1:6" x14ac:dyDescent="0.25">
      <c r="A18" s="61"/>
      <c r="B18" s="78" t="s">
        <v>1433</v>
      </c>
      <c r="C18" s="67"/>
      <c r="D18" s="71"/>
      <c r="E18" s="71">
        <v>3</v>
      </c>
      <c r="F18" s="71">
        <v>3</v>
      </c>
    </row>
    <row r="19" spans="1:6" x14ac:dyDescent="0.25">
      <c r="A19" s="61"/>
      <c r="B19" s="4" t="s">
        <v>1260</v>
      </c>
      <c r="C19" s="4" t="s">
        <v>1096</v>
      </c>
      <c r="D19" s="70">
        <v>7</v>
      </c>
      <c r="E19" s="70">
        <v>1</v>
      </c>
      <c r="F19" s="70">
        <v>8</v>
      </c>
    </row>
    <row r="20" spans="1:6" x14ac:dyDescent="0.25">
      <c r="A20" s="61"/>
      <c r="B20" s="78" t="s">
        <v>1434</v>
      </c>
      <c r="C20" s="67"/>
      <c r="D20" s="71">
        <v>7</v>
      </c>
      <c r="E20" s="71">
        <v>1</v>
      </c>
      <c r="F20" s="71">
        <v>8</v>
      </c>
    </row>
    <row r="21" spans="1:6" x14ac:dyDescent="0.25">
      <c r="A21" s="61"/>
      <c r="B21" s="4" t="s">
        <v>1295</v>
      </c>
      <c r="C21" s="4" t="s">
        <v>482</v>
      </c>
      <c r="D21" s="70"/>
      <c r="E21" s="70">
        <v>1</v>
      </c>
      <c r="F21" s="70">
        <v>1</v>
      </c>
    </row>
    <row r="22" spans="1:6" x14ac:dyDescent="0.25">
      <c r="A22" s="61"/>
      <c r="B22" s="78" t="s">
        <v>1435</v>
      </c>
      <c r="C22" s="67"/>
      <c r="D22" s="71"/>
      <c r="E22" s="71">
        <v>1</v>
      </c>
      <c r="F22" s="71">
        <v>1</v>
      </c>
    </row>
    <row r="23" spans="1:6" x14ac:dyDescent="0.25">
      <c r="A23" s="61"/>
      <c r="B23" s="4" t="s">
        <v>1399</v>
      </c>
      <c r="C23" s="4" t="s">
        <v>482</v>
      </c>
      <c r="D23" s="70"/>
      <c r="E23" s="70">
        <v>1</v>
      </c>
      <c r="F23" s="70">
        <v>1</v>
      </c>
    </row>
    <row r="24" spans="1:6" x14ac:dyDescent="0.25">
      <c r="A24" s="61"/>
      <c r="B24" s="78" t="s">
        <v>1436</v>
      </c>
      <c r="C24" s="67"/>
      <c r="D24" s="71"/>
      <c r="E24" s="71">
        <v>1</v>
      </c>
      <c r="F24" s="71">
        <v>1</v>
      </c>
    </row>
    <row r="25" spans="1:6" x14ac:dyDescent="0.25">
      <c r="A25" s="61"/>
      <c r="B25" s="4" t="s">
        <v>1254</v>
      </c>
      <c r="C25" s="4" t="s">
        <v>132</v>
      </c>
      <c r="D25" s="70">
        <v>3</v>
      </c>
      <c r="E25" s="70"/>
      <c r="F25" s="70">
        <v>3</v>
      </c>
    </row>
    <row r="26" spans="1:6" x14ac:dyDescent="0.25">
      <c r="A26" s="61"/>
      <c r="B26" s="78" t="s">
        <v>1437</v>
      </c>
      <c r="C26" s="67"/>
      <c r="D26" s="71">
        <v>3</v>
      </c>
      <c r="E26" s="71"/>
      <c r="F26" s="71">
        <v>3</v>
      </c>
    </row>
    <row r="27" spans="1:6" x14ac:dyDescent="0.25">
      <c r="A27" s="61"/>
      <c r="B27" s="60" t="s">
        <v>1253</v>
      </c>
      <c r="C27" s="4" t="s">
        <v>1096</v>
      </c>
      <c r="D27" s="70">
        <v>2</v>
      </c>
      <c r="E27" s="70"/>
      <c r="F27" s="70">
        <v>2</v>
      </c>
    </row>
    <row r="28" spans="1:6" x14ac:dyDescent="0.25">
      <c r="A28" s="61"/>
      <c r="B28" s="61"/>
      <c r="C28" s="4" t="s">
        <v>132</v>
      </c>
      <c r="D28" s="70">
        <v>1</v>
      </c>
      <c r="E28" s="70"/>
      <c r="F28" s="70">
        <v>1</v>
      </c>
    </row>
    <row r="29" spans="1:6" x14ac:dyDescent="0.25">
      <c r="A29" s="61"/>
      <c r="B29" s="78" t="s">
        <v>1438</v>
      </c>
      <c r="C29" s="67"/>
      <c r="D29" s="71">
        <v>3</v>
      </c>
      <c r="E29" s="71"/>
      <c r="F29" s="71">
        <v>3</v>
      </c>
    </row>
    <row r="30" spans="1:6" x14ac:dyDescent="0.25">
      <c r="A30" s="60" t="s">
        <v>1439</v>
      </c>
      <c r="B30" s="61"/>
      <c r="C30" s="61"/>
      <c r="D30" s="70">
        <v>28</v>
      </c>
      <c r="E30" s="70">
        <v>23</v>
      </c>
      <c r="F30" s="70">
        <v>51</v>
      </c>
    </row>
    <row r="31" spans="1:6" x14ac:dyDescent="0.25">
      <c r="A31" s="60" t="s">
        <v>121</v>
      </c>
      <c r="B31" s="4" t="s">
        <v>1282</v>
      </c>
      <c r="C31" s="4" t="s">
        <v>459</v>
      </c>
      <c r="D31" s="70"/>
      <c r="E31" s="70">
        <v>1</v>
      </c>
      <c r="F31" s="70">
        <v>1</v>
      </c>
    </row>
    <row r="32" spans="1:6" x14ac:dyDescent="0.25">
      <c r="A32" s="61"/>
      <c r="B32" s="78" t="s">
        <v>1494</v>
      </c>
      <c r="C32" s="67"/>
      <c r="D32" s="71"/>
      <c r="E32" s="71">
        <v>1</v>
      </c>
      <c r="F32" s="71">
        <v>1</v>
      </c>
    </row>
    <row r="33" spans="1:6" x14ac:dyDescent="0.25">
      <c r="A33" s="61"/>
      <c r="B33" s="4" t="s">
        <v>1287</v>
      </c>
      <c r="C33" s="4" t="s">
        <v>480</v>
      </c>
      <c r="D33" s="70"/>
      <c r="E33" s="70">
        <v>1</v>
      </c>
      <c r="F33" s="70">
        <v>1</v>
      </c>
    </row>
    <row r="34" spans="1:6" x14ac:dyDescent="0.25">
      <c r="A34" s="61"/>
      <c r="B34" s="78" t="s">
        <v>1495</v>
      </c>
      <c r="C34" s="67"/>
      <c r="D34" s="71"/>
      <c r="E34" s="71">
        <v>1</v>
      </c>
      <c r="F34" s="71">
        <v>1</v>
      </c>
    </row>
    <row r="35" spans="1:6" x14ac:dyDescent="0.25">
      <c r="A35" s="61"/>
      <c r="B35" s="60" t="s">
        <v>1333</v>
      </c>
      <c r="C35" s="4" t="s">
        <v>459</v>
      </c>
      <c r="D35" s="70"/>
      <c r="E35" s="70">
        <v>1</v>
      </c>
      <c r="F35" s="70">
        <v>1</v>
      </c>
    </row>
    <row r="36" spans="1:6" x14ac:dyDescent="0.25">
      <c r="A36" s="61"/>
      <c r="B36" s="61"/>
      <c r="C36" s="4" t="s">
        <v>478</v>
      </c>
      <c r="D36" s="70">
        <v>1</v>
      </c>
      <c r="E36" s="70"/>
      <c r="F36" s="70">
        <v>1</v>
      </c>
    </row>
    <row r="37" spans="1:6" x14ac:dyDescent="0.25">
      <c r="A37" s="61"/>
      <c r="B37" s="78" t="s">
        <v>1496</v>
      </c>
      <c r="C37" s="67"/>
      <c r="D37" s="71">
        <v>1</v>
      </c>
      <c r="E37" s="71">
        <v>1</v>
      </c>
      <c r="F37" s="71">
        <v>2</v>
      </c>
    </row>
    <row r="38" spans="1:6" x14ac:dyDescent="0.25">
      <c r="A38" s="61"/>
      <c r="B38" s="60" t="s">
        <v>1367</v>
      </c>
      <c r="C38" s="4" t="s">
        <v>459</v>
      </c>
      <c r="D38" s="70">
        <v>1</v>
      </c>
      <c r="E38" s="70"/>
      <c r="F38" s="70">
        <v>1</v>
      </c>
    </row>
    <row r="39" spans="1:6" x14ac:dyDescent="0.25">
      <c r="A39" s="61"/>
      <c r="B39" s="61"/>
      <c r="C39" s="4" t="s">
        <v>478</v>
      </c>
      <c r="D39" s="70"/>
      <c r="E39" s="70">
        <v>1</v>
      </c>
      <c r="F39" s="70">
        <v>1</v>
      </c>
    </row>
    <row r="40" spans="1:6" x14ac:dyDescent="0.25">
      <c r="A40" s="61"/>
      <c r="B40" s="78" t="s">
        <v>1497</v>
      </c>
      <c r="C40" s="67"/>
      <c r="D40" s="71">
        <v>1</v>
      </c>
      <c r="E40" s="71">
        <v>1</v>
      </c>
      <c r="F40" s="71">
        <v>2</v>
      </c>
    </row>
    <row r="41" spans="1:6" x14ac:dyDescent="0.25">
      <c r="A41" s="61"/>
      <c r="B41" s="60" t="s">
        <v>1289</v>
      </c>
      <c r="C41" s="4" t="s">
        <v>103</v>
      </c>
      <c r="D41" s="70">
        <v>1</v>
      </c>
      <c r="E41" s="70"/>
      <c r="F41" s="70">
        <v>1</v>
      </c>
    </row>
    <row r="42" spans="1:6" x14ac:dyDescent="0.25">
      <c r="A42" s="61"/>
      <c r="B42" s="61"/>
      <c r="C42" s="4" t="s">
        <v>459</v>
      </c>
      <c r="D42" s="70"/>
      <c r="E42" s="70">
        <v>1</v>
      </c>
      <c r="F42" s="70">
        <v>1</v>
      </c>
    </row>
    <row r="43" spans="1:6" x14ac:dyDescent="0.25">
      <c r="A43" s="61"/>
      <c r="B43" s="78" t="s">
        <v>1498</v>
      </c>
      <c r="C43" s="67"/>
      <c r="D43" s="71">
        <v>1</v>
      </c>
      <c r="E43" s="71">
        <v>1</v>
      </c>
      <c r="F43" s="71">
        <v>2</v>
      </c>
    </row>
    <row r="44" spans="1:6" x14ac:dyDescent="0.25">
      <c r="A44" s="61"/>
      <c r="B44" s="4" t="s">
        <v>1357</v>
      </c>
      <c r="C44" s="4" t="s">
        <v>478</v>
      </c>
      <c r="D44" s="70">
        <v>1</v>
      </c>
      <c r="E44" s="70"/>
      <c r="F44" s="70">
        <v>1</v>
      </c>
    </row>
    <row r="45" spans="1:6" x14ac:dyDescent="0.25">
      <c r="A45" s="61"/>
      <c r="B45" s="78" t="s">
        <v>1499</v>
      </c>
      <c r="C45" s="67"/>
      <c r="D45" s="71">
        <v>1</v>
      </c>
      <c r="E45" s="71"/>
      <c r="F45" s="71">
        <v>1</v>
      </c>
    </row>
    <row r="46" spans="1:6" x14ac:dyDescent="0.25">
      <c r="A46" s="61"/>
      <c r="B46" s="4" t="s">
        <v>1280</v>
      </c>
      <c r="C46" s="4" t="s">
        <v>459</v>
      </c>
      <c r="D46" s="70">
        <v>1</v>
      </c>
      <c r="E46" s="70"/>
      <c r="F46" s="70">
        <v>1</v>
      </c>
    </row>
    <row r="47" spans="1:6" x14ac:dyDescent="0.25">
      <c r="A47" s="61"/>
      <c r="B47" s="78" t="s">
        <v>1500</v>
      </c>
      <c r="C47" s="67"/>
      <c r="D47" s="71">
        <v>1</v>
      </c>
      <c r="E47" s="71"/>
      <c r="F47" s="71">
        <v>1</v>
      </c>
    </row>
    <row r="48" spans="1:6" x14ac:dyDescent="0.25">
      <c r="A48" s="61"/>
      <c r="B48" s="60" t="s">
        <v>1268</v>
      </c>
      <c r="C48" s="4" t="s">
        <v>459</v>
      </c>
      <c r="D48" s="70">
        <v>1</v>
      </c>
      <c r="E48" s="70"/>
      <c r="F48" s="70">
        <v>1</v>
      </c>
    </row>
    <row r="49" spans="1:6" x14ac:dyDescent="0.25">
      <c r="A49" s="61"/>
      <c r="B49" s="61"/>
      <c r="C49" s="4" t="s">
        <v>478</v>
      </c>
      <c r="D49" s="70">
        <v>1</v>
      </c>
      <c r="E49" s="70"/>
      <c r="F49" s="70">
        <v>1</v>
      </c>
    </row>
    <row r="50" spans="1:6" x14ac:dyDescent="0.25">
      <c r="A50" s="61"/>
      <c r="B50" s="78" t="s">
        <v>1501</v>
      </c>
      <c r="C50" s="67"/>
      <c r="D50" s="71">
        <v>2</v>
      </c>
      <c r="E50" s="71"/>
      <c r="F50" s="71">
        <v>2</v>
      </c>
    </row>
    <row r="51" spans="1:6" x14ac:dyDescent="0.25">
      <c r="A51" s="61"/>
      <c r="B51" s="60" t="s">
        <v>1311</v>
      </c>
      <c r="C51" s="4" t="s">
        <v>459</v>
      </c>
      <c r="D51" s="70">
        <v>2</v>
      </c>
      <c r="E51" s="70"/>
      <c r="F51" s="70">
        <v>2</v>
      </c>
    </row>
    <row r="52" spans="1:6" x14ac:dyDescent="0.25">
      <c r="A52" s="61"/>
      <c r="B52" s="61"/>
      <c r="C52" s="4" t="s">
        <v>478</v>
      </c>
      <c r="D52" s="70">
        <v>1</v>
      </c>
      <c r="E52" s="70"/>
      <c r="F52" s="70">
        <v>1</v>
      </c>
    </row>
    <row r="53" spans="1:6" x14ac:dyDescent="0.25">
      <c r="A53" s="61"/>
      <c r="B53" s="78" t="s">
        <v>1502</v>
      </c>
      <c r="C53" s="67"/>
      <c r="D53" s="71">
        <v>3</v>
      </c>
      <c r="E53" s="71"/>
      <c r="F53" s="71">
        <v>3</v>
      </c>
    </row>
    <row r="54" spans="1:6" x14ac:dyDescent="0.25">
      <c r="A54" s="61"/>
      <c r="B54" s="4" t="s">
        <v>1359</v>
      </c>
      <c r="C54" s="4" t="s">
        <v>459</v>
      </c>
      <c r="D54" s="70">
        <v>1</v>
      </c>
      <c r="E54" s="70"/>
      <c r="F54" s="70">
        <v>1</v>
      </c>
    </row>
    <row r="55" spans="1:6" x14ac:dyDescent="0.25">
      <c r="A55" s="61"/>
      <c r="B55" s="78" t="s">
        <v>1503</v>
      </c>
      <c r="C55" s="67"/>
      <c r="D55" s="71">
        <v>1</v>
      </c>
      <c r="E55" s="71"/>
      <c r="F55" s="71">
        <v>1</v>
      </c>
    </row>
    <row r="56" spans="1:6" x14ac:dyDescent="0.25">
      <c r="A56" s="60" t="s">
        <v>1504</v>
      </c>
      <c r="B56" s="61"/>
      <c r="C56" s="61"/>
      <c r="D56" s="70">
        <v>11</v>
      </c>
      <c r="E56" s="70">
        <v>5</v>
      </c>
      <c r="F56" s="70">
        <v>16</v>
      </c>
    </row>
    <row r="57" spans="1:6" x14ac:dyDescent="0.25">
      <c r="A57" s="60" t="s">
        <v>151</v>
      </c>
      <c r="B57" s="60" t="s">
        <v>151</v>
      </c>
      <c r="C57" s="4" t="s">
        <v>457</v>
      </c>
      <c r="D57" s="70"/>
      <c r="E57" s="70">
        <v>4</v>
      </c>
      <c r="F57" s="70">
        <v>4</v>
      </c>
    </row>
    <row r="58" spans="1:6" x14ac:dyDescent="0.25">
      <c r="A58" s="61"/>
      <c r="B58" s="61"/>
      <c r="C58" s="4" t="s">
        <v>482</v>
      </c>
      <c r="D58" s="70">
        <v>1</v>
      </c>
      <c r="E58" s="70">
        <v>1</v>
      </c>
      <c r="F58" s="70">
        <v>2</v>
      </c>
    </row>
    <row r="59" spans="1:6" x14ac:dyDescent="0.25">
      <c r="A59" s="61"/>
      <c r="B59" s="78" t="s">
        <v>1462</v>
      </c>
      <c r="C59" s="67"/>
      <c r="D59" s="71">
        <v>1</v>
      </c>
      <c r="E59" s="71">
        <v>5</v>
      </c>
      <c r="F59" s="71">
        <v>6</v>
      </c>
    </row>
    <row r="60" spans="1:6" x14ac:dyDescent="0.25">
      <c r="A60" s="60" t="s">
        <v>1462</v>
      </c>
      <c r="B60" s="61"/>
      <c r="C60" s="61"/>
      <c r="D60" s="70">
        <v>1</v>
      </c>
      <c r="E60" s="70">
        <v>5</v>
      </c>
      <c r="F60" s="70">
        <v>6</v>
      </c>
    </row>
    <row r="61" spans="1:6" x14ac:dyDescent="0.25">
      <c r="A61" s="60" t="s">
        <v>109</v>
      </c>
      <c r="B61" s="60" t="s">
        <v>1298</v>
      </c>
      <c r="C61" s="4" t="s">
        <v>103</v>
      </c>
      <c r="D61" s="70">
        <v>2</v>
      </c>
      <c r="E61" s="70">
        <v>1</v>
      </c>
      <c r="F61" s="70">
        <v>3</v>
      </c>
    </row>
    <row r="62" spans="1:6" x14ac:dyDescent="0.25">
      <c r="A62" s="61"/>
      <c r="B62" s="61"/>
      <c r="C62" s="4" t="s">
        <v>459</v>
      </c>
      <c r="D62" s="70">
        <v>1</v>
      </c>
      <c r="E62" s="70">
        <v>1</v>
      </c>
      <c r="F62" s="70">
        <v>2</v>
      </c>
    </row>
    <row r="63" spans="1:6" x14ac:dyDescent="0.25">
      <c r="A63" s="61"/>
      <c r="B63" s="78" t="s">
        <v>1419</v>
      </c>
      <c r="C63" s="67"/>
      <c r="D63" s="71">
        <v>3</v>
      </c>
      <c r="E63" s="71">
        <v>2</v>
      </c>
      <c r="F63" s="71">
        <v>5</v>
      </c>
    </row>
    <row r="64" spans="1:6" x14ac:dyDescent="0.25">
      <c r="A64" s="61"/>
      <c r="B64" s="60" t="s">
        <v>1277</v>
      </c>
      <c r="C64" s="4" t="s">
        <v>103</v>
      </c>
      <c r="D64" s="70">
        <v>3</v>
      </c>
      <c r="E64" s="70">
        <v>1</v>
      </c>
      <c r="F64" s="70">
        <v>4</v>
      </c>
    </row>
    <row r="65" spans="1:6" x14ac:dyDescent="0.25">
      <c r="A65" s="61"/>
      <c r="B65" s="61"/>
      <c r="C65" s="4" t="s">
        <v>480</v>
      </c>
      <c r="D65" s="70"/>
      <c r="E65" s="70">
        <v>1</v>
      </c>
      <c r="F65" s="70">
        <v>1</v>
      </c>
    </row>
    <row r="66" spans="1:6" x14ac:dyDescent="0.25">
      <c r="A66" s="61"/>
      <c r="B66" s="61"/>
      <c r="C66" s="4" t="s">
        <v>459</v>
      </c>
      <c r="D66" s="70">
        <v>1</v>
      </c>
      <c r="E66" s="70"/>
      <c r="F66" s="70">
        <v>1</v>
      </c>
    </row>
    <row r="67" spans="1:6" x14ac:dyDescent="0.25">
      <c r="A67" s="61"/>
      <c r="B67" s="78" t="s">
        <v>1420</v>
      </c>
      <c r="C67" s="67"/>
      <c r="D67" s="71">
        <v>4</v>
      </c>
      <c r="E67" s="71">
        <v>2</v>
      </c>
      <c r="F67" s="71">
        <v>6</v>
      </c>
    </row>
    <row r="68" spans="1:6" x14ac:dyDescent="0.25">
      <c r="A68" s="61"/>
      <c r="B68" s="60" t="s">
        <v>1303</v>
      </c>
      <c r="C68" s="4" t="s">
        <v>103</v>
      </c>
      <c r="D68" s="70">
        <v>1</v>
      </c>
      <c r="E68" s="70"/>
      <c r="F68" s="70">
        <v>1</v>
      </c>
    </row>
    <row r="69" spans="1:6" x14ac:dyDescent="0.25">
      <c r="A69" s="61"/>
      <c r="B69" s="61"/>
      <c r="C69" s="4" t="s">
        <v>459</v>
      </c>
      <c r="D69" s="70"/>
      <c r="E69" s="70">
        <v>1</v>
      </c>
      <c r="F69" s="70">
        <v>1</v>
      </c>
    </row>
    <row r="70" spans="1:6" x14ac:dyDescent="0.25">
      <c r="A70" s="61"/>
      <c r="B70" s="78" t="s">
        <v>1421</v>
      </c>
      <c r="C70" s="67"/>
      <c r="D70" s="71">
        <v>1</v>
      </c>
      <c r="E70" s="71">
        <v>1</v>
      </c>
      <c r="F70" s="71">
        <v>2</v>
      </c>
    </row>
    <row r="71" spans="1:6" x14ac:dyDescent="0.25">
      <c r="A71" s="61"/>
      <c r="B71" s="4" t="s">
        <v>1320</v>
      </c>
      <c r="C71" s="4" t="s">
        <v>103</v>
      </c>
      <c r="D71" s="70">
        <v>1</v>
      </c>
      <c r="E71" s="70"/>
      <c r="F71" s="70">
        <v>1</v>
      </c>
    </row>
    <row r="72" spans="1:6" x14ac:dyDescent="0.25">
      <c r="A72" s="61"/>
      <c r="B72" s="78" t="s">
        <v>1422</v>
      </c>
      <c r="C72" s="67"/>
      <c r="D72" s="71">
        <v>1</v>
      </c>
      <c r="E72" s="71"/>
      <c r="F72" s="71">
        <v>1</v>
      </c>
    </row>
    <row r="73" spans="1:6" x14ac:dyDescent="0.25">
      <c r="A73" s="61"/>
      <c r="B73" s="60" t="s">
        <v>1325</v>
      </c>
      <c r="C73" s="4" t="s">
        <v>478</v>
      </c>
      <c r="D73" s="70">
        <v>3</v>
      </c>
      <c r="E73" s="70"/>
      <c r="F73" s="70">
        <v>3</v>
      </c>
    </row>
    <row r="74" spans="1:6" x14ac:dyDescent="0.25">
      <c r="A74" s="61"/>
      <c r="B74" s="61"/>
      <c r="C74" s="4" t="s">
        <v>103</v>
      </c>
      <c r="D74" s="70">
        <v>1</v>
      </c>
      <c r="E74" s="70"/>
      <c r="F74" s="70">
        <v>1</v>
      </c>
    </row>
    <row r="75" spans="1:6" x14ac:dyDescent="0.25">
      <c r="A75" s="61"/>
      <c r="B75" s="78" t="s">
        <v>1423</v>
      </c>
      <c r="C75" s="67"/>
      <c r="D75" s="71">
        <v>4</v>
      </c>
      <c r="E75" s="71"/>
      <c r="F75" s="71">
        <v>4</v>
      </c>
    </row>
    <row r="76" spans="1:6" x14ac:dyDescent="0.25">
      <c r="A76" s="61"/>
      <c r="B76" s="60" t="s">
        <v>1305</v>
      </c>
      <c r="C76" s="4" t="s">
        <v>103</v>
      </c>
      <c r="D76" s="70">
        <v>3</v>
      </c>
      <c r="E76" s="70"/>
      <c r="F76" s="70">
        <v>3</v>
      </c>
    </row>
    <row r="77" spans="1:6" x14ac:dyDescent="0.25">
      <c r="A77" s="61"/>
      <c r="B77" s="61"/>
      <c r="C77" s="4" t="s">
        <v>478</v>
      </c>
      <c r="D77" s="70">
        <v>1</v>
      </c>
      <c r="E77" s="70"/>
      <c r="F77" s="70">
        <v>1</v>
      </c>
    </row>
    <row r="78" spans="1:6" x14ac:dyDescent="0.25">
      <c r="A78" s="61"/>
      <c r="B78" s="78" t="s">
        <v>1424</v>
      </c>
      <c r="C78" s="67"/>
      <c r="D78" s="71">
        <v>4</v>
      </c>
      <c r="E78" s="71"/>
      <c r="F78" s="71">
        <v>4</v>
      </c>
    </row>
    <row r="79" spans="1:6" x14ac:dyDescent="0.25">
      <c r="A79" s="61"/>
      <c r="B79" s="60" t="s">
        <v>1315</v>
      </c>
      <c r="C79" s="4" t="s">
        <v>103</v>
      </c>
      <c r="D79" s="70">
        <v>2</v>
      </c>
      <c r="E79" s="70"/>
      <c r="F79" s="70">
        <v>2</v>
      </c>
    </row>
    <row r="80" spans="1:6" x14ac:dyDescent="0.25">
      <c r="A80" s="61"/>
      <c r="B80" s="61"/>
      <c r="C80" s="4" t="s">
        <v>459</v>
      </c>
      <c r="D80" s="70">
        <v>1</v>
      </c>
      <c r="E80" s="70"/>
      <c r="F80" s="70">
        <v>1</v>
      </c>
    </row>
    <row r="81" spans="1:6" x14ac:dyDescent="0.25">
      <c r="A81" s="61"/>
      <c r="B81" s="78" t="s">
        <v>1425</v>
      </c>
      <c r="C81" s="67"/>
      <c r="D81" s="71">
        <v>3</v>
      </c>
      <c r="E81" s="71"/>
      <c r="F81" s="71">
        <v>3</v>
      </c>
    </row>
    <row r="82" spans="1:6" x14ac:dyDescent="0.25">
      <c r="A82" s="60" t="s">
        <v>1426</v>
      </c>
      <c r="B82" s="61"/>
      <c r="C82" s="61"/>
      <c r="D82" s="70">
        <v>20</v>
      </c>
      <c r="E82" s="70">
        <v>5</v>
      </c>
      <c r="F82" s="70">
        <v>25</v>
      </c>
    </row>
    <row r="83" spans="1:6" x14ac:dyDescent="0.25">
      <c r="A83" s="60" t="s">
        <v>116</v>
      </c>
      <c r="B83" s="60" t="s">
        <v>1304</v>
      </c>
      <c r="C83" s="4" t="s">
        <v>1096</v>
      </c>
      <c r="D83" s="70">
        <v>1</v>
      </c>
      <c r="E83" s="70">
        <v>2</v>
      </c>
      <c r="F83" s="70">
        <v>3</v>
      </c>
    </row>
    <row r="84" spans="1:6" x14ac:dyDescent="0.25">
      <c r="A84" s="61"/>
      <c r="B84" s="61"/>
      <c r="C84" s="4" t="s">
        <v>103</v>
      </c>
      <c r="D84" s="70">
        <v>1</v>
      </c>
      <c r="E84" s="70"/>
      <c r="F84" s="70">
        <v>1</v>
      </c>
    </row>
    <row r="85" spans="1:6" x14ac:dyDescent="0.25">
      <c r="A85" s="61"/>
      <c r="B85" s="78" t="s">
        <v>1445</v>
      </c>
      <c r="C85" s="67"/>
      <c r="D85" s="71">
        <v>2</v>
      </c>
      <c r="E85" s="71">
        <v>2</v>
      </c>
      <c r="F85" s="71">
        <v>4</v>
      </c>
    </row>
    <row r="86" spans="1:6" x14ac:dyDescent="0.25">
      <c r="A86" s="61"/>
      <c r="B86" s="4" t="s">
        <v>1354</v>
      </c>
      <c r="C86" s="4" t="s">
        <v>132</v>
      </c>
      <c r="D86" s="70"/>
      <c r="E86" s="70">
        <v>1</v>
      </c>
      <c r="F86" s="70">
        <v>1</v>
      </c>
    </row>
    <row r="87" spans="1:6" x14ac:dyDescent="0.25">
      <c r="A87" s="61"/>
      <c r="B87" s="78" t="s">
        <v>1446</v>
      </c>
      <c r="C87" s="67"/>
      <c r="D87" s="71"/>
      <c r="E87" s="71">
        <v>1</v>
      </c>
      <c r="F87" s="71">
        <v>1</v>
      </c>
    </row>
    <row r="88" spans="1:6" x14ac:dyDescent="0.25">
      <c r="A88" s="61"/>
      <c r="B88" s="4" t="s">
        <v>1370</v>
      </c>
      <c r="C88" s="4" t="s">
        <v>482</v>
      </c>
      <c r="D88" s="70"/>
      <c r="E88" s="70">
        <v>1</v>
      </c>
      <c r="F88" s="70">
        <v>1</v>
      </c>
    </row>
    <row r="89" spans="1:6" x14ac:dyDescent="0.25">
      <c r="A89" s="61"/>
      <c r="B89" s="78" t="s">
        <v>1447</v>
      </c>
      <c r="C89" s="67"/>
      <c r="D89" s="71"/>
      <c r="E89" s="71">
        <v>1</v>
      </c>
      <c r="F89" s="71">
        <v>1</v>
      </c>
    </row>
    <row r="90" spans="1:6" x14ac:dyDescent="0.25">
      <c r="A90" s="61"/>
      <c r="B90" s="60" t="s">
        <v>1388</v>
      </c>
      <c r="C90" s="4" t="s">
        <v>457</v>
      </c>
      <c r="D90" s="70"/>
      <c r="E90" s="70">
        <v>1</v>
      </c>
      <c r="F90" s="70">
        <v>1</v>
      </c>
    </row>
    <row r="91" spans="1:6" x14ac:dyDescent="0.25">
      <c r="A91" s="61"/>
      <c r="B91" s="61"/>
      <c r="C91" s="4" t="s">
        <v>132</v>
      </c>
      <c r="D91" s="70">
        <v>1</v>
      </c>
      <c r="E91" s="70"/>
      <c r="F91" s="70">
        <v>1</v>
      </c>
    </row>
    <row r="92" spans="1:6" x14ac:dyDescent="0.25">
      <c r="A92" s="61"/>
      <c r="B92" s="78" t="s">
        <v>1448</v>
      </c>
      <c r="C92" s="67"/>
      <c r="D92" s="71">
        <v>1</v>
      </c>
      <c r="E92" s="71">
        <v>1</v>
      </c>
      <c r="F92" s="71">
        <v>2</v>
      </c>
    </row>
    <row r="93" spans="1:6" x14ac:dyDescent="0.25">
      <c r="A93" s="61"/>
      <c r="B93" s="60" t="s">
        <v>1352</v>
      </c>
      <c r="C93" s="4" t="s">
        <v>1096</v>
      </c>
      <c r="D93" s="70">
        <v>2</v>
      </c>
      <c r="E93" s="70"/>
      <c r="F93" s="70">
        <v>2</v>
      </c>
    </row>
    <row r="94" spans="1:6" x14ac:dyDescent="0.25">
      <c r="A94" s="61"/>
      <c r="B94" s="61"/>
      <c r="C94" s="4" t="s">
        <v>482</v>
      </c>
      <c r="D94" s="70">
        <v>1</v>
      </c>
      <c r="E94" s="70"/>
      <c r="F94" s="70">
        <v>1</v>
      </c>
    </row>
    <row r="95" spans="1:6" x14ac:dyDescent="0.25">
      <c r="A95" s="61"/>
      <c r="B95" s="78" t="s">
        <v>1449</v>
      </c>
      <c r="C95" s="67"/>
      <c r="D95" s="71">
        <v>3</v>
      </c>
      <c r="E95" s="71"/>
      <c r="F95" s="71">
        <v>3</v>
      </c>
    </row>
    <row r="96" spans="1:6" x14ac:dyDescent="0.25">
      <c r="A96" s="61"/>
      <c r="B96" s="4" t="s">
        <v>1275</v>
      </c>
      <c r="C96" s="4" t="s">
        <v>482</v>
      </c>
      <c r="D96" s="70">
        <v>1</v>
      </c>
      <c r="E96" s="70"/>
      <c r="F96" s="70">
        <v>1</v>
      </c>
    </row>
    <row r="97" spans="1:6" x14ac:dyDescent="0.25">
      <c r="A97" s="61"/>
      <c r="B97" s="78" t="s">
        <v>1450</v>
      </c>
      <c r="C97" s="67"/>
      <c r="D97" s="71">
        <v>1</v>
      </c>
      <c r="E97" s="71"/>
      <c r="F97" s="71">
        <v>1</v>
      </c>
    </row>
    <row r="98" spans="1:6" x14ac:dyDescent="0.25">
      <c r="A98" s="61"/>
      <c r="B98" s="4" t="s">
        <v>1390</v>
      </c>
      <c r="C98" s="4" t="s">
        <v>482</v>
      </c>
      <c r="D98" s="70">
        <v>2</v>
      </c>
      <c r="E98" s="70"/>
      <c r="F98" s="70">
        <v>2</v>
      </c>
    </row>
    <row r="99" spans="1:6" x14ac:dyDescent="0.25">
      <c r="A99" s="61"/>
      <c r="B99" s="78" t="s">
        <v>1451</v>
      </c>
      <c r="C99" s="67"/>
      <c r="D99" s="71">
        <v>2</v>
      </c>
      <c r="E99" s="71"/>
      <c r="F99" s="71">
        <v>2</v>
      </c>
    </row>
    <row r="100" spans="1:6" x14ac:dyDescent="0.25">
      <c r="A100" s="61"/>
      <c r="B100" s="4" t="s">
        <v>1402</v>
      </c>
      <c r="C100" s="4" t="s">
        <v>482</v>
      </c>
      <c r="D100" s="70">
        <v>1</v>
      </c>
      <c r="E100" s="70"/>
      <c r="F100" s="70">
        <v>1</v>
      </c>
    </row>
    <row r="101" spans="1:6" x14ac:dyDescent="0.25">
      <c r="A101" s="61"/>
      <c r="B101" s="78" t="s">
        <v>1452</v>
      </c>
      <c r="C101" s="67"/>
      <c r="D101" s="71">
        <v>1</v>
      </c>
      <c r="E101" s="71"/>
      <c r="F101" s="71">
        <v>1</v>
      </c>
    </row>
    <row r="102" spans="1:6" x14ac:dyDescent="0.25">
      <c r="A102" s="61"/>
      <c r="B102" s="4" t="s">
        <v>1247</v>
      </c>
      <c r="C102" s="4" t="s">
        <v>132</v>
      </c>
      <c r="D102" s="70">
        <v>2</v>
      </c>
      <c r="E102" s="70"/>
      <c r="F102" s="70">
        <v>2</v>
      </c>
    </row>
    <row r="103" spans="1:6" x14ac:dyDescent="0.25">
      <c r="A103" s="61"/>
      <c r="B103" s="78" t="s">
        <v>1453</v>
      </c>
      <c r="C103" s="67"/>
      <c r="D103" s="71">
        <v>2</v>
      </c>
      <c r="E103" s="71"/>
      <c r="F103" s="71">
        <v>2</v>
      </c>
    </row>
    <row r="104" spans="1:6" x14ac:dyDescent="0.25">
      <c r="A104" s="61"/>
      <c r="B104" s="4" t="s">
        <v>1372</v>
      </c>
      <c r="C104" s="4" t="s">
        <v>482</v>
      </c>
      <c r="D104" s="70">
        <v>2</v>
      </c>
      <c r="E104" s="70"/>
      <c r="F104" s="70">
        <v>2</v>
      </c>
    </row>
    <row r="105" spans="1:6" x14ac:dyDescent="0.25">
      <c r="A105" s="61"/>
      <c r="B105" s="78" t="s">
        <v>1454</v>
      </c>
      <c r="C105" s="67"/>
      <c r="D105" s="71">
        <v>2</v>
      </c>
      <c r="E105" s="71"/>
      <c r="F105" s="71">
        <v>2</v>
      </c>
    </row>
    <row r="106" spans="1:6" x14ac:dyDescent="0.25">
      <c r="A106" s="61"/>
      <c r="B106" s="4" t="s">
        <v>1279</v>
      </c>
      <c r="C106" s="4" t="s">
        <v>482</v>
      </c>
      <c r="D106" s="70">
        <v>1</v>
      </c>
      <c r="E106" s="70"/>
      <c r="F106" s="70">
        <v>1</v>
      </c>
    </row>
    <row r="107" spans="1:6" x14ac:dyDescent="0.25">
      <c r="A107" s="61"/>
      <c r="B107" s="78" t="s">
        <v>1455</v>
      </c>
      <c r="C107" s="67"/>
      <c r="D107" s="71">
        <v>1</v>
      </c>
      <c r="E107" s="71"/>
      <c r="F107" s="71">
        <v>1</v>
      </c>
    </row>
    <row r="108" spans="1:6" x14ac:dyDescent="0.25">
      <c r="A108" s="61"/>
      <c r="B108" s="4" t="s">
        <v>1385</v>
      </c>
      <c r="C108" s="4" t="s">
        <v>1096</v>
      </c>
      <c r="D108" s="70">
        <v>1</v>
      </c>
      <c r="E108" s="70"/>
      <c r="F108" s="70">
        <v>1</v>
      </c>
    </row>
    <row r="109" spans="1:6" x14ac:dyDescent="0.25">
      <c r="A109" s="61"/>
      <c r="B109" s="78" t="s">
        <v>1456</v>
      </c>
      <c r="C109" s="67"/>
      <c r="D109" s="71">
        <v>1</v>
      </c>
      <c r="E109" s="71"/>
      <c r="F109" s="71">
        <v>1</v>
      </c>
    </row>
    <row r="110" spans="1:6" x14ac:dyDescent="0.25">
      <c r="A110" s="61"/>
      <c r="B110" s="4" t="s">
        <v>1391</v>
      </c>
      <c r="C110" s="4" t="s">
        <v>1096</v>
      </c>
      <c r="D110" s="70">
        <v>1</v>
      </c>
      <c r="E110" s="70"/>
      <c r="F110" s="70">
        <v>1</v>
      </c>
    </row>
    <row r="111" spans="1:6" x14ac:dyDescent="0.25">
      <c r="A111" s="61"/>
      <c r="B111" s="78" t="s">
        <v>1457</v>
      </c>
      <c r="C111" s="67"/>
      <c r="D111" s="71">
        <v>1</v>
      </c>
      <c r="E111" s="71"/>
      <c r="F111" s="71">
        <v>1</v>
      </c>
    </row>
    <row r="112" spans="1:6" x14ac:dyDescent="0.25">
      <c r="A112" s="61"/>
      <c r="B112" s="4" t="s">
        <v>1380</v>
      </c>
      <c r="C112" s="4" t="s">
        <v>482</v>
      </c>
      <c r="D112" s="70">
        <v>1</v>
      </c>
      <c r="E112" s="70"/>
      <c r="F112" s="70">
        <v>1</v>
      </c>
    </row>
    <row r="113" spans="1:6" x14ac:dyDescent="0.25">
      <c r="A113" s="61"/>
      <c r="B113" s="78" t="s">
        <v>1458</v>
      </c>
      <c r="C113" s="67"/>
      <c r="D113" s="71">
        <v>1</v>
      </c>
      <c r="E113" s="71"/>
      <c r="F113" s="71">
        <v>1</v>
      </c>
    </row>
    <row r="114" spans="1:6" x14ac:dyDescent="0.25">
      <c r="A114" s="60" t="s">
        <v>1459</v>
      </c>
      <c r="B114" s="61"/>
      <c r="C114" s="61"/>
      <c r="D114" s="70">
        <v>18</v>
      </c>
      <c r="E114" s="70">
        <v>5</v>
      </c>
      <c r="F114" s="70">
        <v>23</v>
      </c>
    </row>
    <row r="115" spans="1:6" x14ac:dyDescent="0.25">
      <c r="A115" s="60" t="s">
        <v>174</v>
      </c>
      <c r="B115" s="60" t="s">
        <v>1322</v>
      </c>
      <c r="C115" s="4" t="s">
        <v>482</v>
      </c>
      <c r="D115" s="70">
        <v>1</v>
      </c>
      <c r="E115" s="70">
        <v>2</v>
      </c>
      <c r="F115" s="70">
        <v>3</v>
      </c>
    </row>
    <row r="116" spans="1:6" x14ac:dyDescent="0.25">
      <c r="A116" s="61"/>
      <c r="B116" s="61"/>
      <c r="C116" s="4" t="s">
        <v>103</v>
      </c>
      <c r="D116" s="70">
        <v>1</v>
      </c>
      <c r="E116" s="70"/>
      <c r="F116" s="70">
        <v>1</v>
      </c>
    </row>
    <row r="117" spans="1:6" x14ac:dyDescent="0.25">
      <c r="A117" s="61"/>
      <c r="B117" s="61"/>
      <c r="C117" s="4" t="s">
        <v>480</v>
      </c>
      <c r="D117" s="70"/>
      <c r="E117" s="70">
        <v>1</v>
      </c>
      <c r="F117" s="70">
        <v>1</v>
      </c>
    </row>
    <row r="118" spans="1:6" x14ac:dyDescent="0.25">
      <c r="A118" s="61"/>
      <c r="B118" s="78" t="s">
        <v>1481</v>
      </c>
      <c r="C118" s="67"/>
      <c r="D118" s="71">
        <v>2</v>
      </c>
      <c r="E118" s="71">
        <v>3</v>
      </c>
      <c r="F118" s="71">
        <v>5</v>
      </c>
    </row>
    <row r="119" spans="1:6" x14ac:dyDescent="0.25">
      <c r="A119" s="60" t="s">
        <v>1482</v>
      </c>
      <c r="B119" s="61"/>
      <c r="C119" s="61"/>
      <c r="D119" s="70">
        <v>2</v>
      </c>
      <c r="E119" s="70">
        <v>3</v>
      </c>
      <c r="F119" s="70">
        <v>5</v>
      </c>
    </row>
    <row r="120" spans="1:6" x14ac:dyDescent="0.25">
      <c r="A120" s="60" t="s">
        <v>115</v>
      </c>
      <c r="B120" s="60" t="s">
        <v>1281</v>
      </c>
      <c r="C120" s="4" t="s">
        <v>480</v>
      </c>
      <c r="D120" s="70">
        <v>3</v>
      </c>
      <c r="E120" s="70">
        <v>2</v>
      </c>
      <c r="F120" s="70">
        <v>5</v>
      </c>
    </row>
    <row r="121" spans="1:6" x14ac:dyDescent="0.25">
      <c r="A121" s="61"/>
      <c r="B121" s="61"/>
      <c r="C121" s="4" t="s">
        <v>482</v>
      </c>
      <c r="D121" s="70"/>
      <c r="E121" s="70">
        <v>1</v>
      </c>
      <c r="F121" s="70">
        <v>1</v>
      </c>
    </row>
    <row r="122" spans="1:6" x14ac:dyDescent="0.25">
      <c r="A122" s="61"/>
      <c r="B122" s="78" t="s">
        <v>1492</v>
      </c>
      <c r="C122" s="67"/>
      <c r="D122" s="71">
        <v>3</v>
      </c>
      <c r="E122" s="71">
        <v>3</v>
      </c>
      <c r="F122" s="71">
        <v>6</v>
      </c>
    </row>
    <row r="123" spans="1:6" x14ac:dyDescent="0.25">
      <c r="A123" s="60" t="s">
        <v>1493</v>
      </c>
      <c r="B123" s="61"/>
      <c r="C123" s="61"/>
      <c r="D123" s="70">
        <v>3</v>
      </c>
      <c r="E123" s="70">
        <v>3</v>
      </c>
      <c r="F123" s="70">
        <v>6</v>
      </c>
    </row>
    <row r="124" spans="1:6" x14ac:dyDescent="0.25">
      <c r="A124" s="60" t="s">
        <v>136</v>
      </c>
      <c r="B124" s="4" t="s">
        <v>1336</v>
      </c>
      <c r="C124" s="4" t="s">
        <v>153</v>
      </c>
      <c r="D124" s="70">
        <v>2</v>
      </c>
      <c r="E124" s="70">
        <v>1</v>
      </c>
      <c r="F124" s="70">
        <v>3</v>
      </c>
    </row>
    <row r="125" spans="1:6" x14ac:dyDescent="0.25">
      <c r="A125" s="61"/>
      <c r="B125" s="78" t="s">
        <v>1483</v>
      </c>
      <c r="C125" s="67"/>
      <c r="D125" s="71">
        <v>2</v>
      </c>
      <c r="E125" s="71">
        <v>1</v>
      </c>
      <c r="F125" s="71">
        <v>3</v>
      </c>
    </row>
    <row r="126" spans="1:6" x14ac:dyDescent="0.25">
      <c r="A126" s="61"/>
      <c r="B126" s="4" t="s">
        <v>1368</v>
      </c>
      <c r="C126" s="4" t="s">
        <v>480</v>
      </c>
      <c r="D126" s="70"/>
      <c r="E126" s="70">
        <v>1</v>
      </c>
      <c r="F126" s="70">
        <v>1</v>
      </c>
    </row>
    <row r="127" spans="1:6" x14ac:dyDescent="0.25">
      <c r="A127" s="61"/>
      <c r="B127" s="78" t="s">
        <v>1484</v>
      </c>
      <c r="C127" s="67"/>
      <c r="D127" s="71"/>
      <c r="E127" s="71">
        <v>1</v>
      </c>
      <c r="F127" s="71">
        <v>1</v>
      </c>
    </row>
    <row r="128" spans="1:6" x14ac:dyDescent="0.25">
      <c r="A128" s="61"/>
      <c r="B128" s="4" t="s">
        <v>1327</v>
      </c>
      <c r="C128" s="4" t="s">
        <v>153</v>
      </c>
      <c r="D128" s="70">
        <v>6</v>
      </c>
      <c r="E128" s="70">
        <v>1</v>
      </c>
      <c r="F128" s="70">
        <v>7</v>
      </c>
    </row>
    <row r="129" spans="1:6" x14ac:dyDescent="0.25">
      <c r="A129" s="61"/>
      <c r="B129" s="78" t="s">
        <v>1485</v>
      </c>
      <c r="C129" s="67"/>
      <c r="D129" s="71">
        <v>6</v>
      </c>
      <c r="E129" s="71">
        <v>1</v>
      </c>
      <c r="F129" s="71">
        <v>7</v>
      </c>
    </row>
    <row r="130" spans="1:6" x14ac:dyDescent="0.25">
      <c r="A130" s="61"/>
      <c r="B130" s="4" t="s">
        <v>1334</v>
      </c>
      <c r="C130" s="4" t="s">
        <v>153</v>
      </c>
      <c r="D130" s="70">
        <v>14</v>
      </c>
      <c r="E130" s="70"/>
      <c r="F130" s="70">
        <v>14</v>
      </c>
    </row>
    <row r="131" spans="1:6" x14ac:dyDescent="0.25">
      <c r="A131" s="61"/>
      <c r="B131" s="78" t="s">
        <v>1486</v>
      </c>
      <c r="C131" s="67"/>
      <c r="D131" s="71">
        <v>14</v>
      </c>
      <c r="E131" s="71"/>
      <c r="F131" s="71">
        <v>14</v>
      </c>
    </row>
    <row r="132" spans="1:6" x14ac:dyDescent="0.25">
      <c r="A132" s="60" t="s">
        <v>1487</v>
      </c>
      <c r="B132" s="61"/>
      <c r="C132" s="61"/>
      <c r="D132" s="70">
        <v>22</v>
      </c>
      <c r="E132" s="70">
        <v>3</v>
      </c>
      <c r="F132" s="70">
        <v>25</v>
      </c>
    </row>
    <row r="133" spans="1:6" x14ac:dyDescent="0.25">
      <c r="A133" s="60" t="s">
        <v>162</v>
      </c>
      <c r="B133" s="60" t="s">
        <v>1313</v>
      </c>
      <c r="C133" s="4" t="s">
        <v>478</v>
      </c>
      <c r="D133" s="70">
        <v>3</v>
      </c>
      <c r="E133" s="70">
        <v>1</v>
      </c>
      <c r="F133" s="70">
        <v>4</v>
      </c>
    </row>
    <row r="134" spans="1:6" x14ac:dyDescent="0.25">
      <c r="A134" s="61"/>
      <c r="B134" s="61"/>
      <c r="C134" s="4" t="s">
        <v>459</v>
      </c>
      <c r="D134" s="70"/>
      <c r="E134" s="70">
        <v>1</v>
      </c>
      <c r="F134" s="70">
        <v>1</v>
      </c>
    </row>
    <row r="135" spans="1:6" x14ac:dyDescent="0.25">
      <c r="A135" s="61"/>
      <c r="B135" s="78" t="s">
        <v>1468</v>
      </c>
      <c r="C135" s="67"/>
      <c r="D135" s="71">
        <v>3</v>
      </c>
      <c r="E135" s="71">
        <v>2</v>
      </c>
      <c r="F135" s="71">
        <v>5</v>
      </c>
    </row>
    <row r="136" spans="1:6" x14ac:dyDescent="0.25">
      <c r="A136" s="61"/>
      <c r="B136" s="4" t="s">
        <v>1316</v>
      </c>
      <c r="C136" s="4" t="s">
        <v>459</v>
      </c>
      <c r="D136" s="70"/>
      <c r="E136" s="70">
        <v>1</v>
      </c>
      <c r="F136" s="70">
        <v>1</v>
      </c>
    </row>
    <row r="137" spans="1:6" x14ac:dyDescent="0.25">
      <c r="A137" s="61"/>
      <c r="B137" s="78" t="s">
        <v>1469</v>
      </c>
      <c r="C137" s="67"/>
      <c r="D137" s="71"/>
      <c r="E137" s="71">
        <v>1</v>
      </c>
      <c r="F137" s="71">
        <v>1</v>
      </c>
    </row>
    <row r="138" spans="1:6" x14ac:dyDescent="0.25">
      <c r="A138" s="61"/>
      <c r="B138" s="60" t="s">
        <v>1257</v>
      </c>
      <c r="C138" s="4" t="s">
        <v>459</v>
      </c>
      <c r="D138" s="70">
        <v>4</v>
      </c>
      <c r="E138" s="70"/>
      <c r="F138" s="70">
        <v>4</v>
      </c>
    </row>
    <row r="139" spans="1:6" x14ac:dyDescent="0.25">
      <c r="A139" s="61"/>
      <c r="B139" s="61"/>
      <c r="C139" s="4" t="s">
        <v>103</v>
      </c>
      <c r="D139" s="70">
        <v>3</v>
      </c>
      <c r="E139" s="70"/>
      <c r="F139" s="70">
        <v>3</v>
      </c>
    </row>
    <row r="140" spans="1:6" x14ac:dyDescent="0.25">
      <c r="A140" s="61"/>
      <c r="B140" s="78" t="s">
        <v>1470</v>
      </c>
      <c r="C140" s="67"/>
      <c r="D140" s="71">
        <v>7</v>
      </c>
      <c r="E140" s="71"/>
      <c r="F140" s="71">
        <v>7</v>
      </c>
    </row>
    <row r="141" spans="1:6" x14ac:dyDescent="0.25">
      <c r="A141" s="61"/>
      <c r="B141" s="4" t="s">
        <v>1301</v>
      </c>
      <c r="C141" s="4" t="s">
        <v>103</v>
      </c>
      <c r="D141" s="70">
        <v>1</v>
      </c>
      <c r="E141" s="70"/>
      <c r="F141" s="70">
        <v>1</v>
      </c>
    </row>
    <row r="142" spans="1:6" x14ac:dyDescent="0.25">
      <c r="A142" s="61"/>
      <c r="B142" s="78" t="s">
        <v>1471</v>
      </c>
      <c r="C142" s="67"/>
      <c r="D142" s="71">
        <v>1</v>
      </c>
      <c r="E142" s="71"/>
      <c r="F142" s="71">
        <v>1</v>
      </c>
    </row>
    <row r="143" spans="1:6" x14ac:dyDescent="0.25">
      <c r="A143" s="61"/>
      <c r="B143" s="4" t="s">
        <v>1307</v>
      </c>
      <c r="C143" s="4" t="s">
        <v>103</v>
      </c>
      <c r="D143" s="70">
        <v>1</v>
      </c>
      <c r="E143" s="70"/>
      <c r="F143" s="70">
        <v>1</v>
      </c>
    </row>
    <row r="144" spans="1:6" x14ac:dyDescent="0.25">
      <c r="A144" s="61"/>
      <c r="B144" s="78" t="s">
        <v>1472</v>
      </c>
      <c r="C144" s="67"/>
      <c r="D144" s="71">
        <v>1</v>
      </c>
      <c r="E144" s="71"/>
      <c r="F144" s="71">
        <v>1</v>
      </c>
    </row>
    <row r="145" spans="1:6" x14ac:dyDescent="0.25">
      <c r="A145" s="60" t="s">
        <v>1473</v>
      </c>
      <c r="B145" s="61"/>
      <c r="C145" s="61"/>
      <c r="D145" s="70">
        <v>12</v>
      </c>
      <c r="E145" s="70">
        <v>3</v>
      </c>
      <c r="F145" s="70">
        <v>15</v>
      </c>
    </row>
    <row r="146" spans="1:6" x14ac:dyDescent="0.25">
      <c r="A146" s="60" t="s">
        <v>1238</v>
      </c>
      <c r="B146" s="4" t="s">
        <v>1238</v>
      </c>
      <c r="C146" s="4" t="s">
        <v>480</v>
      </c>
      <c r="D146" s="70">
        <v>4</v>
      </c>
      <c r="E146" s="70">
        <v>2</v>
      </c>
      <c r="F146" s="70">
        <v>6</v>
      </c>
    </row>
    <row r="147" spans="1:6" x14ac:dyDescent="0.25">
      <c r="A147" s="61"/>
      <c r="B147" s="78" t="s">
        <v>1418</v>
      </c>
      <c r="C147" s="67"/>
      <c r="D147" s="71">
        <v>4</v>
      </c>
      <c r="E147" s="71">
        <v>2</v>
      </c>
      <c r="F147" s="71">
        <v>6</v>
      </c>
    </row>
    <row r="148" spans="1:6" x14ac:dyDescent="0.25">
      <c r="A148" s="60" t="s">
        <v>1418</v>
      </c>
      <c r="B148" s="61"/>
      <c r="C148" s="61"/>
      <c r="D148" s="70">
        <v>4</v>
      </c>
      <c r="E148" s="70">
        <v>2</v>
      </c>
      <c r="F148" s="70">
        <v>6</v>
      </c>
    </row>
    <row r="149" spans="1:6" x14ac:dyDescent="0.25">
      <c r="A149" s="60" t="s">
        <v>144</v>
      </c>
      <c r="B149" s="4" t="s">
        <v>1360</v>
      </c>
      <c r="C149" s="4" t="s">
        <v>459</v>
      </c>
      <c r="D149" s="70"/>
      <c r="E149" s="70">
        <v>2</v>
      </c>
      <c r="F149" s="70">
        <v>2</v>
      </c>
    </row>
    <row r="150" spans="1:6" x14ac:dyDescent="0.25">
      <c r="A150" s="61"/>
      <c r="B150" s="78" t="s">
        <v>1517</v>
      </c>
      <c r="C150" s="67"/>
      <c r="D150" s="71"/>
      <c r="E150" s="71">
        <v>2</v>
      </c>
      <c r="F150" s="71">
        <v>2</v>
      </c>
    </row>
    <row r="151" spans="1:6" x14ac:dyDescent="0.25">
      <c r="A151" s="61"/>
      <c r="B151" s="60" t="s">
        <v>1363</v>
      </c>
      <c r="C151" s="4" t="s">
        <v>480</v>
      </c>
      <c r="D151" s="70">
        <v>1</v>
      </c>
      <c r="E151" s="70"/>
      <c r="F151" s="70">
        <v>1</v>
      </c>
    </row>
    <row r="152" spans="1:6" x14ac:dyDescent="0.25">
      <c r="A152" s="61"/>
      <c r="B152" s="61"/>
      <c r="C152" s="4" t="s">
        <v>132</v>
      </c>
      <c r="D152" s="70">
        <v>1</v>
      </c>
      <c r="E152" s="70"/>
      <c r="F152" s="70">
        <v>1</v>
      </c>
    </row>
    <row r="153" spans="1:6" x14ac:dyDescent="0.25">
      <c r="A153" s="61"/>
      <c r="B153" s="78" t="s">
        <v>1518</v>
      </c>
      <c r="C153" s="67"/>
      <c r="D153" s="71">
        <v>2</v>
      </c>
      <c r="E153" s="71"/>
      <c r="F153" s="71">
        <v>2</v>
      </c>
    </row>
    <row r="154" spans="1:6" x14ac:dyDescent="0.25">
      <c r="A154" s="61"/>
      <c r="B154" s="4" t="s">
        <v>1396</v>
      </c>
      <c r="C154" s="4" t="s">
        <v>99</v>
      </c>
      <c r="D154" s="70">
        <v>1</v>
      </c>
      <c r="E154" s="70"/>
      <c r="F154" s="70">
        <v>1</v>
      </c>
    </row>
    <row r="155" spans="1:6" x14ac:dyDescent="0.25">
      <c r="A155" s="61"/>
      <c r="B155" s="78" t="s">
        <v>1519</v>
      </c>
      <c r="C155" s="67"/>
      <c r="D155" s="71">
        <v>1</v>
      </c>
      <c r="E155" s="71"/>
      <c r="F155" s="71">
        <v>1</v>
      </c>
    </row>
    <row r="156" spans="1:6" x14ac:dyDescent="0.25">
      <c r="A156" s="60" t="s">
        <v>1520</v>
      </c>
      <c r="B156" s="61"/>
      <c r="C156" s="61"/>
      <c r="D156" s="70">
        <v>3</v>
      </c>
      <c r="E156" s="70">
        <v>2</v>
      </c>
      <c r="F156" s="70">
        <v>5</v>
      </c>
    </row>
    <row r="157" spans="1:6" x14ac:dyDescent="0.25">
      <c r="A157" s="60" t="s">
        <v>129</v>
      </c>
      <c r="B157" s="4" t="s">
        <v>1338</v>
      </c>
      <c r="C157" s="4" t="s">
        <v>478</v>
      </c>
      <c r="D157" s="70">
        <v>2</v>
      </c>
      <c r="E157" s="70">
        <v>2</v>
      </c>
      <c r="F157" s="70">
        <v>4</v>
      </c>
    </row>
    <row r="158" spans="1:6" x14ac:dyDescent="0.25">
      <c r="A158" s="61"/>
      <c r="B158" s="78" t="s">
        <v>1475</v>
      </c>
      <c r="C158" s="67"/>
      <c r="D158" s="71">
        <v>2</v>
      </c>
      <c r="E158" s="71">
        <v>2</v>
      </c>
      <c r="F158" s="71">
        <v>4</v>
      </c>
    </row>
    <row r="159" spans="1:6" x14ac:dyDescent="0.25">
      <c r="A159" s="61"/>
      <c r="B159" s="4" t="s">
        <v>1291</v>
      </c>
      <c r="C159" s="4" t="s">
        <v>478</v>
      </c>
      <c r="D159" s="70">
        <v>1</v>
      </c>
      <c r="E159" s="70"/>
      <c r="F159" s="70">
        <v>1</v>
      </c>
    </row>
    <row r="160" spans="1:6" x14ac:dyDescent="0.25">
      <c r="A160" s="61"/>
      <c r="B160" s="78" t="s">
        <v>1476</v>
      </c>
      <c r="C160" s="67"/>
      <c r="D160" s="71">
        <v>1</v>
      </c>
      <c r="E160" s="71"/>
      <c r="F160" s="71">
        <v>1</v>
      </c>
    </row>
    <row r="161" spans="1:6" x14ac:dyDescent="0.25">
      <c r="A161" s="61"/>
      <c r="B161" s="4" t="s">
        <v>1330</v>
      </c>
      <c r="C161" s="4" t="s">
        <v>478</v>
      </c>
      <c r="D161" s="70">
        <v>3</v>
      </c>
      <c r="E161" s="70"/>
      <c r="F161" s="70">
        <v>3</v>
      </c>
    </row>
    <row r="162" spans="1:6" x14ac:dyDescent="0.25">
      <c r="A162" s="61"/>
      <c r="B162" s="78" t="s">
        <v>1477</v>
      </c>
      <c r="C162" s="67"/>
      <c r="D162" s="71">
        <v>3</v>
      </c>
      <c r="E162" s="71"/>
      <c r="F162" s="71">
        <v>3</v>
      </c>
    </row>
    <row r="163" spans="1:6" x14ac:dyDescent="0.25">
      <c r="A163" s="60" t="s">
        <v>1478</v>
      </c>
      <c r="B163" s="61"/>
      <c r="C163" s="61"/>
      <c r="D163" s="70">
        <v>6</v>
      </c>
      <c r="E163" s="70">
        <v>2</v>
      </c>
      <c r="F163" s="70">
        <v>8</v>
      </c>
    </row>
    <row r="164" spans="1:6" x14ac:dyDescent="0.25">
      <c r="A164" s="60" t="s">
        <v>106</v>
      </c>
      <c r="B164" s="4" t="s">
        <v>1395</v>
      </c>
      <c r="C164" s="4" t="s">
        <v>99</v>
      </c>
      <c r="D164" s="70">
        <v>1</v>
      </c>
      <c r="E164" s="70">
        <v>1</v>
      </c>
      <c r="F164" s="70">
        <v>2</v>
      </c>
    </row>
    <row r="165" spans="1:6" x14ac:dyDescent="0.25">
      <c r="A165" s="61"/>
      <c r="B165" s="78" t="s">
        <v>1505</v>
      </c>
      <c r="C165" s="67"/>
      <c r="D165" s="71">
        <v>1</v>
      </c>
      <c r="E165" s="71">
        <v>1</v>
      </c>
      <c r="F165" s="71">
        <v>2</v>
      </c>
    </row>
    <row r="166" spans="1:6" x14ac:dyDescent="0.25">
      <c r="A166" s="61"/>
      <c r="B166" s="4" t="s">
        <v>1348</v>
      </c>
      <c r="C166" s="4" t="s">
        <v>99</v>
      </c>
      <c r="D166" s="70">
        <v>1</v>
      </c>
      <c r="E166" s="70"/>
      <c r="F166" s="70">
        <v>1</v>
      </c>
    </row>
    <row r="167" spans="1:6" x14ac:dyDescent="0.25">
      <c r="A167" s="61"/>
      <c r="B167" s="78" t="s">
        <v>1506</v>
      </c>
      <c r="C167" s="67"/>
      <c r="D167" s="71">
        <v>1</v>
      </c>
      <c r="E167" s="71"/>
      <c r="F167" s="71">
        <v>1</v>
      </c>
    </row>
    <row r="168" spans="1:6" x14ac:dyDescent="0.25">
      <c r="A168" s="61"/>
      <c r="B168" s="4" t="s">
        <v>1378</v>
      </c>
      <c r="C168" s="4" t="s">
        <v>99</v>
      </c>
      <c r="D168" s="70">
        <v>7</v>
      </c>
      <c r="E168" s="70"/>
      <c r="F168" s="70">
        <v>7</v>
      </c>
    </row>
    <row r="169" spans="1:6" x14ac:dyDescent="0.25">
      <c r="A169" s="61"/>
      <c r="B169" s="78" t="s">
        <v>1507</v>
      </c>
      <c r="C169" s="67"/>
      <c r="D169" s="71">
        <v>7</v>
      </c>
      <c r="E169" s="71"/>
      <c r="F169" s="71">
        <v>7</v>
      </c>
    </row>
    <row r="170" spans="1:6" x14ac:dyDescent="0.25">
      <c r="A170" s="61"/>
      <c r="B170" s="4" t="s">
        <v>1346</v>
      </c>
      <c r="C170" s="4" t="s">
        <v>99</v>
      </c>
      <c r="D170" s="70">
        <v>2</v>
      </c>
      <c r="E170" s="70"/>
      <c r="F170" s="70">
        <v>2</v>
      </c>
    </row>
    <row r="171" spans="1:6" x14ac:dyDescent="0.25">
      <c r="A171" s="61"/>
      <c r="B171" s="78" t="s">
        <v>1508</v>
      </c>
      <c r="C171" s="67"/>
      <c r="D171" s="71">
        <v>2</v>
      </c>
      <c r="E171" s="71"/>
      <c r="F171" s="71">
        <v>2</v>
      </c>
    </row>
    <row r="172" spans="1:6" x14ac:dyDescent="0.25">
      <c r="A172" s="61"/>
      <c r="B172" s="4" t="s">
        <v>1403</v>
      </c>
      <c r="C172" s="4" t="s">
        <v>99</v>
      </c>
      <c r="D172" s="70">
        <v>3</v>
      </c>
      <c r="E172" s="70"/>
      <c r="F172" s="70">
        <v>3</v>
      </c>
    </row>
    <row r="173" spans="1:6" x14ac:dyDescent="0.25">
      <c r="A173" s="61"/>
      <c r="B173" s="78" t="s">
        <v>1509</v>
      </c>
      <c r="C173" s="67"/>
      <c r="D173" s="71">
        <v>3</v>
      </c>
      <c r="E173" s="71"/>
      <c r="F173" s="71">
        <v>3</v>
      </c>
    </row>
    <row r="174" spans="1:6" x14ac:dyDescent="0.25">
      <c r="A174" s="60" t="s">
        <v>1510</v>
      </c>
      <c r="B174" s="61"/>
      <c r="C174" s="61"/>
      <c r="D174" s="70">
        <v>14</v>
      </c>
      <c r="E174" s="70">
        <v>1</v>
      </c>
      <c r="F174" s="70">
        <v>15</v>
      </c>
    </row>
    <row r="175" spans="1:6" x14ac:dyDescent="0.25">
      <c r="A175" s="60" t="s">
        <v>123</v>
      </c>
      <c r="B175" s="60" t="s">
        <v>1276</v>
      </c>
      <c r="C175" s="4" t="s">
        <v>457</v>
      </c>
      <c r="D175" s="70">
        <v>1</v>
      </c>
      <c r="E175" s="70">
        <v>1</v>
      </c>
      <c r="F175" s="70">
        <v>2</v>
      </c>
    </row>
    <row r="176" spans="1:6" x14ac:dyDescent="0.25">
      <c r="A176" s="61"/>
      <c r="B176" s="61"/>
      <c r="C176" s="4" t="s">
        <v>103</v>
      </c>
      <c r="D176" s="70">
        <v>1</v>
      </c>
      <c r="E176" s="70"/>
      <c r="F176" s="70">
        <v>1</v>
      </c>
    </row>
    <row r="177" spans="1:6" x14ac:dyDescent="0.25">
      <c r="A177" s="61"/>
      <c r="B177" s="78" t="s">
        <v>1427</v>
      </c>
      <c r="C177" s="67"/>
      <c r="D177" s="71">
        <v>2</v>
      </c>
      <c r="E177" s="71">
        <v>1</v>
      </c>
      <c r="F177" s="71">
        <v>3</v>
      </c>
    </row>
    <row r="178" spans="1:6" x14ac:dyDescent="0.25">
      <c r="A178" s="61"/>
      <c r="B178" s="4" t="s">
        <v>1382</v>
      </c>
      <c r="C178" s="4" t="s">
        <v>457</v>
      </c>
      <c r="D178" s="70">
        <v>1</v>
      </c>
      <c r="E178" s="70"/>
      <c r="F178" s="70">
        <v>1</v>
      </c>
    </row>
    <row r="179" spans="1:6" x14ac:dyDescent="0.25">
      <c r="A179" s="61"/>
      <c r="B179" s="78" t="s">
        <v>1428</v>
      </c>
      <c r="C179" s="67"/>
      <c r="D179" s="71">
        <v>1</v>
      </c>
      <c r="E179" s="71"/>
      <c r="F179" s="71">
        <v>1</v>
      </c>
    </row>
    <row r="180" spans="1:6" x14ac:dyDescent="0.25">
      <c r="A180" s="60" t="s">
        <v>1429</v>
      </c>
      <c r="B180" s="61"/>
      <c r="C180" s="61"/>
      <c r="D180" s="70">
        <v>3</v>
      </c>
      <c r="E180" s="70">
        <v>1</v>
      </c>
      <c r="F180" s="70">
        <v>4</v>
      </c>
    </row>
    <row r="181" spans="1:6" x14ac:dyDescent="0.25">
      <c r="A181" s="60" t="s">
        <v>143</v>
      </c>
      <c r="B181" s="4" t="s">
        <v>1290</v>
      </c>
      <c r="C181" s="4" t="s">
        <v>459</v>
      </c>
      <c r="D181" s="70"/>
      <c r="E181" s="70">
        <v>1</v>
      </c>
      <c r="F181" s="70">
        <v>1</v>
      </c>
    </row>
    <row r="182" spans="1:6" x14ac:dyDescent="0.25">
      <c r="A182" s="61"/>
      <c r="B182" s="78" t="s">
        <v>1512</v>
      </c>
      <c r="C182" s="67"/>
      <c r="D182" s="71"/>
      <c r="E182" s="71">
        <v>1</v>
      </c>
      <c r="F182" s="71">
        <v>1</v>
      </c>
    </row>
    <row r="183" spans="1:6" x14ac:dyDescent="0.25">
      <c r="A183" s="61"/>
      <c r="B183" s="4" t="s">
        <v>1365</v>
      </c>
      <c r="C183" s="4" t="s">
        <v>480</v>
      </c>
      <c r="D183" s="70">
        <v>1</v>
      </c>
      <c r="E183" s="70"/>
      <c r="F183" s="70">
        <v>1</v>
      </c>
    </row>
    <row r="184" spans="1:6" x14ac:dyDescent="0.25">
      <c r="A184" s="61"/>
      <c r="B184" s="78" t="s">
        <v>1513</v>
      </c>
      <c r="C184" s="67"/>
      <c r="D184" s="71">
        <v>1</v>
      </c>
      <c r="E184" s="71"/>
      <c r="F184" s="71">
        <v>1</v>
      </c>
    </row>
    <row r="185" spans="1:6" x14ac:dyDescent="0.25">
      <c r="A185" s="61"/>
      <c r="B185" s="4" t="s">
        <v>1317</v>
      </c>
      <c r="C185" s="4" t="s">
        <v>459</v>
      </c>
      <c r="D185" s="70">
        <v>1</v>
      </c>
      <c r="E185" s="70"/>
      <c r="F185" s="70">
        <v>1</v>
      </c>
    </row>
    <row r="186" spans="1:6" x14ac:dyDescent="0.25">
      <c r="A186" s="61"/>
      <c r="B186" s="78" t="s">
        <v>1514</v>
      </c>
      <c r="C186" s="67"/>
      <c r="D186" s="71">
        <v>1</v>
      </c>
      <c r="E186" s="71"/>
      <c r="F186" s="71">
        <v>1</v>
      </c>
    </row>
    <row r="187" spans="1:6" x14ac:dyDescent="0.25">
      <c r="A187" s="61"/>
      <c r="B187" s="4" t="s">
        <v>1398</v>
      </c>
      <c r="C187" s="4" t="s">
        <v>482</v>
      </c>
      <c r="D187" s="70">
        <v>1</v>
      </c>
      <c r="E187" s="70"/>
      <c r="F187" s="70">
        <v>1</v>
      </c>
    </row>
    <row r="188" spans="1:6" x14ac:dyDescent="0.25">
      <c r="A188" s="61"/>
      <c r="B188" s="78" t="s">
        <v>1515</v>
      </c>
      <c r="C188" s="67"/>
      <c r="D188" s="71">
        <v>1</v>
      </c>
      <c r="E188" s="71"/>
      <c r="F188" s="71">
        <v>1</v>
      </c>
    </row>
    <row r="189" spans="1:6" x14ac:dyDescent="0.25">
      <c r="A189" s="60" t="s">
        <v>1516</v>
      </c>
      <c r="B189" s="61"/>
      <c r="C189" s="61"/>
      <c r="D189" s="70">
        <v>3</v>
      </c>
      <c r="E189" s="70">
        <v>1</v>
      </c>
      <c r="F189" s="70">
        <v>4</v>
      </c>
    </row>
    <row r="190" spans="1:6" x14ac:dyDescent="0.25">
      <c r="A190" s="60" t="s">
        <v>173</v>
      </c>
      <c r="B190" s="60" t="s">
        <v>1375</v>
      </c>
      <c r="C190" s="4" t="s">
        <v>482</v>
      </c>
      <c r="D190" s="70">
        <v>1</v>
      </c>
      <c r="E190" s="70"/>
      <c r="F190" s="70">
        <v>1</v>
      </c>
    </row>
    <row r="191" spans="1:6" x14ac:dyDescent="0.25">
      <c r="A191" s="61"/>
      <c r="B191" s="61"/>
      <c r="C191" s="4" t="s">
        <v>1096</v>
      </c>
      <c r="D191" s="70"/>
      <c r="E191" s="70">
        <v>1</v>
      </c>
      <c r="F191" s="70">
        <v>1</v>
      </c>
    </row>
    <row r="192" spans="1:6" x14ac:dyDescent="0.25">
      <c r="A192" s="61"/>
      <c r="B192" s="61"/>
      <c r="C192" s="4" t="s">
        <v>457</v>
      </c>
      <c r="D192" s="70">
        <v>1</v>
      </c>
      <c r="E192" s="70"/>
      <c r="F192" s="70">
        <v>1</v>
      </c>
    </row>
    <row r="193" spans="1:6" x14ac:dyDescent="0.25">
      <c r="A193" s="61"/>
      <c r="B193" s="78" t="s">
        <v>1479</v>
      </c>
      <c r="C193" s="67"/>
      <c r="D193" s="71">
        <v>2</v>
      </c>
      <c r="E193" s="71">
        <v>1</v>
      </c>
      <c r="F193" s="71">
        <v>3</v>
      </c>
    </row>
    <row r="194" spans="1:6" x14ac:dyDescent="0.25">
      <c r="A194" s="60" t="s">
        <v>1480</v>
      </c>
      <c r="B194" s="61"/>
      <c r="C194" s="61"/>
      <c r="D194" s="70">
        <v>2</v>
      </c>
      <c r="E194" s="70">
        <v>1</v>
      </c>
      <c r="F194" s="70">
        <v>3</v>
      </c>
    </row>
    <row r="195" spans="1:6" x14ac:dyDescent="0.25">
      <c r="A195" s="60" t="s">
        <v>163</v>
      </c>
      <c r="B195" s="4" t="s">
        <v>1318</v>
      </c>
      <c r="C195" s="4" t="s">
        <v>478</v>
      </c>
      <c r="D195" s="70">
        <v>1</v>
      </c>
      <c r="E195" s="70">
        <v>1</v>
      </c>
      <c r="F195" s="70">
        <v>2</v>
      </c>
    </row>
    <row r="196" spans="1:6" x14ac:dyDescent="0.25">
      <c r="A196" s="61"/>
      <c r="B196" s="78" t="s">
        <v>1463</v>
      </c>
      <c r="C196" s="67"/>
      <c r="D196" s="71">
        <v>1</v>
      </c>
      <c r="E196" s="71">
        <v>1</v>
      </c>
      <c r="F196" s="71">
        <v>2</v>
      </c>
    </row>
    <row r="197" spans="1:6" x14ac:dyDescent="0.25">
      <c r="A197" s="61"/>
      <c r="B197" s="60" t="s">
        <v>1353</v>
      </c>
      <c r="C197" s="4" t="s">
        <v>480</v>
      </c>
      <c r="D197" s="70">
        <v>1</v>
      </c>
      <c r="E197" s="70"/>
      <c r="F197" s="70">
        <v>1</v>
      </c>
    </row>
    <row r="198" spans="1:6" x14ac:dyDescent="0.25">
      <c r="A198" s="61"/>
      <c r="B198" s="61"/>
      <c r="C198" s="4" t="s">
        <v>99</v>
      </c>
      <c r="D198" s="70">
        <v>1</v>
      </c>
      <c r="E198" s="70"/>
      <c r="F198" s="70">
        <v>1</v>
      </c>
    </row>
    <row r="199" spans="1:6" x14ac:dyDescent="0.25">
      <c r="A199" s="61"/>
      <c r="B199" s="78" t="s">
        <v>1464</v>
      </c>
      <c r="C199" s="67"/>
      <c r="D199" s="71">
        <v>2</v>
      </c>
      <c r="E199" s="71"/>
      <c r="F199" s="71">
        <v>2</v>
      </c>
    </row>
    <row r="200" spans="1:6" x14ac:dyDescent="0.25">
      <c r="A200" s="61"/>
      <c r="B200" s="60" t="s">
        <v>1273</v>
      </c>
      <c r="C200" s="4" t="s">
        <v>99</v>
      </c>
      <c r="D200" s="70">
        <v>4</v>
      </c>
      <c r="E200" s="70"/>
      <c r="F200" s="70">
        <v>4</v>
      </c>
    </row>
    <row r="201" spans="1:6" x14ac:dyDescent="0.25">
      <c r="A201" s="61"/>
      <c r="B201" s="61"/>
      <c r="C201" s="4" t="s">
        <v>478</v>
      </c>
      <c r="D201" s="70">
        <v>2</v>
      </c>
      <c r="E201" s="70"/>
      <c r="F201" s="70">
        <v>2</v>
      </c>
    </row>
    <row r="202" spans="1:6" x14ac:dyDescent="0.25">
      <c r="A202" s="61"/>
      <c r="B202" s="61"/>
      <c r="C202" s="4" t="s">
        <v>103</v>
      </c>
      <c r="D202" s="70">
        <v>1</v>
      </c>
      <c r="E202" s="70"/>
      <c r="F202" s="70">
        <v>1</v>
      </c>
    </row>
    <row r="203" spans="1:6" x14ac:dyDescent="0.25">
      <c r="A203" s="61"/>
      <c r="B203" s="78" t="s">
        <v>1465</v>
      </c>
      <c r="C203" s="67"/>
      <c r="D203" s="71">
        <v>7</v>
      </c>
      <c r="E203" s="71"/>
      <c r="F203" s="71">
        <v>7</v>
      </c>
    </row>
    <row r="204" spans="1:6" x14ac:dyDescent="0.25">
      <c r="A204" s="61"/>
      <c r="B204" s="4" t="s">
        <v>1345</v>
      </c>
      <c r="C204" s="4" t="s">
        <v>459</v>
      </c>
      <c r="D204" s="70">
        <v>1</v>
      </c>
      <c r="E204" s="70"/>
      <c r="F204" s="70">
        <v>1</v>
      </c>
    </row>
    <row r="205" spans="1:6" x14ac:dyDescent="0.25">
      <c r="A205" s="61"/>
      <c r="B205" s="78" t="s">
        <v>1466</v>
      </c>
      <c r="C205" s="67"/>
      <c r="D205" s="71">
        <v>1</v>
      </c>
      <c r="E205" s="71"/>
      <c r="F205" s="71">
        <v>1</v>
      </c>
    </row>
    <row r="206" spans="1:6" x14ac:dyDescent="0.25">
      <c r="A206" s="60" t="s">
        <v>1467</v>
      </c>
      <c r="B206" s="61"/>
      <c r="C206" s="61"/>
      <c r="D206" s="70">
        <v>11</v>
      </c>
      <c r="E206" s="70">
        <v>1</v>
      </c>
      <c r="F206" s="70">
        <v>12</v>
      </c>
    </row>
    <row r="207" spans="1:6" x14ac:dyDescent="0.25">
      <c r="A207" s="60" t="s">
        <v>176</v>
      </c>
      <c r="B207" s="4" t="s">
        <v>1400</v>
      </c>
      <c r="C207" s="4" t="s">
        <v>482</v>
      </c>
      <c r="D207" s="70">
        <v>1</v>
      </c>
      <c r="E207" s="70"/>
      <c r="F207" s="70">
        <v>1</v>
      </c>
    </row>
    <row r="208" spans="1:6" x14ac:dyDescent="0.25">
      <c r="A208" s="61"/>
      <c r="B208" s="78" t="s">
        <v>1521</v>
      </c>
      <c r="C208" s="67"/>
      <c r="D208" s="71">
        <v>1</v>
      </c>
      <c r="E208" s="71"/>
      <c r="F208" s="71">
        <v>1</v>
      </c>
    </row>
    <row r="209" spans="1:6" x14ac:dyDescent="0.25">
      <c r="A209" s="60" t="s">
        <v>1522</v>
      </c>
      <c r="B209" s="61"/>
      <c r="C209" s="61"/>
      <c r="D209" s="70">
        <v>1</v>
      </c>
      <c r="E209" s="70"/>
      <c r="F209" s="70">
        <v>1</v>
      </c>
    </row>
    <row r="210" spans="1:6" x14ac:dyDescent="0.25">
      <c r="A210" s="60" t="s">
        <v>165</v>
      </c>
      <c r="B210" s="4" t="s">
        <v>1373</v>
      </c>
      <c r="C210" s="4" t="s">
        <v>482</v>
      </c>
      <c r="D210" s="70">
        <v>1</v>
      </c>
      <c r="E210" s="70"/>
      <c r="F210" s="70">
        <v>1</v>
      </c>
    </row>
    <row r="211" spans="1:6" x14ac:dyDescent="0.25">
      <c r="A211" s="61"/>
      <c r="B211" s="78" t="s">
        <v>1488</v>
      </c>
      <c r="C211" s="67"/>
      <c r="D211" s="71">
        <v>1</v>
      </c>
      <c r="E211" s="71"/>
      <c r="F211" s="71">
        <v>1</v>
      </c>
    </row>
    <row r="212" spans="1:6" x14ac:dyDescent="0.25">
      <c r="A212" s="60" t="s">
        <v>1489</v>
      </c>
      <c r="B212" s="61"/>
      <c r="C212" s="61"/>
      <c r="D212" s="70">
        <v>1</v>
      </c>
      <c r="E212" s="70"/>
      <c r="F212" s="70">
        <v>1</v>
      </c>
    </row>
    <row r="213" spans="1:6" x14ac:dyDescent="0.25">
      <c r="A213" s="60" t="s">
        <v>155</v>
      </c>
      <c r="B213" s="4" t="s">
        <v>1247</v>
      </c>
      <c r="C213" s="4" t="s">
        <v>482</v>
      </c>
      <c r="D213" s="70">
        <v>2</v>
      </c>
      <c r="E213" s="70"/>
      <c r="F213" s="70">
        <v>2</v>
      </c>
    </row>
    <row r="214" spans="1:6" x14ac:dyDescent="0.25">
      <c r="A214" s="61"/>
      <c r="B214" s="78" t="s">
        <v>1453</v>
      </c>
      <c r="C214" s="67"/>
      <c r="D214" s="71">
        <v>2</v>
      </c>
      <c r="E214" s="71"/>
      <c r="F214" s="71">
        <v>2</v>
      </c>
    </row>
    <row r="215" spans="1:6" x14ac:dyDescent="0.25">
      <c r="A215" s="60" t="s">
        <v>1511</v>
      </c>
      <c r="B215" s="61"/>
      <c r="C215" s="61"/>
      <c r="D215" s="70">
        <v>2</v>
      </c>
      <c r="E215" s="70"/>
      <c r="F215" s="70">
        <v>2</v>
      </c>
    </row>
    <row r="216" spans="1:6" x14ac:dyDescent="0.25">
      <c r="A216" s="60" t="s">
        <v>154</v>
      </c>
      <c r="B216" s="60" t="s">
        <v>1383</v>
      </c>
      <c r="C216" s="4" t="s">
        <v>153</v>
      </c>
      <c r="D216" s="70">
        <v>1</v>
      </c>
      <c r="E216" s="70"/>
      <c r="F216" s="70">
        <v>1</v>
      </c>
    </row>
    <row r="217" spans="1:6" x14ac:dyDescent="0.25">
      <c r="A217" s="61"/>
      <c r="B217" s="61"/>
      <c r="C217" s="4" t="s">
        <v>480</v>
      </c>
      <c r="D217" s="70">
        <v>1</v>
      </c>
      <c r="E217" s="70"/>
      <c r="F217" s="70">
        <v>1</v>
      </c>
    </row>
    <row r="218" spans="1:6" x14ac:dyDescent="0.25">
      <c r="A218" s="61"/>
      <c r="B218" s="78" t="s">
        <v>1460</v>
      </c>
      <c r="C218" s="67"/>
      <c r="D218" s="71">
        <v>2</v>
      </c>
      <c r="E218" s="71"/>
      <c r="F218" s="71">
        <v>2</v>
      </c>
    </row>
    <row r="219" spans="1:6" x14ac:dyDescent="0.25">
      <c r="A219" s="60" t="s">
        <v>1461</v>
      </c>
      <c r="B219" s="61"/>
      <c r="C219" s="61"/>
      <c r="D219" s="70">
        <v>2</v>
      </c>
      <c r="E219" s="70"/>
      <c r="F219" s="70">
        <v>2</v>
      </c>
    </row>
    <row r="220" spans="1:6" x14ac:dyDescent="0.25">
      <c r="A220" s="60" t="s">
        <v>252</v>
      </c>
      <c r="B220" s="4" t="s">
        <v>1318</v>
      </c>
      <c r="C220" s="4" t="s">
        <v>99</v>
      </c>
      <c r="D220" s="70">
        <v>1</v>
      </c>
      <c r="E220" s="70"/>
      <c r="F220" s="70">
        <v>1</v>
      </c>
    </row>
    <row r="221" spans="1:6" x14ac:dyDescent="0.25">
      <c r="A221" s="61"/>
      <c r="B221" s="78" t="s">
        <v>1463</v>
      </c>
      <c r="C221" s="67"/>
      <c r="D221" s="71">
        <v>1</v>
      </c>
      <c r="E221" s="71"/>
      <c r="F221" s="71">
        <v>1</v>
      </c>
    </row>
    <row r="222" spans="1:6" x14ac:dyDescent="0.25">
      <c r="A222" s="60" t="s">
        <v>1474</v>
      </c>
      <c r="B222" s="61"/>
      <c r="C222" s="61"/>
      <c r="D222" s="70">
        <v>1</v>
      </c>
      <c r="E222" s="70"/>
      <c r="F222" s="70">
        <v>1</v>
      </c>
    </row>
    <row r="223" spans="1:6" x14ac:dyDescent="0.25">
      <c r="A223" s="60" t="s">
        <v>139</v>
      </c>
      <c r="B223" s="4" t="s">
        <v>1264</v>
      </c>
      <c r="C223" s="4" t="s">
        <v>480</v>
      </c>
      <c r="D223" s="70">
        <v>1</v>
      </c>
      <c r="E223" s="70"/>
      <c r="F223" s="70">
        <v>1</v>
      </c>
    </row>
    <row r="224" spans="1:6" x14ac:dyDescent="0.25">
      <c r="A224" s="61"/>
      <c r="B224" s="78" t="s">
        <v>1442</v>
      </c>
      <c r="C224" s="67"/>
      <c r="D224" s="71">
        <v>1</v>
      </c>
      <c r="E224" s="71"/>
      <c r="F224" s="71">
        <v>1</v>
      </c>
    </row>
    <row r="225" spans="1:6" x14ac:dyDescent="0.25">
      <c r="A225" s="61"/>
      <c r="B225" s="4" t="s">
        <v>1405</v>
      </c>
      <c r="C225" s="4" t="s">
        <v>99</v>
      </c>
      <c r="D225" s="70">
        <v>1</v>
      </c>
      <c r="E225" s="70"/>
      <c r="F225" s="70">
        <v>1</v>
      </c>
    </row>
    <row r="226" spans="1:6" x14ac:dyDescent="0.25">
      <c r="A226" s="61"/>
      <c r="B226" s="78" t="s">
        <v>1443</v>
      </c>
      <c r="C226" s="67"/>
      <c r="D226" s="71">
        <v>1</v>
      </c>
      <c r="E226" s="71"/>
      <c r="F226" s="71">
        <v>1</v>
      </c>
    </row>
    <row r="227" spans="1:6" x14ac:dyDescent="0.25">
      <c r="A227" s="60" t="s">
        <v>1444</v>
      </c>
      <c r="B227" s="61"/>
      <c r="C227" s="61"/>
      <c r="D227" s="70">
        <v>2</v>
      </c>
      <c r="E227" s="70"/>
      <c r="F227" s="70">
        <v>2</v>
      </c>
    </row>
    <row r="228" spans="1:6" x14ac:dyDescent="0.25">
      <c r="A228" s="60" t="s">
        <v>128</v>
      </c>
      <c r="B228" s="4" t="s">
        <v>1407</v>
      </c>
      <c r="C228" s="4" t="s">
        <v>99</v>
      </c>
      <c r="D228" s="70">
        <v>1</v>
      </c>
      <c r="E228" s="70"/>
      <c r="F228" s="70">
        <v>1</v>
      </c>
    </row>
    <row r="229" spans="1:6" x14ac:dyDescent="0.25">
      <c r="A229" s="61"/>
      <c r="B229" s="78" t="s">
        <v>1490</v>
      </c>
      <c r="C229" s="67"/>
      <c r="D229" s="71">
        <v>1</v>
      </c>
      <c r="E229" s="71"/>
      <c r="F229" s="71">
        <v>1</v>
      </c>
    </row>
    <row r="230" spans="1:6" x14ac:dyDescent="0.25">
      <c r="A230" s="60" t="s">
        <v>1491</v>
      </c>
      <c r="B230" s="61"/>
      <c r="C230" s="61"/>
      <c r="D230" s="70">
        <v>1</v>
      </c>
      <c r="E230" s="70"/>
      <c r="F230" s="70">
        <v>1</v>
      </c>
    </row>
    <row r="231" spans="1:6" x14ac:dyDescent="0.25">
      <c r="A231" s="60" t="s">
        <v>179</v>
      </c>
      <c r="B231" s="4" t="s">
        <v>1393</v>
      </c>
      <c r="C231" s="4" t="s">
        <v>482</v>
      </c>
      <c r="D231" s="70">
        <v>1</v>
      </c>
      <c r="E231" s="70"/>
      <c r="F231" s="70">
        <v>1</v>
      </c>
    </row>
    <row r="232" spans="1:6" x14ac:dyDescent="0.25">
      <c r="A232" s="61"/>
      <c r="B232" s="78" t="s">
        <v>1440</v>
      </c>
      <c r="C232" s="67"/>
      <c r="D232" s="71">
        <v>1</v>
      </c>
      <c r="E232" s="71"/>
      <c r="F232" s="71">
        <v>1</v>
      </c>
    </row>
    <row r="233" spans="1:6" x14ac:dyDescent="0.25">
      <c r="A233" s="60" t="s">
        <v>1441</v>
      </c>
      <c r="B233" s="61"/>
      <c r="C233" s="61"/>
      <c r="D233" s="70">
        <v>1</v>
      </c>
      <c r="E233" s="70"/>
      <c r="F233" s="70">
        <v>1</v>
      </c>
    </row>
    <row r="234" spans="1:6" x14ac:dyDescent="0.25">
      <c r="A234" s="60" t="s">
        <v>44</v>
      </c>
      <c r="B234" s="61"/>
      <c r="C234" s="61"/>
      <c r="D234" s="70">
        <v>174</v>
      </c>
      <c r="E234" s="70">
        <v>66</v>
      </c>
      <c r="F234" s="70">
        <v>240</v>
      </c>
    </row>
  </sheetData>
  <mergeCells count="164">
    <mergeCell ref="A233:C233"/>
    <mergeCell ref="A234:C234"/>
    <mergeCell ref="A227:C227"/>
    <mergeCell ref="A228:A229"/>
    <mergeCell ref="B229:C229"/>
    <mergeCell ref="A230:C230"/>
    <mergeCell ref="A231:A232"/>
    <mergeCell ref="B232:C232"/>
    <mergeCell ref="A219:C219"/>
    <mergeCell ref="A220:A221"/>
    <mergeCell ref="B221:C221"/>
    <mergeCell ref="A222:C222"/>
    <mergeCell ref="A223:A226"/>
    <mergeCell ref="B224:C224"/>
    <mergeCell ref="B226:C226"/>
    <mergeCell ref="A212:C212"/>
    <mergeCell ref="A213:A214"/>
    <mergeCell ref="B214:C214"/>
    <mergeCell ref="A215:C215"/>
    <mergeCell ref="A216:A218"/>
    <mergeCell ref="B216:B217"/>
    <mergeCell ref="B218:C218"/>
    <mergeCell ref="B205:C205"/>
    <mergeCell ref="A206:C206"/>
    <mergeCell ref="A207:A208"/>
    <mergeCell ref="B208:C208"/>
    <mergeCell ref="A209:C209"/>
    <mergeCell ref="A210:A211"/>
    <mergeCell ref="B211:C211"/>
    <mergeCell ref="A190:A193"/>
    <mergeCell ref="B190:B192"/>
    <mergeCell ref="B193:C193"/>
    <mergeCell ref="A194:C194"/>
    <mergeCell ref="A195:A205"/>
    <mergeCell ref="B196:C196"/>
    <mergeCell ref="B197:B198"/>
    <mergeCell ref="B199:C199"/>
    <mergeCell ref="B200:B202"/>
    <mergeCell ref="B203:C203"/>
    <mergeCell ref="A181:A188"/>
    <mergeCell ref="B182:C182"/>
    <mergeCell ref="B184:C184"/>
    <mergeCell ref="B186:C186"/>
    <mergeCell ref="B188:C188"/>
    <mergeCell ref="A189:C189"/>
    <mergeCell ref="A174:C174"/>
    <mergeCell ref="A175:A179"/>
    <mergeCell ref="B175:B176"/>
    <mergeCell ref="B177:C177"/>
    <mergeCell ref="B179:C179"/>
    <mergeCell ref="A180:C180"/>
    <mergeCell ref="A164:A173"/>
    <mergeCell ref="B165:C165"/>
    <mergeCell ref="B167:C167"/>
    <mergeCell ref="B169:C169"/>
    <mergeCell ref="B171:C171"/>
    <mergeCell ref="B173:C173"/>
    <mergeCell ref="A156:C156"/>
    <mergeCell ref="A157:A162"/>
    <mergeCell ref="B158:C158"/>
    <mergeCell ref="B160:C160"/>
    <mergeCell ref="B162:C162"/>
    <mergeCell ref="A163:C163"/>
    <mergeCell ref="A145:C145"/>
    <mergeCell ref="A146:A147"/>
    <mergeCell ref="B147:C147"/>
    <mergeCell ref="A148:C148"/>
    <mergeCell ref="A149:A155"/>
    <mergeCell ref="B150:C150"/>
    <mergeCell ref="B151:B152"/>
    <mergeCell ref="B153:C153"/>
    <mergeCell ref="B155:C155"/>
    <mergeCell ref="A132:C132"/>
    <mergeCell ref="A133:A144"/>
    <mergeCell ref="B133:B134"/>
    <mergeCell ref="B135:C135"/>
    <mergeCell ref="B137:C137"/>
    <mergeCell ref="B138:B139"/>
    <mergeCell ref="B140:C140"/>
    <mergeCell ref="B142:C142"/>
    <mergeCell ref="B144:C144"/>
    <mergeCell ref="A123:C123"/>
    <mergeCell ref="A124:A131"/>
    <mergeCell ref="B125:C125"/>
    <mergeCell ref="B127:C127"/>
    <mergeCell ref="B129:C129"/>
    <mergeCell ref="B131:C131"/>
    <mergeCell ref="A115:A118"/>
    <mergeCell ref="B115:B117"/>
    <mergeCell ref="B118:C118"/>
    <mergeCell ref="A119:C119"/>
    <mergeCell ref="A120:A122"/>
    <mergeCell ref="B120:B121"/>
    <mergeCell ref="B122:C122"/>
    <mergeCell ref="B105:C105"/>
    <mergeCell ref="B107:C107"/>
    <mergeCell ref="B109:C109"/>
    <mergeCell ref="B111:C111"/>
    <mergeCell ref="B113:C113"/>
    <mergeCell ref="A114:C114"/>
    <mergeCell ref="B93:B94"/>
    <mergeCell ref="B95:C95"/>
    <mergeCell ref="B97:C97"/>
    <mergeCell ref="B99:C99"/>
    <mergeCell ref="B101:C101"/>
    <mergeCell ref="B103:C103"/>
    <mergeCell ref="B79:B80"/>
    <mergeCell ref="B81:C81"/>
    <mergeCell ref="A82:C82"/>
    <mergeCell ref="A83:A113"/>
    <mergeCell ref="B83:B84"/>
    <mergeCell ref="B85:C85"/>
    <mergeCell ref="B87:C87"/>
    <mergeCell ref="B89:C89"/>
    <mergeCell ref="B90:B91"/>
    <mergeCell ref="B92:C92"/>
    <mergeCell ref="B70:C70"/>
    <mergeCell ref="B72:C72"/>
    <mergeCell ref="B73:B74"/>
    <mergeCell ref="B75:C75"/>
    <mergeCell ref="B76:B77"/>
    <mergeCell ref="B78:C78"/>
    <mergeCell ref="A57:A59"/>
    <mergeCell ref="B57:B58"/>
    <mergeCell ref="B59:C59"/>
    <mergeCell ref="A60:C60"/>
    <mergeCell ref="A61:A81"/>
    <mergeCell ref="B61:B62"/>
    <mergeCell ref="B63:C63"/>
    <mergeCell ref="B64:B66"/>
    <mergeCell ref="B67:C67"/>
    <mergeCell ref="B68:B69"/>
    <mergeCell ref="B48:B49"/>
    <mergeCell ref="B50:C50"/>
    <mergeCell ref="B51:B52"/>
    <mergeCell ref="B53:C53"/>
    <mergeCell ref="B55:C55"/>
    <mergeCell ref="A56:C56"/>
    <mergeCell ref="B38:B39"/>
    <mergeCell ref="B40:C40"/>
    <mergeCell ref="B41:B42"/>
    <mergeCell ref="B43:C43"/>
    <mergeCell ref="B45:C45"/>
    <mergeCell ref="B47:C47"/>
    <mergeCell ref="B24:C24"/>
    <mergeCell ref="B26:C26"/>
    <mergeCell ref="B27:B28"/>
    <mergeCell ref="B29:C29"/>
    <mergeCell ref="A30:C30"/>
    <mergeCell ref="A31:A55"/>
    <mergeCell ref="B32:C32"/>
    <mergeCell ref="B34:C34"/>
    <mergeCell ref="B35:B36"/>
    <mergeCell ref="B37:C37"/>
    <mergeCell ref="A6:A29"/>
    <mergeCell ref="B6:B8"/>
    <mergeCell ref="B9:C9"/>
    <mergeCell ref="B10:B12"/>
    <mergeCell ref="B13:C13"/>
    <mergeCell ref="B14:B15"/>
    <mergeCell ref="B16:C16"/>
    <mergeCell ref="B18:C18"/>
    <mergeCell ref="B20:C20"/>
    <mergeCell ref="B22:C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5" x14ac:dyDescent="0.25"/>
  <cols>
    <col min="1" max="1" width="14.140625" bestFit="1" customWidth="1"/>
    <col min="2" max="5" width="10.7109375" customWidth="1"/>
  </cols>
  <sheetData>
    <row r="1" spans="1:5" ht="30" x14ac:dyDescent="0.25">
      <c r="A1" s="43" t="s">
        <v>49</v>
      </c>
      <c r="B1" s="43" t="s">
        <v>25</v>
      </c>
      <c r="C1" s="43" t="s">
        <v>474</v>
      </c>
      <c r="D1" s="43" t="s">
        <v>44</v>
      </c>
      <c r="E1" s="43" t="s">
        <v>1240</v>
      </c>
    </row>
    <row r="2" spans="1:5" x14ac:dyDescent="0.25">
      <c r="A2" s="1" t="s">
        <v>457</v>
      </c>
      <c r="B2" s="1">
        <v>8</v>
      </c>
      <c r="C2" s="1">
        <v>17</v>
      </c>
      <c r="D2" s="1">
        <v>25</v>
      </c>
      <c r="E2" s="44">
        <f>C2/D2</f>
        <v>0.68</v>
      </c>
    </row>
    <row r="3" spans="1:5" x14ac:dyDescent="0.25">
      <c r="A3" s="1" t="s">
        <v>459</v>
      </c>
      <c r="B3" s="1">
        <v>15</v>
      </c>
      <c r="C3" s="1">
        <v>10</v>
      </c>
      <c r="D3" s="1">
        <v>25</v>
      </c>
      <c r="E3" s="44">
        <f t="shared" ref="E3:E11" si="0">C3/D3</f>
        <v>0.4</v>
      </c>
    </row>
    <row r="4" spans="1:5" x14ac:dyDescent="0.25">
      <c r="A4" s="1" t="s">
        <v>1096</v>
      </c>
      <c r="B4" s="1">
        <v>17</v>
      </c>
      <c r="C4" s="1">
        <v>8</v>
      </c>
      <c r="D4" s="1">
        <v>25</v>
      </c>
      <c r="E4" s="44">
        <f t="shared" si="0"/>
        <v>0.32</v>
      </c>
    </row>
    <row r="5" spans="1:5" x14ac:dyDescent="0.25">
      <c r="A5" s="1" t="s">
        <v>480</v>
      </c>
      <c r="B5" s="1">
        <v>12</v>
      </c>
      <c r="C5" s="1">
        <v>8</v>
      </c>
      <c r="D5" s="1">
        <v>20</v>
      </c>
      <c r="E5" s="44">
        <f t="shared" si="0"/>
        <v>0.4</v>
      </c>
    </row>
    <row r="6" spans="1:5" x14ac:dyDescent="0.25">
      <c r="A6" s="1" t="s">
        <v>482</v>
      </c>
      <c r="B6" s="1">
        <v>18</v>
      </c>
      <c r="C6" s="1">
        <v>7</v>
      </c>
      <c r="D6" s="1">
        <v>25</v>
      </c>
      <c r="E6" s="44">
        <f t="shared" si="0"/>
        <v>0.28000000000000003</v>
      </c>
    </row>
    <row r="7" spans="1:5" x14ac:dyDescent="0.25">
      <c r="A7" s="1" t="s">
        <v>132</v>
      </c>
      <c r="B7" s="1">
        <v>15</v>
      </c>
      <c r="C7" s="1">
        <v>6</v>
      </c>
      <c r="D7" s="1">
        <v>21</v>
      </c>
      <c r="E7" s="44">
        <f t="shared" si="0"/>
        <v>0.2857142857142857</v>
      </c>
    </row>
    <row r="8" spans="1:5" x14ac:dyDescent="0.25">
      <c r="A8" s="1" t="s">
        <v>478</v>
      </c>
      <c r="B8" s="1">
        <v>20</v>
      </c>
      <c r="C8" s="1">
        <v>5</v>
      </c>
      <c r="D8" s="1">
        <v>25</v>
      </c>
      <c r="E8" s="44">
        <f t="shared" si="0"/>
        <v>0.2</v>
      </c>
    </row>
    <row r="9" spans="1:5" x14ac:dyDescent="0.25">
      <c r="A9" s="1" t="s">
        <v>103</v>
      </c>
      <c r="B9" s="1">
        <v>23</v>
      </c>
      <c r="C9" s="1">
        <v>2</v>
      </c>
      <c r="D9" s="1">
        <v>25</v>
      </c>
      <c r="E9" s="44">
        <f t="shared" si="0"/>
        <v>0.08</v>
      </c>
    </row>
    <row r="10" spans="1:5" x14ac:dyDescent="0.25">
      <c r="A10" s="1" t="s">
        <v>153</v>
      </c>
      <c r="B10" s="1">
        <v>23</v>
      </c>
      <c r="C10" s="1">
        <v>2</v>
      </c>
      <c r="D10" s="1">
        <v>25</v>
      </c>
      <c r="E10" s="44">
        <f t="shared" si="0"/>
        <v>0.08</v>
      </c>
    </row>
    <row r="11" spans="1:5" x14ac:dyDescent="0.25">
      <c r="A11" s="1" t="s">
        <v>99</v>
      </c>
      <c r="B11" s="1">
        <v>23</v>
      </c>
      <c r="C11" s="1">
        <v>1</v>
      </c>
      <c r="D11" s="1">
        <v>24</v>
      </c>
      <c r="E11" s="44">
        <f t="shared" si="0"/>
        <v>4.1666666666666664E-2</v>
      </c>
    </row>
  </sheetData>
  <conditionalFormatting sqref="C2:C11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{15DD41F8-1309-4150-8B09-DDCFCDE72D75}</x14:id>
        </ext>
      </extLst>
    </cfRule>
  </conditionalFormatting>
  <conditionalFormatting sqref="E2:E11">
    <cfRule type="colorScale" priority="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">
      <colorScale>
        <cfvo type="min"/>
        <cfvo type="percentile" val="50"/>
        <cfvo type="max"/>
        <color theme="9" tint="0.79998168889431442"/>
        <color theme="7" tint="0.79998168889431442"/>
        <color theme="5" tint="0.59999389629810485"/>
      </colorScale>
    </cfRule>
    <cfRule type="colorScale" priority="3">
      <colorScale>
        <cfvo type="min"/>
        <cfvo type="percentile" val="50"/>
        <cfvo type="max"/>
        <color theme="5" tint="0.79998168889431442"/>
        <color theme="4" tint="0.79998168889431442"/>
        <color theme="9" tint="0.79998168889431442"/>
      </colorScale>
    </cfRule>
    <cfRule type="colorScale" priority="4">
      <colorScale>
        <cfvo type="min"/>
        <cfvo type="percentile" val="50"/>
        <cfvo type="max"/>
        <color theme="6" tint="0.59999389629810485"/>
        <color rgb="FFFFEB84"/>
        <color theme="5" tint="0.59999389629810485"/>
      </colorScale>
    </cfRule>
    <cfRule type="colorScale" priority="5">
      <colorScale>
        <cfvo type="min"/>
        <cfvo type="max"/>
        <color theme="6" tint="0.39997558519241921"/>
        <color theme="5" tint="0.59999389629810485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DD41F8-1309-4150-8B09-DDCFCDE72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5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2" width="21.7109375" customWidth="1"/>
    <col min="3" max="3" width="37.5703125" bestFit="1" customWidth="1"/>
    <col min="4" max="4" width="33.7109375" bestFit="1" customWidth="1"/>
    <col min="5" max="8" width="10.7109375" customWidth="1"/>
  </cols>
  <sheetData>
    <row r="1" spans="1:8" ht="30" x14ac:dyDescent="0.25">
      <c r="A1" s="51" t="s">
        <v>9</v>
      </c>
      <c r="B1" s="46" t="s">
        <v>32</v>
      </c>
      <c r="C1" s="51" t="s">
        <v>8</v>
      </c>
      <c r="D1" s="51" t="s">
        <v>7</v>
      </c>
      <c r="E1" s="51" t="s">
        <v>25</v>
      </c>
      <c r="F1" s="51" t="s">
        <v>474</v>
      </c>
      <c r="G1" s="51" t="s">
        <v>44</v>
      </c>
      <c r="H1" s="51" t="s">
        <v>1240</v>
      </c>
    </row>
    <row r="2" spans="1:8" x14ac:dyDescent="0.25">
      <c r="A2" s="58" t="s">
        <v>457</v>
      </c>
      <c r="B2" s="60" t="s">
        <v>43</v>
      </c>
      <c r="C2" s="60" t="s">
        <v>101</v>
      </c>
      <c r="D2" s="4" t="s">
        <v>1248</v>
      </c>
      <c r="E2" s="1"/>
      <c r="F2" s="1">
        <v>2</v>
      </c>
      <c r="G2" s="1">
        <v>2</v>
      </c>
      <c r="H2" s="44">
        <f>F2/G2</f>
        <v>1</v>
      </c>
    </row>
    <row r="3" spans="1:8" x14ac:dyDescent="0.25">
      <c r="A3" s="59" t="s">
        <v>457</v>
      </c>
      <c r="B3" s="61" t="s">
        <v>43</v>
      </c>
      <c r="C3" s="61" t="s">
        <v>101</v>
      </c>
      <c r="D3" s="4" t="s">
        <v>1249</v>
      </c>
      <c r="E3" s="1"/>
      <c r="F3" s="1">
        <v>3</v>
      </c>
      <c r="G3" s="1">
        <v>3</v>
      </c>
      <c r="H3" s="44">
        <f t="shared" ref="H3:H66" si="0">F3/G3</f>
        <v>1</v>
      </c>
    </row>
    <row r="4" spans="1:8" x14ac:dyDescent="0.25">
      <c r="A4" s="59" t="s">
        <v>457</v>
      </c>
      <c r="B4" s="61" t="s">
        <v>43</v>
      </c>
      <c r="C4" s="61" t="s">
        <v>101</v>
      </c>
      <c r="D4" s="4" t="s">
        <v>1272</v>
      </c>
      <c r="E4" s="1">
        <v>5</v>
      </c>
      <c r="F4" s="1">
        <v>3</v>
      </c>
      <c r="G4" s="1">
        <v>8</v>
      </c>
      <c r="H4" s="44">
        <f t="shared" si="0"/>
        <v>0.375</v>
      </c>
    </row>
    <row r="5" spans="1:8" x14ac:dyDescent="0.25">
      <c r="A5" s="59" t="s">
        <v>457</v>
      </c>
      <c r="B5" s="61" t="s">
        <v>43</v>
      </c>
      <c r="C5" s="61" t="s">
        <v>101</v>
      </c>
      <c r="D5" s="4" t="s">
        <v>1355</v>
      </c>
      <c r="E5" s="1"/>
      <c r="F5" s="1">
        <v>3</v>
      </c>
      <c r="G5" s="1">
        <v>3</v>
      </c>
      <c r="H5" s="44">
        <f t="shared" si="0"/>
        <v>1</v>
      </c>
    </row>
    <row r="6" spans="1:8" x14ac:dyDescent="0.25">
      <c r="A6" s="59" t="s">
        <v>457</v>
      </c>
      <c r="B6" s="61" t="s">
        <v>43</v>
      </c>
      <c r="C6" s="4" t="s">
        <v>116</v>
      </c>
      <c r="D6" s="4" t="s">
        <v>1388</v>
      </c>
      <c r="E6" s="1"/>
      <c r="F6" s="1">
        <v>1</v>
      </c>
      <c r="G6" s="1">
        <v>1</v>
      </c>
      <c r="H6" s="44">
        <f t="shared" si="0"/>
        <v>1</v>
      </c>
    </row>
    <row r="7" spans="1:8" x14ac:dyDescent="0.25">
      <c r="A7" s="59" t="s">
        <v>457</v>
      </c>
      <c r="B7" s="61" t="s">
        <v>43</v>
      </c>
      <c r="C7" s="4" t="s">
        <v>173</v>
      </c>
      <c r="D7" s="4" t="s">
        <v>1375</v>
      </c>
      <c r="E7" s="1">
        <v>1</v>
      </c>
      <c r="F7" s="1"/>
      <c r="G7" s="1">
        <v>1</v>
      </c>
      <c r="H7" s="44">
        <f t="shared" si="0"/>
        <v>0</v>
      </c>
    </row>
    <row r="8" spans="1:8" x14ac:dyDescent="0.25">
      <c r="A8" s="59" t="s">
        <v>457</v>
      </c>
      <c r="B8" s="61" t="s">
        <v>43</v>
      </c>
      <c r="C8" s="4" t="s">
        <v>151</v>
      </c>
      <c r="D8" s="4" t="s">
        <v>151</v>
      </c>
      <c r="E8" s="1"/>
      <c r="F8" s="1">
        <v>4</v>
      </c>
      <c r="G8" s="1">
        <v>4</v>
      </c>
      <c r="H8" s="44">
        <f t="shared" si="0"/>
        <v>1</v>
      </c>
    </row>
    <row r="9" spans="1:8" x14ac:dyDescent="0.25">
      <c r="A9" s="59" t="s">
        <v>457</v>
      </c>
      <c r="B9" s="61" t="s">
        <v>43</v>
      </c>
      <c r="C9" s="60" t="s">
        <v>123</v>
      </c>
      <c r="D9" s="4" t="s">
        <v>1276</v>
      </c>
      <c r="E9" s="1">
        <v>1</v>
      </c>
      <c r="F9" s="1">
        <v>1</v>
      </c>
      <c r="G9" s="1">
        <v>2</v>
      </c>
      <c r="H9" s="44">
        <f t="shared" si="0"/>
        <v>0.5</v>
      </c>
    </row>
    <row r="10" spans="1:8" x14ac:dyDescent="0.25">
      <c r="A10" s="59" t="s">
        <v>457</v>
      </c>
      <c r="B10" s="61" t="s">
        <v>43</v>
      </c>
      <c r="C10" s="61" t="s">
        <v>123</v>
      </c>
      <c r="D10" s="4" t="s">
        <v>1382</v>
      </c>
      <c r="E10" s="1">
        <v>1</v>
      </c>
      <c r="F10" s="1"/>
      <c r="G10" s="1">
        <v>1</v>
      </c>
      <c r="H10" s="44">
        <f t="shared" si="0"/>
        <v>0</v>
      </c>
    </row>
    <row r="11" spans="1:8" x14ac:dyDescent="0.25">
      <c r="A11" s="59" t="s">
        <v>457</v>
      </c>
      <c r="B11" s="62" t="s">
        <v>1416</v>
      </c>
      <c r="C11" s="63"/>
      <c r="D11" s="63"/>
      <c r="E11" s="48">
        <v>8</v>
      </c>
      <c r="F11" s="48">
        <v>17</v>
      </c>
      <c r="G11" s="48">
        <v>25</v>
      </c>
      <c r="H11" s="49">
        <f t="shared" si="0"/>
        <v>0.68</v>
      </c>
    </row>
    <row r="12" spans="1:8" x14ac:dyDescent="0.25">
      <c r="A12" s="55" t="s">
        <v>1297</v>
      </c>
      <c r="B12" s="56"/>
      <c r="C12" s="56"/>
      <c r="D12" s="57"/>
      <c r="E12" s="47">
        <v>8</v>
      </c>
      <c r="F12" s="47">
        <v>17</v>
      </c>
      <c r="G12" s="47">
        <v>25</v>
      </c>
      <c r="H12" s="50">
        <f t="shared" si="0"/>
        <v>0.68</v>
      </c>
    </row>
    <row r="13" spans="1:8" x14ac:dyDescent="0.25">
      <c r="A13" s="58" t="s">
        <v>459</v>
      </c>
      <c r="B13" s="60" t="s">
        <v>43</v>
      </c>
      <c r="C13" s="60" t="s">
        <v>109</v>
      </c>
      <c r="D13" s="4" t="s">
        <v>1303</v>
      </c>
      <c r="E13" s="1"/>
      <c r="F13" s="1">
        <v>1</v>
      </c>
      <c r="G13" s="1">
        <v>1</v>
      </c>
      <c r="H13" s="44">
        <f t="shared" si="0"/>
        <v>1</v>
      </c>
    </row>
    <row r="14" spans="1:8" x14ac:dyDescent="0.25">
      <c r="A14" s="59"/>
      <c r="B14" s="61" t="s">
        <v>43</v>
      </c>
      <c r="C14" s="61" t="s">
        <v>109</v>
      </c>
      <c r="D14" s="4" t="s">
        <v>1315</v>
      </c>
      <c r="E14" s="1">
        <v>1</v>
      </c>
      <c r="F14" s="1"/>
      <c r="G14" s="1">
        <v>1</v>
      </c>
      <c r="H14" s="44">
        <f t="shared" si="0"/>
        <v>0</v>
      </c>
    </row>
    <row r="15" spans="1:8" x14ac:dyDescent="0.25">
      <c r="A15" s="59"/>
      <c r="B15" s="61" t="s">
        <v>43</v>
      </c>
      <c r="C15" s="61" t="s">
        <v>109</v>
      </c>
      <c r="D15" s="4" t="s">
        <v>1277</v>
      </c>
      <c r="E15" s="1">
        <v>1</v>
      </c>
      <c r="F15" s="1"/>
      <c r="G15" s="1">
        <v>1</v>
      </c>
      <c r="H15" s="44">
        <f t="shared" si="0"/>
        <v>0</v>
      </c>
    </row>
    <row r="16" spans="1:8" x14ac:dyDescent="0.25">
      <c r="A16" s="59"/>
      <c r="B16" s="61" t="s">
        <v>43</v>
      </c>
      <c r="C16" s="61" t="s">
        <v>109</v>
      </c>
      <c r="D16" s="4" t="s">
        <v>1298</v>
      </c>
      <c r="E16" s="1">
        <v>1</v>
      </c>
      <c r="F16" s="1">
        <v>1</v>
      </c>
      <c r="G16" s="1">
        <v>2</v>
      </c>
      <c r="H16" s="44">
        <f t="shared" si="0"/>
        <v>0.5</v>
      </c>
    </row>
    <row r="17" spans="1:8" x14ac:dyDescent="0.25">
      <c r="A17" s="59"/>
      <c r="B17" s="61" t="s">
        <v>43</v>
      </c>
      <c r="C17" s="4" t="s">
        <v>163</v>
      </c>
      <c r="D17" s="4" t="s">
        <v>1345</v>
      </c>
      <c r="E17" s="1">
        <v>1</v>
      </c>
      <c r="F17" s="1"/>
      <c r="G17" s="1">
        <v>1</v>
      </c>
      <c r="H17" s="44">
        <f t="shared" si="0"/>
        <v>0</v>
      </c>
    </row>
    <row r="18" spans="1:8" x14ac:dyDescent="0.25">
      <c r="A18" s="59"/>
      <c r="B18" s="61" t="s">
        <v>43</v>
      </c>
      <c r="C18" s="60" t="s">
        <v>162</v>
      </c>
      <c r="D18" s="4" t="s">
        <v>1313</v>
      </c>
      <c r="E18" s="1"/>
      <c r="F18" s="1">
        <v>1</v>
      </c>
      <c r="G18" s="1">
        <v>1</v>
      </c>
      <c r="H18" s="44">
        <f t="shared" si="0"/>
        <v>1</v>
      </c>
    </row>
    <row r="19" spans="1:8" x14ac:dyDescent="0.25">
      <c r="A19" s="59"/>
      <c r="B19" s="61" t="s">
        <v>43</v>
      </c>
      <c r="C19" s="61" t="s">
        <v>162</v>
      </c>
      <c r="D19" s="4" t="s">
        <v>1316</v>
      </c>
      <c r="E19" s="1"/>
      <c r="F19" s="1">
        <v>1</v>
      </c>
      <c r="G19" s="1">
        <v>1</v>
      </c>
      <c r="H19" s="44">
        <f t="shared" si="0"/>
        <v>1</v>
      </c>
    </row>
    <row r="20" spans="1:8" x14ac:dyDescent="0.25">
      <c r="A20" s="59"/>
      <c r="B20" s="61" t="s">
        <v>43</v>
      </c>
      <c r="C20" s="61" t="s">
        <v>162</v>
      </c>
      <c r="D20" s="4" t="s">
        <v>1257</v>
      </c>
      <c r="E20" s="1">
        <v>4</v>
      </c>
      <c r="F20" s="1"/>
      <c r="G20" s="1">
        <v>4</v>
      </c>
      <c r="H20" s="44">
        <f t="shared" si="0"/>
        <v>0</v>
      </c>
    </row>
    <row r="21" spans="1:8" x14ac:dyDescent="0.25">
      <c r="A21" s="59"/>
      <c r="B21" s="61" t="s">
        <v>43</v>
      </c>
      <c r="C21" s="60" t="s">
        <v>121</v>
      </c>
      <c r="D21" s="4" t="s">
        <v>1311</v>
      </c>
      <c r="E21" s="1">
        <v>2</v>
      </c>
      <c r="F21" s="1"/>
      <c r="G21" s="1">
        <v>2</v>
      </c>
      <c r="H21" s="44">
        <f t="shared" si="0"/>
        <v>0</v>
      </c>
    </row>
    <row r="22" spans="1:8" x14ac:dyDescent="0.25">
      <c r="A22" s="59"/>
      <c r="B22" s="61" t="s">
        <v>43</v>
      </c>
      <c r="C22" s="61" t="s">
        <v>121</v>
      </c>
      <c r="D22" s="4" t="s">
        <v>1367</v>
      </c>
      <c r="E22" s="1">
        <v>1</v>
      </c>
      <c r="F22" s="1"/>
      <c r="G22" s="1">
        <v>1</v>
      </c>
      <c r="H22" s="44">
        <f t="shared" si="0"/>
        <v>0</v>
      </c>
    </row>
    <row r="23" spans="1:8" x14ac:dyDescent="0.25">
      <c r="A23" s="59"/>
      <c r="B23" s="61" t="s">
        <v>43</v>
      </c>
      <c r="C23" s="61" t="s">
        <v>121</v>
      </c>
      <c r="D23" s="4" t="s">
        <v>1289</v>
      </c>
      <c r="E23" s="1"/>
      <c r="F23" s="1">
        <v>1</v>
      </c>
      <c r="G23" s="1">
        <v>1</v>
      </c>
      <c r="H23" s="44">
        <f t="shared" si="0"/>
        <v>1</v>
      </c>
    </row>
    <row r="24" spans="1:8" x14ac:dyDescent="0.25">
      <c r="A24" s="59"/>
      <c r="B24" s="61" t="s">
        <v>43</v>
      </c>
      <c r="C24" s="61" t="s">
        <v>121</v>
      </c>
      <c r="D24" s="4" t="s">
        <v>1359</v>
      </c>
      <c r="E24" s="1">
        <v>1</v>
      </c>
      <c r="F24" s="1"/>
      <c r="G24" s="1">
        <v>1</v>
      </c>
      <c r="H24" s="44">
        <f t="shared" si="0"/>
        <v>0</v>
      </c>
    </row>
    <row r="25" spans="1:8" x14ac:dyDescent="0.25">
      <c r="A25" s="59"/>
      <c r="B25" s="61" t="s">
        <v>43</v>
      </c>
      <c r="C25" s="61" t="s">
        <v>121</v>
      </c>
      <c r="D25" s="4" t="s">
        <v>1333</v>
      </c>
      <c r="E25" s="1"/>
      <c r="F25" s="1">
        <v>1</v>
      </c>
      <c r="G25" s="1">
        <v>1</v>
      </c>
      <c r="H25" s="44">
        <f t="shared" si="0"/>
        <v>1</v>
      </c>
    </row>
    <row r="26" spans="1:8" x14ac:dyDescent="0.25">
      <c r="A26" s="59"/>
      <c r="B26" s="61" t="s">
        <v>43</v>
      </c>
      <c r="C26" s="61" t="s">
        <v>121</v>
      </c>
      <c r="D26" s="4" t="s">
        <v>1268</v>
      </c>
      <c r="E26" s="1">
        <v>1</v>
      </c>
      <c r="F26" s="1"/>
      <c r="G26" s="1">
        <v>1</v>
      </c>
      <c r="H26" s="44">
        <f t="shared" si="0"/>
        <v>0</v>
      </c>
    </row>
    <row r="27" spans="1:8" x14ac:dyDescent="0.25">
      <c r="A27" s="59"/>
      <c r="B27" s="61" t="s">
        <v>43</v>
      </c>
      <c r="C27" s="61" t="s">
        <v>121</v>
      </c>
      <c r="D27" s="4" t="s">
        <v>1280</v>
      </c>
      <c r="E27" s="1">
        <v>1</v>
      </c>
      <c r="F27" s="1"/>
      <c r="G27" s="1">
        <v>1</v>
      </c>
      <c r="H27" s="44">
        <f t="shared" si="0"/>
        <v>0</v>
      </c>
    </row>
    <row r="28" spans="1:8" x14ac:dyDescent="0.25">
      <c r="A28" s="59"/>
      <c r="B28" s="61" t="s">
        <v>43</v>
      </c>
      <c r="C28" s="61" t="s">
        <v>121</v>
      </c>
      <c r="D28" s="4" t="s">
        <v>1282</v>
      </c>
      <c r="E28" s="1"/>
      <c r="F28" s="1">
        <v>1</v>
      </c>
      <c r="G28" s="1">
        <v>1</v>
      </c>
      <c r="H28" s="44">
        <f t="shared" si="0"/>
        <v>1</v>
      </c>
    </row>
    <row r="29" spans="1:8" x14ac:dyDescent="0.25">
      <c r="A29" s="59"/>
      <c r="B29" s="61" t="s">
        <v>43</v>
      </c>
      <c r="C29" s="4" t="s">
        <v>144</v>
      </c>
      <c r="D29" s="4" t="s">
        <v>1360</v>
      </c>
      <c r="E29" s="1"/>
      <c r="F29" s="1">
        <v>2</v>
      </c>
      <c r="G29" s="1">
        <v>2</v>
      </c>
      <c r="H29" s="44">
        <f t="shared" si="0"/>
        <v>1</v>
      </c>
    </row>
    <row r="30" spans="1:8" x14ac:dyDescent="0.25">
      <c r="A30" s="59"/>
      <c r="B30" s="61" t="s">
        <v>43</v>
      </c>
      <c r="C30" s="60" t="s">
        <v>143</v>
      </c>
      <c r="D30" s="4" t="s">
        <v>1317</v>
      </c>
      <c r="E30" s="1">
        <v>1</v>
      </c>
      <c r="F30" s="1"/>
      <c r="G30" s="1">
        <v>1</v>
      </c>
      <c r="H30" s="44">
        <f t="shared" si="0"/>
        <v>0</v>
      </c>
    </row>
    <row r="31" spans="1:8" x14ac:dyDescent="0.25">
      <c r="A31" s="59"/>
      <c r="B31" s="61" t="s">
        <v>43</v>
      </c>
      <c r="C31" s="61" t="s">
        <v>143</v>
      </c>
      <c r="D31" s="4" t="s">
        <v>1290</v>
      </c>
      <c r="E31" s="1"/>
      <c r="F31" s="1">
        <v>1</v>
      </c>
      <c r="G31" s="1">
        <v>1</v>
      </c>
      <c r="H31" s="44">
        <f t="shared" si="0"/>
        <v>1</v>
      </c>
    </row>
    <row r="32" spans="1:8" x14ac:dyDescent="0.25">
      <c r="A32" s="64"/>
      <c r="B32" s="62" t="s">
        <v>1416</v>
      </c>
      <c r="C32" s="63"/>
      <c r="D32" s="63"/>
      <c r="E32" s="48">
        <v>15</v>
      </c>
      <c r="F32" s="48">
        <v>10</v>
      </c>
      <c r="G32" s="48">
        <v>25</v>
      </c>
      <c r="H32" s="49">
        <f t="shared" si="0"/>
        <v>0.4</v>
      </c>
    </row>
    <row r="33" spans="1:8" x14ac:dyDescent="0.25">
      <c r="A33" s="55" t="s">
        <v>1296</v>
      </c>
      <c r="B33" s="56"/>
      <c r="C33" s="56"/>
      <c r="D33" s="57"/>
      <c r="E33" s="47">
        <v>15</v>
      </c>
      <c r="F33" s="47">
        <v>10</v>
      </c>
      <c r="G33" s="47">
        <v>25</v>
      </c>
      <c r="H33" s="50">
        <f t="shared" si="0"/>
        <v>0.4</v>
      </c>
    </row>
    <row r="34" spans="1:8" x14ac:dyDescent="0.25">
      <c r="A34" s="58" t="s">
        <v>1096</v>
      </c>
      <c r="B34" s="60" t="s">
        <v>43</v>
      </c>
      <c r="C34" s="60" t="s">
        <v>101</v>
      </c>
      <c r="D34" s="4" t="s">
        <v>1272</v>
      </c>
      <c r="E34" s="1">
        <v>3</v>
      </c>
      <c r="F34" s="1">
        <v>2</v>
      </c>
      <c r="G34" s="1">
        <v>5</v>
      </c>
      <c r="H34" s="44">
        <f t="shared" si="0"/>
        <v>0.4</v>
      </c>
    </row>
    <row r="35" spans="1:8" x14ac:dyDescent="0.25">
      <c r="A35" s="59" t="s">
        <v>1096</v>
      </c>
      <c r="B35" s="61" t="s">
        <v>43</v>
      </c>
      <c r="C35" s="61" t="s">
        <v>101</v>
      </c>
      <c r="D35" s="4" t="s">
        <v>1260</v>
      </c>
      <c r="E35" s="1">
        <v>7</v>
      </c>
      <c r="F35" s="1">
        <v>1</v>
      </c>
      <c r="G35" s="1">
        <v>8</v>
      </c>
      <c r="H35" s="44">
        <f t="shared" si="0"/>
        <v>0.125</v>
      </c>
    </row>
    <row r="36" spans="1:8" x14ac:dyDescent="0.25">
      <c r="A36" s="59" t="s">
        <v>1096</v>
      </c>
      <c r="B36" s="61" t="s">
        <v>43</v>
      </c>
      <c r="C36" s="61" t="s">
        <v>101</v>
      </c>
      <c r="D36" s="4" t="s">
        <v>1253</v>
      </c>
      <c r="E36" s="1">
        <v>2</v>
      </c>
      <c r="F36" s="1"/>
      <c r="G36" s="1">
        <v>2</v>
      </c>
      <c r="H36" s="44">
        <f t="shared" si="0"/>
        <v>0</v>
      </c>
    </row>
    <row r="37" spans="1:8" x14ac:dyDescent="0.25">
      <c r="A37" s="59" t="s">
        <v>1096</v>
      </c>
      <c r="B37" s="61" t="s">
        <v>43</v>
      </c>
      <c r="C37" s="61" t="s">
        <v>101</v>
      </c>
      <c r="D37" s="4" t="s">
        <v>1355</v>
      </c>
      <c r="E37" s="1"/>
      <c r="F37" s="1">
        <v>2</v>
      </c>
      <c r="G37" s="1">
        <v>2</v>
      </c>
      <c r="H37" s="44">
        <f t="shared" si="0"/>
        <v>1</v>
      </c>
    </row>
    <row r="38" spans="1:8" x14ac:dyDescent="0.25">
      <c r="A38" s="59" t="s">
        <v>1096</v>
      </c>
      <c r="B38" s="61" t="s">
        <v>43</v>
      </c>
      <c r="C38" s="60" t="s">
        <v>116</v>
      </c>
      <c r="D38" s="4" t="s">
        <v>1391</v>
      </c>
      <c r="E38" s="1">
        <v>1</v>
      </c>
      <c r="F38" s="1"/>
      <c r="G38" s="1">
        <v>1</v>
      </c>
      <c r="H38" s="44">
        <f t="shared" si="0"/>
        <v>0</v>
      </c>
    </row>
    <row r="39" spans="1:8" x14ac:dyDescent="0.25">
      <c r="A39" s="59" t="s">
        <v>1096</v>
      </c>
      <c r="B39" s="61" t="s">
        <v>43</v>
      </c>
      <c r="C39" s="61" t="s">
        <v>116</v>
      </c>
      <c r="D39" s="4" t="s">
        <v>1352</v>
      </c>
      <c r="E39" s="1">
        <v>2</v>
      </c>
      <c r="F39" s="1"/>
      <c r="G39" s="1">
        <v>2</v>
      </c>
      <c r="H39" s="44">
        <f t="shared" si="0"/>
        <v>0</v>
      </c>
    </row>
    <row r="40" spans="1:8" x14ac:dyDescent="0.25">
      <c r="A40" s="59" t="s">
        <v>1096</v>
      </c>
      <c r="B40" s="61" t="s">
        <v>43</v>
      </c>
      <c r="C40" s="61" t="s">
        <v>116</v>
      </c>
      <c r="D40" s="4" t="s">
        <v>1304</v>
      </c>
      <c r="E40" s="1">
        <v>1</v>
      </c>
      <c r="F40" s="1">
        <v>2</v>
      </c>
      <c r="G40" s="1">
        <v>3</v>
      </c>
      <c r="H40" s="44">
        <f t="shared" si="0"/>
        <v>0.66666666666666663</v>
      </c>
    </row>
    <row r="41" spans="1:8" x14ac:dyDescent="0.25">
      <c r="A41" s="59" t="s">
        <v>1096</v>
      </c>
      <c r="B41" s="61" t="s">
        <v>43</v>
      </c>
      <c r="C41" s="61" t="s">
        <v>116</v>
      </c>
      <c r="D41" s="4" t="s">
        <v>1385</v>
      </c>
      <c r="E41" s="1">
        <v>1</v>
      </c>
      <c r="F41" s="1"/>
      <c r="G41" s="1">
        <v>1</v>
      </c>
      <c r="H41" s="44">
        <f t="shared" si="0"/>
        <v>0</v>
      </c>
    </row>
    <row r="42" spans="1:8" x14ac:dyDescent="0.25">
      <c r="A42" s="59" t="s">
        <v>1096</v>
      </c>
      <c r="B42" s="61" t="s">
        <v>43</v>
      </c>
      <c r="C42" s="4" t="s">
        <v>173</v>
      </c>
      <c r="D42" s="4" t="s">
        <v>1375</v>
      </c>
      <c r="E42" s="1"/>
      <c r="F42" s="1">
        <v>1</v>
      </c>
      <c r="G42" s="1">
        <v>1</v>
      </c>
      <c r="H42" s="44">
        <f t="shared" si="0"/>
        <v>1</v>
      </c>
    </row>
    <row r="43" spans="1:8" x14ac:dyDescent="0.25">
      <c r="A43" s="59" t="s">
        <v>1096</v>
      </c>
      <c r="B43" s="62" t="s">
        <v>1416</v>
      </c>
      <c r="C43" s="63"/>
      <c r="D43" s="63"/>
      <c r="E43" s="48">
        <v>17</v>
      </c>
      <c r="F43" s="48">
        <v>8</v>
      </c>
      <c r="G43" s="48">
        <v>25</v>
      </c>
      <c r="H43" s="49">
        <f t="shared" si="0"/>
        <v>0.32</v>
      </c>
    </row>
    <row r="44" spans="1:8" x14ac:dyDescent="0.25">
      <c r="A44" s="55" t="s">
        <v>1408</v>
      </c>
      <c r="B44" s="56"/>
      <c r="C44" s="56"/>
      <c r="D44" s="57"/>
      <c r="E44" s="47">
        <v>17</v>
      </c>
      <c r="F44" s="47">
        <v>8</v>
      </c>
      <c r="G44" s="47">
        <v>25</v>
      </c>
      <c r="H44" s="50">
        <f t="shared" si="0"/>
        <v>0.32</v>
      </c>
    </row>
    <row r="45" spans="1:8" x14ac:dyDescent="0.25">
      <c r="A45" s="58" t="s">
        <v>480</v>
      </c>
      <c r="B45" s="4" t="s">
        <v>43</v>
      </c>
      <c r="C45" s="4" t="s">
        <v>1238</v>
      </c>
      <c r="D45" s="4" t="s">
        <v>1238</v>
      </c>
      <c r="E45" s="1">
        <v>1</v>
      </c>
      <c r="F45" s="1"/>
      <c r="G45" s="1">
        <v>1</v>
      </c>
      <c r="H45" s="44">
        <f t="shared" si="0"/>
        <v>0</v>
      </c>
    </row>
    <row r="46" spans="1:8" x14ac:dyDescent="0.25">
      <c r="A46" s="59"/>
      <c r="B46" s="62" t="s">
        <v>1416</v>
      </c>
      <c r="C46" s="63"/>
      <c r="D46" s="63"/>
      <c r="E46" s="48">
        <v>1</v>
      </c>
      <c r="F46" s="48"/>
      <c r="G46" s="48">
        <v>1</v>
      </c>
      <c r="H46" s="49">
        <f t="shared" si="0"/>
        <v>0</v>
      </c>
    </row>
    <row r="47" spans="1:8" x14ac:dyDescent="0.25">
      <c r="A47" s="59"/>
      <c r="B47" s="60" t="s">
        <v>1269</v>
      </c>
      <c r="C47" s="4" t="s">
        <v>109</v>
      </c>
      <c r="D47" s="4" t="s">
        <v>1277</v>
      </c>
      <c r="E47" s="1"/>
      <c r="F47" s="1">
        <v>1</v>
      </c>
      <c r="G47" s="1">
        <v>1</v>
      </c>
      <c r="H47" s="44">
        <f t="shared" si="0"/>
        <v>1</v>
      </c>
    </row>
    <row r="48" spans="1:8" x14ac:dyDescent="0.25">
      <c r="A48" s="59"/>
      <c r="B48" s="61" t="s">
        <v>1269</v>
      </c>
      <c r="C48" s="4" t="s">
        <v>139</v>
      </c>
      <c r="D48" s="4" t="s">
        <v>1264</v>
      </c>
      <c r="E48" s="1">
        <v>1</v>
      </c>
      <c r="F48" s="1"/>
      <c r="G48" s="1">
        <v>1</v>
      </c>
      <c r="H48" s="44">
        <f t="shared" si="0"/>
        <v>0</v>
      </c>
    </row>
    <row r="49" spans="1:8" x14ac:dyDescent="0.25">
      <c r="A49" s="59"/>
      <c r="B49" s="61" t="s">
        <v>1269</v>
      </c>
      <c r="C49" s="4" t="s">
        <v>154</v>
      </c>
      <c r="D49" s="4" t="s">
        <v>1383</v>
      </c>
      <c r="E49" s="1">
        <v>1</v>
      </c>
      <c r="F49" s="1"/>
      <c r="G49" s="1">
        <v>1</v>
      </c>
      <c r="H49" s="44">
        <f t="shared" si="0"/>
        <v>0</v>
      </c>
    </row>
    <row r="50" spans="1:8" x14ac:dyDescent="0.25">
      <c r="A50" s="59"/>
      <c r="B50" s="61" t="s">
        <v>1269</v>
      </c>
      <c r="C50" s="4" t="s">
        <v>163</v>
      </c>
      <c r="D50" s="4" t="s">
        <v>1353</v>
      </c>
      <c r="E50" s="1">
        <v>1</v>
      </c>
      <c r="F50" s="1"/>
      <c r="G50" s="1">
        <v>1</v>
      </c>
      <c r="H50" s="44">
        <f t="shared" si="0"/>
        <v>0</v>
      </c>
    </row>
    <row r="51" spans="1:8" x14ac:dyDescent="0.25">
      <c r="A51" s="59"/>
      <c r="B51" s="61" t="s">
        <v>1269</v>
      </c>
      <c r="C51" s="4" t="s">
        <v>136</v>
      </c>
      <c r="D51" s="4" t="s">
        <v>1368</v>
      </c>
      <c r="E51" s="1"/>
      <c r="F51" s="1">
        <v>1</v>
      </c>
      <c r="G51" s="1">
        <v>1</v>
      </c>
      <c r="H51" s="44">
        <f t="shared" si="0"/>
        <v>1</v>
      </c>
    </row>
    <row r="52" spans="1:8" x14ac:dyDescent="0.25">
      <c r="A52" s="59"/>
      <c r="B52" s="61" t="s">
        <v>1269</v>
      </c>
      <c r="C52" s="4" t="s">
        <v>115</v>
      </c>
      <c r="D52" s="4" t="s">
        <v>1281</v>
      </c>
      <c r="E52" s="1">
        <v>3</v>
      </c>
      <c r="F52" s="1">
        <v>2</v>
      </c>
      <c r="G52" s="1">
        <v>5</v>
      </c>
      <c r="H52" s="44">
        <f t="shared" si="0"/>
        <v>0.4</v>
      </c>
    </row>
    <row r="53" spans="1:8" x14ac:dyDescent="0.25">
      <c r="A53" s="59"/>
      <c r="B53" s="61" t="s">
        <v>1269</v>
      </c>
      <c r="C53" s="4" t="s">
        <v>121</v>
      </c>
      <c r="D53" s="4" t="s">
        <v>1287</v>
      </c>
      <c r="E53" s="1"/>
      <c r="F53" s="1">
        <v>1</v>
      </c>
      <c r="G53" s="1">
        <v>1</v>
      </c>
      <c r="H53" s="44">
        <f t="shared" si="0"/>
        <v>1</v>
      </c>
    </row>
    <row r="54" spans="1:8" x14ac:dyDescent="0.25">
      <c r="A54" s="59"/>
      <c r="B54" s="61" t="s">
        <v>1269</v>
      </c>
      <c r="C54" s="4" t="s">
        <v>1238</v>
      </c>
      <c r="D54" s="4" t="s">
        <v>1238</v>
      </c>
      <c r="E54" s="1">
        <v>3</v>
      </c>
      <c r="F54" s="1">
        <v>2</v>
      </c>
      <c r="G54" s="1">
        <v>5</v>
      </c>
      <c r="H54" s="44">
        <f t="shared" si="0"/>
        <v>0.4</v>
      </c>
    </row>
    <row r="55" spans="1:8" x14ac:dyDescent="0.25">
      <c r="A55" s="59"/>
      <c r="B55" s="61" t="s">
        <v>1269</v>
      </c>
      <c r="C55" s="4" t="s">
        <v>144</v>
      </c>
      <c r="D55" s="4" t="s">
        <v>1363</v>
      </c>
      <c r="E55" s="1">
        <v>1</v>
      </c>
      <c r="F55" s="1"/>
      <c r="G55" s="1">
        <v>1</v>
      </c>
      <c r="H55" s="44">
        <f t="shared" si="0"/>
        <v>0</v>
      </c>
    </row>
    <row r="56" spans="1:8" x14ac:dyDescent="0.25">
      <c r="A56" s="59"/>
      <c r="B56" s="61" t="s">
        <v>1269</v>
      </c>
      <c r="C56" s="4" t="s">
        <v>143</v>
      </c>
      <c r="D56" s="4" t="s">
        <v>1365</v>
      </c>
      <c r="E56" s="1">
        <v>1</v>
      </c>
      <c r="F56" s="1"/>
      <c r="G56" s="1">
        <v>1</v>
      </c>
      <c r="H56" s="44">
        <f t="shared" si="0"/>
        <v>0</v>
      </c>
    </row>
    <row r="57" spans="1:8" x14ac:dyDescent="0.25">
      <c r="A57" s="59"/>
      <c r="B57" s="61" t="s">
        <v>1269</v>
      </c>
      <c r="C57" s="4" t="s">
        <v>174</v>
      </c>
      <c r="D57" s="4" t="s">
        <v>1322</v>
      </c>
      <c r="E57" s="1"/>
      <c r="F57" s="1">
        <v>1</v>
      </c>
      <c r="G57" s="1">
        <v>1</v>
      </c>
      <c r="H57" s="44">
        <f t="shared" si="0"/>
        <v>1</v>
      </c>
    </row>
    <row r="58" spans="1:8" x14ac:dyDescent="0.25">
      <c r="A58" s="64"/>
      <c r="B58" s="62" t="s">
        <v>1417</v>
      </c>
      <c r="C58" s="63"/>
      <c r="D58" s="63"/>
      <c r="E58" s="48">
        <v>11</v>
      </c>
      <c r="F58" s="48">
        <v>8</v>
      </c>
      <c r="G58" s="48">
        <v>19</v>
      </c>
      <c r="H58" s="49">
        <f t="shared" si="0"/>
        <v>0.42105263157894735</v>
      </c>
    </row>
    <row r="59" spans="1:8" x14ac:dyDescent="0.25">
      <c r="A59" s="55" t="s">
        <v>1415</v>
      </c>
      <c r="B59" s="56"/>
      <c r="C59" s="56"/>
      <c r="D59" s="57"/>
      <c r="E59" s="47">
        <v>12</v>
      </c>
      <c r="F59" s="47">
        <v>8</v>
      </c>
      <c r="G59" s="47">
        <v>20</v>
      </c>
      <c r="H59" s="50">
        <f t="shared" si="0"/>
        <v>0.4</v>
      </c>
    </row>
    <row r="60" spans="1:8" x14ac:dyDescent="0.25">
      <c r="A60" s="58" t="s">
        <v>482</v>
      </c>
      <c r="B60" s="60" t="s">
        <v>43</v>
      </c>
      <c r="C60" s="60" t="s">
        <v>116</v>
      </c>
      <c r="D60" s="4" t="s">
        <v>1390</v>
      </c>
      <c r="E60" s="1">
        <v>2</v>
      </c>
      <c r="F60" s="1"/>
      <c r="G60" s="1">
        <v>2</v>
      </c>
      <c r="H60" s="44">
        <f t="shared" si="0"/>
        <v>0</v>
      </c>
    </row>
    <row r="61" spans="1:8" x14ac:dyDescent="0.25">
      <c r="A61" s="59"/>
      <c r="B61" s="61" t="s">
        <v>43</v>
      </c>
      <c r="C61" s="61" t="s">
        <v>116</v>
      </c>
      <c r="D61" s="4" t="s">
        <v>1402</v>
      </c>
      <c r="E61" s="1">
        <v>1</v>
      </c>
      <c r="F61" s="1"/>
      <c r="G61" s="1">
        <v>1</v>
      </c>
      <c r="H61" s="44">
        <f t="shared" si="0"/>
        <v>0</v>
      </c>
    </row>
    <row r="62" spans="1:8" x14ac:dyDescent="0.25">
      <c r="A62" s="59"/>
      <c r="B62" s="61" t="s">
        <v>43</v>
      </c>
      <c r="C62" s="61" t="s">
        <v>116</v>
      </c>
      <c r="D62" s="4" t="s">
        <v>1279</v>
      </c>
      <c r="E62" s="1">
        <v>1</v>
      </c>
      <c r="F62" s="1"/>
      <c r="G62" s="1">
        <v>1</v>
      </c>
      <c r="H62" s="44">
        <f t="shared" si="0"/>
        <v>0</v>
      </c>
    </row>
    <row r="63" spans="1:8" x14ac:dyDescent="0.25">
      <c r="A63" s="59"/>
      <c r="B63" s="61" t="s">
        <v>43</v>
      </c>
      <c r="C63" s="61" t="s">
        <v>116</v>
      </c>
      <c r="D63" s="4" t="s">
        <v>1370</v>
      </c>
      <c r="E63" s="1"/>
      <c r="F63" s="1">
        <v>1</v>
      </c>
      <c r="G63" s="1">
        <v>1</v>
      </c>
      <c r="H63" s="44">
        <f t="shared" si="0"/>
        <v>1</v>
      </c>
    </row>
    <row r="64" spans="1:8" x14ac:dyDescent="0.25">
      <c r="A64" s="59"/>
      <c r="B64" s="61" t="s">
        <v>43</v>
      </c>
      <c r="C64" s="61" t="s">
        <v>116</v>
      </c>
      <c r="D64" s="4" t="s">
        <v>1372</v>
      </c>
      <c r="E64" s="1">
        <v>2</v>
      </c>
      <c r="F64" s="1"/>
      <c r="G64" s="1">
        <v>2</v>
      </c>
      <c r="H64" s="44">
        <f t="shared" si="0"/>
        <v>0</v>
      </c>
    </row>
    <row r="65" spans="1:8" x14ac:dyDescent="0.25">
      <c r="A65" s="59"/>
      <c r="B65" s="61" t="s">
        <v>43</v>
      </c>
      <c r="C65" s="4" t="s">
        <v>173</v>
      </c>
      <c r="D65" s="4" t="s">
        <v>1375</v>
      </c>
      <c r="E65" s="1">
        <v>1</v>
      </c>
      <c r="F65" s="1"/>
      <c r="G65" s="1">
        <v>1</v>
      </c>
      <c r="H65" s="44">
        <f t="shared" si="0"/>
        <v>0</v>
      </c>
    </row>
    <row r="66" spans="1:8" x14ac:dyDescent="0.25">
      <c r="A66" s="59"/>
      <c r="B66" s="61" t="s">
        <v>43</v>
      </c>
      <c r="C66" s="4" t="s">
        <v>165</v>
      </c>
      <c r="D66" s="4" t="s">
        <v>1373</v>
      </c>
      <c r="E66" s="1">
        <v>1</v>
      </c>
      <c r="F66" s="1"/>
      <c r="G66" s="1">
        <v>1</v>
      </c>
      <c r="H66" s="44">
        <f t="shared" si="0"/>
        <v>0</v>
      </c>
    </row>
    <row r="67" spans="1:8" x14ac:dyDescent="0.25">
      <c r="A67" s="59"/>
      <c r="B67" s="61" t="s">
        <v>43</v>
      </c>
      <c r="C67" s="4" t="s">
        <v>155</v>
      </c>
      <c r="D67" s="4" t="s">
        <v>1247</v>
      </c>
      <c r="E67" s="1">
        <v>1</v>
      </c>
      <c r="F67" s="1"/>
      <c r="G67" s="1">
        <v>1</v>
      </c>
      <c r="H67" s="44">
        <f t="shared" ref="H67:H131" si="1">F67/G67</f>
        <v>0</v>
      </c>
    </row>
    <row r="68" spans="1:8" x14ac:dyDescent="0.25">
      <c r="A68" s="59"/>
      <c r="B68" s="62" t="s">
        <v>1416</v>
      </c>
      <c r="C68" s="63"/>
      <c r="D68" s="63"/>
      <c r="E68" s="48">
        <v>9</v>
      </c>
      <c r="F68" s="48">
        <v>1</v>
      </c>
      <c r="G68" s="48">
        <v>10</v>
      </c>
      <c r="H68" s="49">
        <f t="shared" si="1"/>
        <v>0.1</v>
      </c>
    </row>
    <row r="69" spans="1:8" x14ac:dyDescent="0.25">
      <c r="A69" s="59"/>
      <c r="B69" s="60" t="s">
        <v>1269</v>
      </c>
      <c r="C69" s="60" t="s">
        <v>101</v>
      </c>
      <c r="D69" s="4" t="s">
        <v>1295</v>
      </c>
      <c r="E69" s="1"/>
      <c r="F69" s="1">
        <v>1</v>
      </c>
      <c r="G69" s="1">
        <v>1</v>
      </c>
      <c r="H69" s="44">
        <f t="shared" si="1"/>
        <v>1</v>
      </c>
    </row>
    <row r="70" spans="1:8" x14ac:dyDescent="0.25">
      <c r="A70" s="59"/>
      <c r="B70" s="61" t="s">
        <v>1269</v>
      </c>
      <c r="C70" s="61" t="s">
        <v>101</v>
      </c>
      <c r="D70" s="4" t="s">
        <v>1399</v>
      </c>
      <c r="E70" s="1"/>
      <c r="F70" s="1">
        <v>1</v>
      </c>
      <c r="G70" s="1">
        <v>1</v>
      </c>
      <c r="H70" s="44">
        <f t="shared" si="1"/>
        <v>1</v>
      </c>
    </row>
    <row r="71" spans="1:8" x14ac:dyDescent="0.25">
      <c r="A71" s="59"/>
      <c r="B71" s="61" t="s">
        <v>1269</v>
      </c>
      <c r="C71" s="60" t="s">
        <v>116</v>
      </c>
      <c r="D71" s="4" t="s">
        <v>1352</v>
      </c>
      <c r="E71" s="1">
        <v>1</v>
      </c>
      <c r="F71" s="1"/>
      <c r="G71" s="1">
        <v>1</v>
      </c>
      <c r="H71" s="44">
        <f t="shared" si="1"/>
        <v>0</v>
      </c>
    </row>
    <row r="72" spans="1:8" x14ac:dyDescent="0.25">
      <c r="A72" s="59"/>
      <c r="B72" s="61" t="s">
        <v>1269</v>
      </c>
      <c r="C72" s="61" t="s">
        <v>116</v>
      </c>
      <c r="D72" s="4" t="s">
        <v>1380</v>
      </c>
      <c r="E72" s="1">
        <v>1</v>
      </c>
      <c r="F72" s="1"/>
      <c r="G72" s="1">
        <v>1</v>
      </c>
      <c r="H72" s="44">
        <f t="shared" si="1"/>
        <v>0</v>
      </c>
    </row>
    <row r="73" spans="1:8" x14ac:dyDescent="0.25">
      <c r="A73" s="59"/>
      <c r="B73" s="61" t="s">
        <v>1269</v>
      </c>
      <c r="C73" s="61" t="s">
        <v>116</v>
      </c>
      <c r="D73" s="4" t="s">
        <v>1275</v>
      </c>
      <c r="E73" s="1">
        <v>1</v>
      </c>
      <c r="F73" s="1"/>
      <c r="G73" s="1">
        <v>1</v>
      </c>
      <c r="H73" s="44">
        <f t="shared" si="1"/>
        <v>0</v>
      </c>
    </row>
    <row r="74" spans="1:8" x14ac:dyDescent="0.25">
      <c r="A74" s="59"/>
      <c r="B74" s="61" t="s">
        <v>1269</v>
      </c>
      <c r="C74" s="4" t="s">
        <v>115</v>
      </c>
      <c r="D74" s="4" t="s">
        <v>1281</v>
      </c>
      <c r="E74" s="1"/>
      <c r="F74" s="1">
        <v>1</v>
      </c>
      <c r="G74" s="1">
        <v>1</v>
      </c>
      <c r="H74" s="44">
        <f t="shared" si="1"/>
        <v>1</v>
      </c>
    </row>
    <row r="75" spans="1:8" x14ac:dyDescent="0.25">
      <c r="A75" s="59"/>
      <c r="B75" s="61" t="s">
        <v>1269</v>
      </c>
      <c r="C75" s="4" t="s">
        <v>155</v>
      </c>
      <c r="D75" s="4" t="s">
        <v>1247</v>
      </c>
      <c r="E75" s="1">
        <v>1</v>
      </c>
      <c r="F75" s="1"/>
      <c r="G75" s="1">
        <v>1</v>
      </c>
      <c r="H75" s="44">
        <f t="shared" si="1"/>
        <v>0</v>
      </c>
    </row>
    <row r="76" spans="1:8" x14ac:dyDescent="0.25">
      <c r="A76" s="59"/>
      <c r="B76" s="61" t="s">
        <v>1269</v>
      </c>
      <c r="C76" s="4" t="s">
        <v>151</v>
      </c>
      <c r="D76" s="4" t="s">
        <v>151</v>
      </c>
      <c r="E76" s="1">
        <v>1</v>
      </c>
      <c r="F76" s="1">
        <v>1</v>
      </c>
      <c r="G76" s="1">
        <v>2</v>
      </c>
      <c r="H76" s="44">
        <f t="shared" si="1"/>
        <v>0.5</v>
      </c>
    </row>
    <row r="77" spans="1:8" x14ac:dyDescent="0.25">
      <c r="A77" s="59"/>
      <c r="B77" s="61" t="s">
        <v>1269</v>
      </c>
      <c r="C77" s="4" t="s">
        <v>143</v>
      </c>
      <c r="D77" s="4" t="s">
        <v>1398</v>
      </c>
      <c r="E77" s="1">
        <v>1</v>
      </c>
      <c r="F77" s="1"/>
      <c r="G77" s="1">
        <v>1</v>
      </c>
      <c r="H77" s="44">
        <f t="shared" si="1"/>
        <v>0</v>
      </c>
    </row>
    <row r="78" spans="1:8" x14ac:dyDescent="0.25">
      <c r="A78" s="59"/>
      <c r="B78" s="61" t="s">
        <v>1269</v>
      </c>
      <c r="C78" s="4" t="s">
        <v>179</v>
      </c>
      <c r="D78" s="4" t="s">
        <v>1393</v>
      </c>
      <c r="E78" s="1">
        <v>1</v>
      </c>
      <c r="F78" s="1"/>
      <c r="G78" s="1">
        <v>1</v>
      </c>
      <c r="H78" s="44">
        <f t="shared" si="1"/>
        <v>0</v>
      </c>
    </row>
    <row r="79" spans="1:8" x14ac:dyDescent="0.25">
      <c r="A79" s="59"/>
      <c r="B79" s="61" t="s">
        <v>1269</v>
      </c>
      <c r="C79" s="4" t="s">
        <v>176</v>
      </c>
      <c r="D79" s="4" t="s">
        <v>1400</v>
      </c>
      <c r="E79" s="1">
        <v>1</v>
      </c>
      <c r="F79" s="1"/>
      <c r="G79" s="1">
        <v>1</v>
      </c>
      <c r="H79" s="44">
        <f t="shared" si="1"/>
        <v>0</v>
      </c>
    </row>
    <row r="80" spans="1:8" x14ac:dyDescent="0.25">
      <c r="A80" s="59"/>
      <c r="B80" s="61" t="s">
        <v>1269</v>
      </c>
      <c r="C80" s="4" t="s">
        <v>174</v>
      </c>
      <c r="D80" s="4" t="s">
        <v>1322</v>
      </c>
      <c r="E80" s="1">
        <v>1</v>
      </c>
      <c r="F80" s="1">
        <v>2</v>
      </c>
      <c r="G80" s="1">
        <v>3</v>
      </c>
      <c r="H80" s="44">
        <f t="shared" si="1"/>
        <v>0.66666666666666663</v>
      </c>
    </row>
    <row r="81" spans="1:8" x14ac:dyDescent="0.25">
      <c r="A81" s="64"/>
      <c r="B81" s="62" t="s">
        <v>1417</v>
      </c>
      <c r="C81" s="63"/>
      <c r="D81" s="63"/>
      <c r="E81" s="48">
        <v>9</v>
      </c>
      <c r="F81" s="48">
        <v>6</v>
      </c>
      <c r="G81" s="48">
        <v>15</v>
      </c>
      <c r="H81" s="49">
        <f t="shared" si="1"/>
        <v>0.4</v>
      </c>
    </row>
    <row r="82" spans="1:8" x14ac:dyDescent="0.25">
      <c r="A82" s="55" t="s">
        <v>1412</v>
      </c>
      <c r="B82" s="56"/>
      <c r="C82" s="56"/>
      <c r="D82" s="57"/>
      <c r="E82" s="47">
        <v>18</v>
      </c>
      <c r="F82" s="47">
        <v>7</v>
      </c>
      <c r="G82" s="47">
        <v>25</v>
      </c>
      <c r="H82" s="50">
        <f t="shared" si="1"/>
        <v>0.28000000000000003</v>
      </c>
    </row>
    <row r="83" spans="1:8" x14ac:dyDescent="0.25">
      <c r="A83" s="58" t="s">
        <v>132</v>
      </c>
      <c r="B83" s="60" t="s">
        <v>43</v>
      </c>
      <c r="C83" s="60" t="s">
        <v>101</v>
      </c>
      <c r="D83" s="4" t="s">
        <v>1248</v>
      </c>
      <c r="E83" s="1">
        <v>3</v>
      </c>
      <c r="F83" s="1">
        <v>1</v>
      </c>
      <c r="G83" s="1">
        <v>4</v>
      </c>
      <c r="H83" s="44">
        <f t="shared" si="1"/>
        <v>0.25</v>
      </c>
    </row>
    <row r="84" spans="1:8" x14ac:dyDescent="0.25">
      <c r="A84" s="59" t="s">
        <v>132</v>
      </c>
      <c r="B84" s="61" t="s">
        <v>43</v>
      </c>
      <c r="C84" s="61" t="s">
        <v>101</v>
      </c>
      <c r="D84" s="4" t="s">
        <v>1272</v>
      </c>
      <c r="E84" s="1">
        <v>3</v>
      </c>
      <c r="F84" s="1">
        <v>4</v>
      </c>
      <c r="G84" s="1">
        <v>7</v>
      </c>
      <c r="H84" s="44">
        <f t="shared" si="1"/>
        <v>0.5714285714285714</v>
      </c>
    </row>
    <row r="85" spans="1:8" x14ac:dyDescent="0.25">
      <c r="A85" s="59" t="s">
        <v>132</v>
      </c>
      <c r="B85" s="61" t="s">
        <v>43</v>
      </c>
      <c r="C85" s="61" t="s">
        <v>101</v>
      </c>
      <c r="D85" s="4" t="s">
        <v>1254</v>
      </c>
      <c r="E85" s="1">
        <v>3</v>
      </c>
      <c r="F85" s="1"/>
      <c r="G85" s="1">
        <v>3</v>
      </c>
      <c r="H85" s="44">
        <f t="shared" si="1"/>
        <v>0</v>
      </c>
    </row>
    <row r="86" spans="1:8" x14ac:dyDescent="0.25">
      <c r="A86" s="59" t="s">
        <v>132</v>
      </c>
      <c r="B86" s="61" t="s">
        <v>43</v>
      </c>
      <c r="C86" s="61" t="s">
        <v>101</v>
      </c>
      <c r="D86" s="4" t="s">
        <v>1253</v>
      </c>
      <c r="E86" s="1">
        <v>1</v>
      </c>
      <c r="F86" s="1"/>
      <c r="G86" s="1">
        <v>1</v>
      </c>
      <c r="H86" s="44">
        <f t="shared" si="1"/>
        <v>0</v>
      </c>
    </row>
    <row r="87" spans="1:8" x14ac:dyDescent="0.25">
      <c r="A87" s="59" t="s">
        <v>132</v>
      </c>
      <c r="B87" s="61" t="s">
        <v>43</v>
      </c>
      <c r="C87" s="61" t="s">
        <v>101</v>
      </c>
      <c r="D87" s="4" t="s">
        <v>1355</v>
      </c>
      <c r="E87" s="1">
        <v>1</v>
      </c>
      <c r="F87" s="1"/>
      <c r="G87" s="1">
        <v>1</v>
      </c>
      <c r="H87" s="44">
        <f t="shared" si="1"/>
        <v>0</v>
      </c>
    </row>
    <row r="88" spans="1:8" x14ac:dyDescent="0.25">
      <c r="A88" s="59" t="s">
        <v>132</v>
      </c>
      <c r="B88" s="61" t="s">
        <v>43</v>
      </c>
      <c r="C88" s="60" t="s">
        <v>116</v>
      </c>
      <c r="D88" s="4" t="s">
        <v>1247</v>
      </c>
      <c r="E88" s="1">
        <v>2</v>
      </c>
      <c r="F88" s="1"/>
      <c r="G88" s="1">
        <v>2</v>
      </c>
      <c r="H88" s="44">
        <f t="shared" si="1"/>
        <v>0</v>
      </c>
    </row>
    <row r="89" spans="1:8" x14ac:dyDescent="0.25">
      <c r="A89" s="59" t="s">
        <v>132</v>
      </c>
      <c r="B89" s="61" t="s">
        <v>43</v>
      </c>
      <c r="C89" s="61" t="s">
        <v>116</v>
      </c>
      <c r="D89" s="4" t="s">
        <v>1354</v>
      </c>
      <c r="E89" s="1"/>
      <c r="F89" s="1">
        <v>1</v>
      </c>
      <c r="G89" s="1">
        <v>1</v>
      </c>
      <c r="H89" s="44">
        <f t="shared" si="1"/>
        <v>1</v>
      </c>
    </row>
    <row r="90" spans="1:8" x14ac:dyDescent="0.25">
      <c r="A90" s="59" t="s">
        <v>132</v>
      </c>
      <c r="B90" s="61" t="s">
        <v>43</v>
      </c>
      <c r="C90" s="61" t="s">
        <v>116</v>
      </c>
      <c r="D90" s="4" t="s">
        <v>1388</v>
      </c>
      <c r="E90" s="1">
        <v>1</v>
      </c>
      <c r="F90" s="1"/>
      <c r="G90" s="1">
        <v>1</v>
      </c>
      <c r="H90" s="44">
        <f t="shared" si="1"/>
        <v>0</v>
      </c>
    </row>
    <row r="91" spans="1:8" x14ac:dyDescent="0.25">
      <c r="A91" s="59" t="s">
        <v>132</v>
      </c>
      <c r="B91" s="61" t="s">
        <v>43</v>
      </c>
      <c r="C91" s="4" t="s">
        <v>144</v>
      </c>
      <c r="D91" s="4" t="s">
        <v>1363</v>
      </c>
      <c r="E91" s="1">
        <v>1</v>
      </c>
      <c r="F91" s="1"/>
      <c r="G91" s="1">
        <v>1</v>
      </c>
      <c r="H91" s="44">
        <f t="shared" si="1"/>
        <v>0</v>
      </c>
    </row>
    <row r="92" spans="1:8" x14ac:dyDescent="0.25">
      <c r="A92" s="59" t="s">
        <v>132</v>
      </c>
      <c r="B92" s="62" t="s">
        <v>1416</v>
      </c>
      <c r="C92" s="63"/>
      <c r="D92" s="63"/>
      <c r="E92" s="48">
        <v>15</v>
      </c>
      <c r="F92" s="48">
        <v>6</v>
      </c>
      <c r="G92" s="48">
        <v>21</v>
      </c>
      <c r="H92" s="49">
        <f t="shared" si="1"/>
        <v>0.2857142857142857</v>
      </c>
    </row>
    <row r="93" spans="1:8" x14ac:dyDescent="0.25">
      <c r="A93" s="55" t="s">
        <v>1414</v>
      </c>
      <c r="B93" s="56"/>
      <c r="C93" s="56"/>
      <c r="D93" s="57"/>
      <c r="E93" s="47">
        <v>15</v>
      </c>
      <c r="F93" s="47">
        <v>6</v>
      </c>
      <c r="G93" s="47">
        <v>21</v>
      </c>
      <c r="H93" s="50">
        <f t="shared" si="1"/>
        <v>0.2857142857142857</v>
      </c>
    </row>
    <row r="94" spans="1:8" x14ac:dyDescent="0.25">
      <c r="A94" s="58" t="s">
        <v>478</v>
      </c>
      <c r="B94" s="60" t="s">
        <v>43</v>
      </c>
      <c r="C94" s="60" t="s">
        <v>109</v>
      </c>
      <c r="D94" s="4" t="s">
        <v>1305</v>
      </c>
      <c r="E94" s="1">
        <v>1</v>
      </c>
      <c r="F94" s="1"/>
      <c r="G94" s="1">
        <v>1</v>
      </c>
      <c r="H94" s="44">
        <f t="shared" si="1"/>
        <v>0</v>
      </c>
    </row>
    <row r="95" spans="1:8" x14ac:dyDescent="0.25">
      <c r="A95" s="59"/>
      <c r="B95" s="61" t="s">
        <v>43</v>
      </c>
      <c r="C95" s="61" t="s">
        <v>109</v>
      </c>
      <c r="D95" s="4" t="s">
        <v>1325</v>
      </c>
      <c r="E95" s="1">
        <v>3</v>
      </c>
      <c r="F95" s="1"/>
      <c r="G95" s="1">
        <v>3</v>
      </c>
      <c r="H95" s="44">
        <f t="shared" si="1"/>
        <v>0</v>
      </c>
    </row>
    <row r="96" spans="1:8" x14ac:dyDescent="0.25">
      <c r="A96" s="59"/>
      <c r="B96" s="61" t="s">
        <v>43</v>
      </c>
      <c r="C96" s="60" t="s">
        <v>163</v>
      </c>
      <c r="D96" s="4" t="s">
        <v>1273</v>
      </c>
      <c r="E96" s="1">
        <v>2</v>
      </c>
      <c r="F96" s="1"/>
      <c r="G96" s="1">
        <v>2</v>
      </c>
      <c r="H96" s="44">
        <f t="shared" si="1"/>
        <v>0</v>
      </c>
    </row>
    <row r="97" spans="1:8" x14ac:dyDescent="0.25">
      <c r="A97" s="59"/>
      <c r="B97" s="61" t="s">
        <v>43</v>
      </c>
      <c r="C97" s="61" t="s">
        <v>163</v>
      </c>
      <c r="D97" s="4" t="s">
        <v>1318</v>
      </c>
      <c r="E97" s="1">
        <v>1</v>
      </c>
      <c r="F97" s="1">
        <v>1</v>
      </c>
      <c r="G97" s="1">
        <v>2</v>
      </c>
      <c r="H97" s="44">
        <f t="shared" si="1"/>
        <v>0.5</v>
      </c>
    </row>
    <row r="98" spans="1:8" x14ac:dyDescent="0.25">
      <c r="A98" s="59"/>
      <c r="B98" s="61" t="s">
        <v>43</v>
      </c>
      <c r="C98" s="4" t="s">
        <v>162</v>
      </c>
      <c r="D98" s="4" t="s">
        <v>1313</v>
      </c>
      <c r="E98" s="1">
        <v>3</v>
      </c>
      <c r="F98" s="1">
        <v>1</v>
      </c>
      <c r="G98" s="1">
        <v>4</v>
      </c>
      <c r="H98" s="44">
        <f t="shared" si="1"/>
        <v>0.25</v>
      </c>
    </row>
    <row r="99" spans="1:8" x14ac:dyDescent="0.25">
      <c r="A99" s="59"/>
      <c r="B99" s="61" t="s">
        <v>43</v>
      </c>
      <c r="C99" s="60" t="s">
        <v>129</v>
      </c>
      <c r="D99" s="4" t="s">
        <v>1291</v>
      </c>
      <c r="E99" s="1">
        <v>1</v>
      </c>
      <c r="F99" s="1"/>
      <c r="G99" s="1">
        <v>1</v>
      </c>
      <c r="H99" s="44">
        <f t="shared" si="1"/>
        <v>0</v>
      </c>
    </row>
    <row r="100" spans="1:8" x14ac:dyDescent="0.25">
      <c r="A100" s="59"/>
      <c r="B100" s="61" t="s">
        <v>43</v>
      </c>
      <c r="C100" s="61" t="s">
        <v>129</v>
      </c>
      <c r="D100" s="4" t="s">
        <v>1330</v>
      </c>
      <c r="E100" s="1">
        <v>3</v>
      </c>
      <c r="F100" s="1"/>
      <c r="G100" s="1">
        <v>3</v>
      </c>
      <c r="H100" s="44">
        <f t="shared" si="1"/>
        <v>0</v>
      </c>
    </row>
    <row r="101" spans="1:8" x14ac:dyDescent="0.25">
      <c r="A101" s="59"/>
      <c r="B101" s="61" t="s">
        <v>43</v>
      </c>
      <c r="C101" s="61" t="s">
        <v>129</v>
      </c>
      <c r="D101" s="4" t="s">
        <v>1338</v>
      </c>
      <c r="E101" s="1">
        <v>2</v>
      </c>
      <c r="F101" s="1">
        <v>2</v>
      </c>
      <c r="G101" s="1">
        <v>4</v>
      </c>
      <c r="H101" s="44">
        <f t="shared" si="1"/>
        <v>0.5</v>
      </c>
    </row>
    <row r="102" spans="1:8" x14ac:dyDescent="0.25">
      <c r="A102" s="59"/>
      <c r="B102" s="61" t="s">
        <v>43</v>
      </c>
      <c r="C102" s="60" t="s">
        <v>121</v>
      </c>
      <c r="D102" s="4" t="s">
        <v>1311</v>
      </c>
      <c r="E102" s="1">
        <v>1</v>
      </c>
      <c r="F102" s="1"/>
      <c r="G102" s="1">
        <v>1</v>
      </c>
      <c r="H102" s="44">
        <f t="shared" si="1"/>
        <v>0</v>
      </c>
    </row>
    <row r="103" spans="1:8" x14ac:dyDescent="0.25">
      <c r="A103" s="59"/>
      <c r="B103" s="61" t="s">
        <v>43</v>
      </c>
      <c r="C103" s="61" t="s">
        <v>121</v>
      </c>
      <c r="D103" s="4" t="s">
        <v>1357</v>
      </c>
      <c r="E103" s="1">
        <v>1</v>
      </c>
      <c r="F103" s="1"/>
      <c r="G103" s="1">
        <v>1</v>
      </c>
      <c r="H103" s="44">
        <f t="shared" si="1"/>
        <v>0</v>
      </c>
    </row>
    <row r="104" spans="1:8" x14ac:dyDescent="0.25">
      <c r="A104" s="59"/>
      <c r="B104" s="61" t="s">
        <v>43</v>
      </c>
      <c r="C104" s="61" t="s">
        <v>121</v>
      </c>
      <c r="D104" s="4" t="s">
        <v>1367</v>
      </c>
      <c r="E104" s="1"/>
      <c r="F104" s="1">
        <v>1</v>
      </c>
      <c r="G104" s="1">
        <v>1</v>
      </c>
      <c r="H104" s="44">
        <f t="shared" si="1"/>
        <v>1</v>
      </c>
    </row>
    <row r="105" spans="1:8" x14ac:dyDescent="0.25">
      <c r="A105" s="59"/>
      <c r="B105" s="61" t="s">
        <v>43</v>
      </c>
      <c r="C105" s="61" t="s">
        <v>121</v>
      </c>
      <c r="D105" s="4" t="s">
        <v>1333</v>
      </c>
      <c r="E105" s="1">
        <v>1</v>
      </c>
      <c r="F105" s="1"/>
      <c r="G105" s="1">
        <v>1</v>
      </c>
      <c r="H105" s="44">
        <f t="shared" si="1"/>
        <v>0</v>
      </c>
    </row>
    <row r="106" spans="1:8" x14ac:dyDescent="0.25">
      <c r="A106" s="59"/>
      <c r="B106" s="61" t="s">
        <v>43</v>
      </c>
      <c r="C106" s="61" t="s">
        <v>121</v>
      </c>
      <c r="D106" s="4" t="s">
        <v>1268</v>
      </c>
      <c r="E106" s="1">
        <v>1</v>
      </c>
      <c r="F106" s="1"/>
      <c r="G106" s="1">
        <v>1</v>
      </c>
      <c r="H106" s="44">
        <f t="shared" si="1"/>
        <v>0</v>
      </c>
    </row>
    <row r="107" spans="1:8" x14ac:dyDescent="0.25">
      <c r="A107" s="64"/>
      <c r="B107" s="62" t="s">
        <v>1416</v>
      </c>
      <c r="C107" s="63"/>
      <c r="D107" s="63"/>
      <c r="E107" s="48">
        <v>20</v>
      </c>
      <c r="F107" s="48">
        <v>5</v>
      </c>
      <c r="G107" s="48">
        <v>25</v>
      </c>
      <c r="H107" s="49">
        <f t="shared" si="1"/>
        <v>0.2</v>
      </c>
    </row>
    <row r="108" spans="1:8" x14ac:dyDescent="0.25">
      <c r="A108" s="55" t="s">
        <v>1410</v>
      </c>
      <c r="B108" s="56"/>
      <c r="C108" s="56"/>
      <c r="D108" s="57"/>
      <c r="E108" s="47">
        <v>20</v>
      </c>
      <c r="F108" s="47">
        <v>5</v>
      </c>
      <c r="G108" s="47">
        <v>25</v>
      </c>
      <c r="H108" s="50">
        <f t="shared" si="1"/>
        <v>0.2</v>
      </c>
    </row>
    <row r="109" spans="1:8" x14ac:dyDescent="0.25">
      <c r="A109" s="58" t="s">
        <v>103</v>
      </c>
      <c r="B109" s="60" t="s">
        <v>43</v>
      </c>
      <c r="C109" s="60" t="s">
        <v>109</v>
      </c>
      <c r="D109" s="4" t="s">
        <v>1305</v>
      </c>
      <c r="E109" s="1">
        <v>3</v>
      </c>
      <c r="F109" s="1"/>
      <c r="G109" s="1">
        <v>3</v>
      </c>
      <c r="H109" s="44">
        <f t="shared" si="1"/>
        <v>0</v>
      </c>
    </row>
    <row r="110" spans="1:8" x14ac:dyDescent="0.25">
      <c r="A110" s="59"/>
      <c r="B110" s="61" t="s">
        <v>43</v>
      </c>
      <c r="C110" s="61" t="s">
        <v>109</v>
      </c>
      <c r="D110" s="4" t="s">
        <v>1303</v>
      </c>
      <c r="E110" s="1">
        <v>1</v>
      </c>
      <c r="F110" s="1"/>
      <c r="G110" s="1">
        <v>1</v>
      </c>
      <c r="H110" s="44">
        <f t="shared" si="1"/>
        <v>0</v>
      </c>
    </row>
    <row r="111" spans="1:8" x14ac:dyDescent="0.25">
      <c r="A111" s="59"/>
      <c r="B111" s="61" t="s">
        <v>43</v>
      </c>
      <c r="C111" s="61" t="s">
        <v>109</v>
      </c>
      <c r="D111" s="4" t="s">
        <v>1315</v>
      </c>
      <c r="E111" s="1">
        <v>2</v>
      </c>
      <c r="F111" s="1"/>
      <c r="G111" s="1">
        <v>2</v>
      </c>
      <c r="H111" s="44">
        <f t="shared" si="1"/>
        <v>0</v>
      </c>
    </row>
    <row r="112" spans="1:8" x14ac:dyDescent="0.25">
      <c r="A112" s="59"/>
      <c r="B112" s="61" t="s">
        <v>43</v>
      </c>
      <c r="C112" s="61" t="s">
        <v>109</v>
      </c>
      <c r="D112" s="4" t="s">
        <v>1277</v>
      </c>
      <c r="E112" s="1">
        <v>3</v>
      </c>
      <c r="F112" s="1">
        <v>1</v>
      </c>
      <c r="G112" s="1">
        <v>4</v>
      </c>
      <c r="H112" s="44">
        <f t="shared" si="1"/>
        <v>0.25</v>
      </c>
    </row>
    <row r="113" spans="1:8" x14ac:dyDescent="0.25">
      <c r="A113" s="59"/>
      <c r="B113" s="61" t="s">
        <v>43</v>
      </c>
      <c r="C113" s="61" t="s">
        <v>109</v>
      </c>
      <c r="D113" s="4" t="s">
        <v>1298</v>
      </c>
      <c r="E113" s="1">
        <v>2</v>
      </c>
      <c r="F113" s="1">
        <v>1</v>
      </c>
      <c r="G113" s="1">
        <v>3</v>
      </c>
      <c r="H113" s="44">
        <f t="shared" si="1"/>
        <v>0.33333333333333331</v>
      </c>
    </row>
    <row r="114" spans="1:8" x14ac:dyDescent="0.25">
      <c r="A114" s="59"/>
      <c r="B114" s="61" t="s">
        <v>43</v>
      </c>
      <c r="C114" s="61" t="s">
        <v>109</v>
      </c>
      <c r="D114" s="4" t="s">
        <v>1325</v>
      </c>
      <c r="E114" s="1">
        <v>1</v>
      </c>
      <c r="F114" s="1"/>
      <c r="G114" s="1">
        <v>1</v>
      </c>
      <c r="H114" s="44">
        <f t="shared" si="1"/>
        <v>0</v>
      </c>
    </row>
    <row r="115" spans="1:8" x14ac:dyDescent="0.25">
      <c r="A115" s="59"/>
      <c r="B115" s="61" t="s">
        <v>43</v>
      </c>
      <c r="C115" s="61" t="s">
        <v>109</v>
      </c>
      <c r="D115" s="4" t="s">
        <v>1320</v>
      </c>
      <c r="E115" s="1">
        <v>1</v>
      </c>
      <c r="F115" s="1"/>
      <c r="G115" s="1">
        <v>1</v>
      </c>
      <c r="H115" s="44">
        <f t="shared" si="1"/>
        <v>0</v>
      </c>
    </row>
    <row r="116" spans="1:8" x14ac:dyDescent="0.25">
      <c r="A116" s="59"/>
      <c r="B116" s="61" t="s">
        <v>43</v>
      </c>
      <c r="C116" s="4" t="s">
        <v>163</v>
      </c>
      <c r="D116" s="4" t="s">
        <v>1273</v>
      </c>
      <c r="E116" s="1">
        <v>1</v>
      </c>
      <c r="F116" s="1"/>
      <c r="G116" s="1">
        <v>1</v>
      </c>
      <c r="H116" s="44">
        <f t="shared" si="1"/>
        <v>0</v>
      </c>
    </row>
    <row r="117" spans="1:8" x14ac:dyDescent="0.25">
      <c r="A117" s="59"/>
      <c r="B117" s="61" t="s">
        <v>43</v>
      </c>
      <c r="C117" s="60" t="s">
        <v>162</v>
      </c>
      <c r="D117" s="4" t="s">
        <v>1301</v>
      </c>
      <c r="E117" s="1">
        <v>1</v>
      </c>
      <c r="F117" s="1"/>
      <c r="G117" s="1">
        <v>1</v>
      </c>
      <c r="H117" s="44">
        <f t="shared" si="1"/>
        <v>0</v>
      </c>
    </row>
    <row r="118" spans="1:8" x14ac:dyDescent="0.25">
      <c r="A118" s="59"/>
      <c r="B118" s="61" t="s">
        <v>43</v>
      </c>
      <c r="C118" s="61" t="s">
        <v>162</v>
      </c>
      <c r="D118" s="4" t="s">
        <v>1307</v>
      </c>
      <c r="E118" s="1">
        <v>1</v>
      </c>
      <c r="F118" s="1"/>
      <c r="G118" s="1">
        <v>1</v>
      </c>
      <c r="H118" s="44">
        <f t="shared" si="1"/>
        <v>0</v>
      </c>
    </row>
    <row r="119" spans="1:8" x14ac:dyDescent="0.25">
      <c r="A119" s="59"/>
      <c r="B119" s="61" t="s">
        <v>43</v>
      </c>
      <c r="C119" s="61" t="s">
        <v>162</v>
      </c>
      <c r="D119" s="4" t="s">
        <v>1257</v>
      </c>
      <c r="E119" s="1">
        <v>3</v>
      </c>
      <c r="F119" s="1"/>
      <c r="G119" s="1">
        <v>3</v>
      </c>
      <c r="H119" s="44">
        <f t="shared" si="1"/>
        <v>0</v>
      </c>
    </row>
    <row r="120" spans="1:8" x14ac:dyDescent="0.25">
      <c r="A120" s="59"/>
      <c r="B120" s="61" t="s">
        <v>43</v>
      </c>
      <c r="C120" s="4" t="s">
        <v>121</v>
      </c>
      <c r="D120" s="4" t="s">
        <v>1289</v>
      </c>
      <c r="E120" s="1">
        <v>1</v>
      </c>
      <c r="F120" s="1"/>
      <c r="G120" s="1">
        <v>1</v>
      </c>
      <c r="H120" s="44">
        <f t="shared" si="1"/>
        <v>0</v>
      </c>
    </row>
    <row r="121" spans="1:8" x14ac:dyDescent="0.25">
      <c r="A121" s="59"/>
      <c r="B121" s="61" t="s">
        <v>43</v>
      </c>
      <c r="C121" s="4" t="s">
        <v>123</v>
      </c>
      <c r="D121" s="4" t="s">
        <v>1276</v>
      </c>
      <c r="E121" s="1">
        <v>1</v>
      </c>
      <c r="F121" s="1"/>
      <c r="G121" s="1">
        <v>1</v>
      </c>
      <c r="H121" s="44">
        <f t="shared" si="1"/>
        <v>0</v>
      </c>
    </row>
    <row r="122" spans="1:8" x14ac:dyDescent="0.25">
      <c r="A122" s="59"/>
      <c r="B122" s="62" t="s">
        <v>1416</v>
      </c>
      <c r="C122" s="63"/>
      <c r="D122" s="63"/>
      <c r="E122" s="48">
        <v>21</v>
      </c>
      <c r="F122" s="48">
        <v>2</v>
      </c>
      <c r="G122" s="48">
        <v>23</v>
      </c>
      <c r="H122" s="49">
        <f t="shared" si="1"/>
        <v>8.6956521739130432E-2</v>
      </c>
    </row>
    <row r="123" spans="1:8" x14ac:dyDescent="0.25">
      <c r="A123" s="59"/>
      <c r="B123" s="60" t="s">
        <v>1269</v>
      </c>
      <c r="C123" s="4" t="s">
        <v>116</v>
      </c>
      <c r="D123" s="4" t="s">
        <v>1304</v>
      </c>
      <c r="E123" s="1">
        <v>1</v>
      </c>
      <c r="F123" s="1"/>
      <c r="G123" s="1">
        <v>1</v>
      </c>
      <c r="H123" s="44">
        <f t="shared" si="1"/>
        <v>0</v>
      </c>
    </row>
    <row r="124" spans="1:8" x14ac:dyDescent="0.25">
      <c r="A124" s="59"/>
      <c r="B124" s="61" t="s">
        <v>1269</v>
      </c>
      <c r="C124" s="4" t="s">
        <v>174</v>
      </c>
      <c r="D124" s="4" t="s">
        <v>1322</v>
      </c>
      <c r="E124" s="1">
        <v>1</v>
      </c>
      <c r="F124" s="1"/>
      <c r="G124" s="1">
        <v>1</v>
      </c>
      <c r="H124" s="44">
        <f t="shared" si="1"/>
        <v>0</v>
      </c>
    </row>
    <row r="125" spans="1:8" x14ac:dyDescent="0.25">
      <c r="A125" s="64"/>
      <c r="B125" s="62" t="s">
        <v>1417</v>
      </c>
      <c r="C125" s="63"/>
      <c r="D125" s="63"/>
      <c r="E125" s="48">
        <v>2</v>
      </c>
      <c r="F125" s="48"/>
      <c r="G125" s="48">
        <v>2</v>
      </c>
      <c r="H125" s="49">
        <f t="shared" si="1"/>
        <v>0</v>
      </c>
    </row>
    <row r="126" spans="1:8" x14ac:dyDescent="0.25">
      <c r="A126" s="55" t="s">
        <v>1411</v>
      </c>
      <c r="B126" s="56"/>
      <c r="C126" s="56"/>
      <c r="D126" s="57"/>
      <c r="E126" s="47">
        <v>23</v>
      </c>
      <c r="F126" s="47">
        <v>2</v>
      </c>
      <c r="G126" s="47">
        <v>25</v>
      </c>
      <c r="H126" s="50">
        <f t="shared" si="1"/>
        <v>0.08</v>
      </c>
    </row>
    <row r="127" spans="1:8" x14ac:dyDescent="0.25">
      <c r="A127" s="58" t="s">
        <v>153</v>
      </c>
      <c r="B127" s="60" t="s">
        <v>43</v>
      </c>
      <c r="C127" s="4" t="s">
        <v>154</v>
      </c>
      <c r="D127" s="4" t="s">
        <v>1383</v>
      </c>
      <c r="E127" s="1">
        <v>1</v>
      </c>
      <c r="F127" s="1"/>
      <c r="G127" s="1">
        <v>1</v>
      </c>
      <c r="H127" s="44">
        <f t="shared" si="1"/>
        <v>0</v>
      </c>
    </row>
    <row r="128" spans="1:8" x14ac:dyDescent="0.25">
      <c r="A128" s="59" t="s">
        <v>153</v>
      </c>
      <c r="B128" s="61" t="s">
        <v>43</v>
      </c>
      <c r="C128" s="60" t="s">
        <v>136</v>
      </c>
      <c r="D128" s="4" t="s">
        <v>1334</v>
      </c>
      <c r="E128" s="1">
        <v>14</v>
      </c>
      <c r="F128" s="1"/>
      <c r="G128" s="1">
        <v>14</v>
      </c>
      <c r="H128" s="44">
        <f t="shared" si="1"/>
        <v>0</v>
      </c>
    </row>
    <row r="129" spans="1:8" x14ac:dyDescent="0.25">
      <c r="A129" s="59" t="s">
        <v>153</v>
      </c>
      <c r="B129" s="61" t="s">
        <v>43</v>
      </c>
      <c r="C129" s="61" t="s">
        <v>136</v>
      </c>
      <c r="D129" s="4" t="s">
        <v>1327</v>
      </c>
      <c r="E129" s="1">
        <v>6</v>
      </c>
      <c r="F129" s="1">
        <v>1</v>
      </c>
      <c r="G129" s="1">
        <v>7</v>
      </c>
      <c r="H129" s="44">
        <f t="shared" si="1"/>
        <v>0.14285714285714285</v>
      </c>
    </row>
    <row r="130" spans="1:8" x14ac:dyDescent="0.25">
      <c r="A130" s="59" t="s">
        <v>153</v>
      </c>
      <c r="B130" s="61" t="s">
        <v>43</v>
      </c>
      <c r="C130" s="61" t="s">
        <v>136</v>
      </c>
      <c r="D130" s="4" t="s">
        <v>1336</v>
      </c>
      <c r="E130" s="1">
        <v>2</v>
      </c>
      <c r="F130" s="1">
        <v>1</v>
      </c>
      <c r="G130" s="1">
        <v>3</v>
      </c>
      <c r="H130" s="44">
        <f t="shared" si="1"/>
        <v>0.33333333333333331</v>
      </c>
    </row>
    <row r="131" spans="1:8" x14ac:dyDescent="0.25">
      <c r="A131" s="59" t="s">
        <v>153</v>
      </c>
      <c r="B131" s="62" t="s">
        <v>1416</v>
      </c>
      <c r="C131" s="63"/>
      <c r="D131" s="63"/>
      <c r="E131" s="48">
        <v>23</v>
      </c>
      <c r="F131" s="48">
        <v>2</v>
      </c>
      <c r="G131" s="48">
        <v>25</v>
      </c>
      <c r="H131" s="49">
        <f t="shared" si="1"/>
        <v>0.08</v>
      </c>
    </row>
    <row r="132" spans="1:8" x14ac:dyDescent="0.25">
      <c r="A132" s="55" t="s">
        <v>1409</v>
      </c>
      <c r="B132" s="56"/>
      <c r="C132" s="56"/>
      <c r="D132" s="57"/>
      <c r="E132" s="47">
        <v>23</v>
      </c>
      <c r="F132" s="47">
        <v>2</v>
      </c>
      <c r="G132" s="47">
        <v>25</v>
      </c>
      <c r="H132" s="50">
        <f t="shared" ref="H132:H145" si="2">F132/G132</f>
        <v>0.08</v>
      </c>
    </row>
    <row r="133" spans="1:8" x14ac:dyDescent="0.25">
      <c r="A133" s="58" t="s">
        <v>99</v>
      </c>
      <c r="B133" s="60" t="s">
        <v>43</v>
      </c>
      <c r="C133" s="4" t="s">
        <v>139</v>
      </c>
      <c r="D133" s="4" t="s">
        <v>1405</v>
      </c>
      <c r="E133" s="1">
        <v>1</v>
      </c>
      <c r="F133" s="1"/>
      <c r="G133" s="1">
        <v>1</v>
      </c>
      <c r="H133" s="44">
        <f t="shared" si="2"/>
        <v>0</v>
      </c>
    </row>
    <row r="134" spans="1:8" x14ac:dyDescent="0.25">
      <c r="A134" s="59" t="s">
        <v>99</v>
      </c>
      <c r="B134" s="61" t="s">
        <v>43</v>
      </c>
      <c r="C134" s="60" t="s">
        <v>163</v>
      </c>
      <c r="D134" s="4" t="s">
        <v>1273</v>
      </c>
      <c r="E134" s="1">
        <v>4</v>
      </c>
      <c r="F134" s="1"/>
      <c r="G134" s="1">
        <v>4</v>
      </c>
      <c r="H134" s="44">
        <f t="shared" si="2"/>
        <v>0</v>
      </c>
    </row>
    <row r="135" spans="1:8" x14ac:dyDescent="0.25">
      <c r="A135" s="59" t="s">
        <v>99</v>
      </c>
      <c r="B135" s="61" t="s">
        <v>43</v>
      </c>
      <c r="C135" s="61" t="s">
        <v>163</v>
      </c>
      <c r="D135" s="4" t="s">
        <v>1353</v>
      </c>
      <c r="E135" s="1">
        <v>1</v>
      </c>
      <c r="F135" s="1"/>
      <c r="G135" s="1">
        <v>1</v>
      </c>
      <c r="H135" s="44">
        <f t="shared" si="2"/>
        <v>0</v>
      </c>
    </row>
    <row r="136" spans="1:8" x14ac:dyDescent="0.25">
      <c r="A136" s="59" t="s">
        <v>99</v>
      </c>
      <c r="B136" s="61" t="s">
        <v>43</v>
      </c>
      <c r="C136" s="4" t="s">
        <v>128</v>
      </c>
      <c r="D136" s="4" t="s">
        <v>1407</v>
      </c>
      <c r="E136" s="1">
        <v>1</v>
      </c>
      <c r="F136" s="1"/>
      <c r="G136" s="1">
        <v>1</v>
      </c>
      <c r="H136" s="44">
        <f t="shared" si="2"/>
        <v>0</v>
      </c>
    </row>
    <row r="137" spans="1:8" x14ac:dyDescent="0.25">
      <c r="A137" s="59" t="s">
        <v>99</v>
      </c>
      <c r="B137" s="61" t="s">
        <v>43</v>
      </c>
      <c r="C137" s="60" t="s">
        <v>106</v>
      </c>
      <c r="D137" s="4" t="s">
        <v>1348</v>
      </c>
      <c r="E137" s="1">
        <v>1</v>
      </c>
      <c r="F137" s="1"/>
      <c r="G137" s="1">
        <v>1</v>
      </c>
      <c r="H137" s="44">
        <f t="shared" si="2"/>
        <v>0</v>
      </c>
    </row>
    <row r="138" spans="1:8" x14ac:dyDescent="0.25">
      <c r="A138" s="59" t="s">
        <v>99</v>
      </c>
      <c r="B138" s="61" t="s">
        <v>43</v>
      </c>
      <c r="C138" s="61" t="s">
        <v>106</v>
      </c>
      <c r="D138" s="4" t="s">
        <v>1346</v>
      </c>
      <c r="E138" s="1">
        <v>2</v>
      </c>
      <c r="F138" s="1"/>
      <c r="G138" s="1">
        <v>2</v>
      </c>
      <c r="H138" s="44">
        <f t="shared" si="2"/>
        <v>0</v>
      </c>
    </row>
    <row r="139" spans="1:8" x14ac:dyDescent="0.25">
      <c r="A139" s="59" t="s">
        <v>99</v>
      </c>
      <c r="B139" s="61" t="s">
        <v>43</v>
      </c>
      <c r="C139" s="61" t="s">
        <v>106</v>
      </c>
      <c r="D139" s="4" t="s">
        <v>1403</v>
      </c>
      <c r="E139" s="1">
        <v>3</v>
      </c>
      <c r="F139" s="1"/>
      <c r="G139" s="1">
        <v>3</v>
      </c>
      <c r="H139" s="44">
        <f t="shared" si="2"/>
        <v>0</v>
      </c>
    </row>
    <row r="140" spans="1:8" x14ac:dyDescent="0.25">
      <c r="A140" s="59" t="s">
        <v>99</v>
      </c>
      <c r="B140" s="61" t="s">
        <v>43</v>
      </c>
      <c r="C140" s="61" t="s">
        <v>106</v>
      </c>
      <c r="D140" s="4" t="s">
        <v>1395</v>
      </c>
      <c r="E140" s="1">
        <v>1</v>
      </c>
      <c r="F140" s="1">
        <v>1</v>
      </c>
      <c r="G140" s="1">
        <v>2</v>
      </c>
      <c r="H140" s="44">
        <f t="shared" si="2"/>
        <v>0.5</v>
      </c>
    </row>
    <row r="141" spans="1:8" x14ac:dyDescent="0.25">
      <c r="A141" s="59" t="s">
        <v>99</v>
      </c>
      <c r="B141" s="61" t="s">
        <v>43</v>
      </c>
      <c r="C141" s="61" t="s">
        <v>106</v>
      </c>
      <c r="D141" s="4" t="s">
        <v>1378</v>
      </c>
      <c r="E141" s="1">
        <v>7</v>
      </c>
      <c r="F141" s="1"/>
      <c r="G141" s="1">
        <v>7</v>
      </c>
      <c r="H141" s="44">
        <f t="shared" si="2"/>
        <v>0</v>
      </c>
    </row>
    <row r="142" spans="1:8" x14ac:dyDescent="0.25">
      <c r="A142" s="59" t="s">
        <v>99</v>
      </c>
      <c r="B142" s="61" t="s">
        <v>43</v>
      </c>
      <c r="C142" s="4" t="s">
        <v>144</v>
      </c>
      <c r="D142" s="4" t="s">
        <v>1396</v>
      </c>
      <c r="E142" s="1">
        <v>1</v>
      </c>
      <c r="F142" s="1"/>
      <c r="G142" s="1">
        <v>1</v>
      </c>
      <c r="H142" s="44">
        <f t="shared" si="2"/>
        <v>0</v>
      </c>
    </row>
    <row r="143" spans="1:8" x14ac:dyDescent="0.25">
      <c r="A143" s="59" t="s">
        <v>99</v>
      </c>
      <c r="B143" s="61" t="s">
        <v>43</v>
      </c>
      <c r="C143" s="4" t="s">
        <v>252</v>
      </c>
      <c r="D143" s="4" t="s">
        <v>1318</v>
      </c>
      <c r="E143" s="1">
        <v>1</v>
      </c>
      <c r="F143" s="1"/>
      <c r="G143" s="1">
        <v>1</v>
      </c>
      <c r="H143" s="44">
        <f t="shared" si="2"/>
        <v>0</v>
      </c>
    </row>
    <row r="144" spans="1:8" x14ac:dyDescent="0.25">
      <c r="A144" s="59" t="s">
        <v>99</v>
      </c>
      <c r="B144" s="62" t="s">
        <v>1416</v>
      </c>
      <c r="C144" s="63"/>
      <c r="D144" s="63"/>
      <c r="E144" s="48">
        <v>23</v>
      </c>
      <c r="F144" s="48">
        <v>1</v>
      </c>
      <c r="G144" s="48">
        <v>24</v>
      </c>
      <c r="H144" s="49">
        <f t="shared" si="2"/>
        <v>4.1666666666666664E-2</v>
      </c>
    </row>
    <row r="145" spans="1:8" x14ac:dyDescent="0.25">
      <c r="A145" s="55" t="s">
        <v>1413</v>
      </c>
      <c r="B145" s="56"/>
      <c r="C145" s="56"/>
      <c r="D145" s="57"/>
      <c r="E145" s="47">
        <v>23</v>
      </c>
      <c r="F145" s="47">
        <v>1</v>
      </c>
      <c r="G145" s="47">
        <v>24</v>
      </c>
      <c r="H145" s="50">
        <f t="shared" si="2"/>
        <v>4.1666666666666664E-2</v>
      </c>
    </row>
  </sheetData>
  <mergeCells count="67">
    <mergeCell ref="A145:D145"/>
    <mergeCell ref="A126:D126"/>
    <mergeCell ref="A127:A131"/>
    <mergeCell ref="B127:B130"/>
    <mergeCell ref="C128:C130"/>
    <mergeCell ref="B131:D131"/>
    <mergeCell ref="A132:D132"/>
    <mergeCell ref="A133:A144"/>
    <mergeCell ref="B133:B143"/>
    <mergeCell ref="C134:C135"/>
    <mergeCell ref="C137:C141"/>
    <mergeCell ref="B144:D144"/>
    <mergeCell ref="A108:D108"/>
    <mergeCell ref="A109:A125"/>
    <mergeCell ref="B109:B121"/>
    <mergeCell ref="C109:C115"/>
    <mergeCell ref="C117:C119"/>
    <mergeCell ref="B122:D122"/>
    <mergeCell ref="B123:B124"/>
    <mergeCell ref="B125:D125"/>
    <mergeCell ref="A93:D93"/>
    <mergeCell ref="A94:A107"/>
    <mergeCell ref="B94:B106"/>
    <mergeCell ref="C94:C95"/>
    <mergeCell ref="C96:C97"/>
    <mergeCell ref="C99:C101"/>
    <mergeCell ref="C102:C106"/>
    <mergeCell ref="B107:D107"/>
    <mergeCell ref="A82:D82"/>
    <mergeCell ref="A83:A92"/>
    <mergeCell ref="B83:B91"/>
    <mergeCell ref="C83:C87"/>
    <mergeCell ref="C88:C90"/>
    <mergeCell ref="B92:D92"/>
    <mergeCell ref="A60:A81"/>
    <mergeCell ref="B60:B67"/>
    <mergeCell ref="C60:C64"/>
    <mergeCell ref="B68:D68"/>
    <mergeCell ref="B69:B80"/>
    <mergeCell ref="C69:C70"/>
    <mergeCell ref="C71:C73"/>
    <mergeCell ref="B81:D81"/>
    <mergeCell ref="A59:D59"/>
    <mergeCell ref="A33:D33"/>
    <mergeCell ref="A34:A43"/>
    <mergeCell ref="B34:B42"/>
    <mergeCell ref="C34:C37"/>
    <mergeCell ref="C38:C41"/>
    <mergeCell ref="B43:D43"/>
    <mergeCell ref="A44:D44"/>
    <mergeCell ref="A45:A58"/>
    <mergeCell ref="B46:D46"/>
    <mergeCell ref="B47:B57"/>
    <mergeCell ref="B58:D58"/>
    <mergeCell ref="A13:A32"/>
    <mergeCell ref="B13:B31"/>
    <mergeCell ref="C13:C16"/>
    <mergeCell ref="C18:C20"/>
    <mergeCell ref="C21:C28"/>
    <mergeCell ref="C30:C31"/>
    <mergeCell ref="B32:D32"/>
    <mergeCell ref="A12:D12"/>
    <mergeCell ref="A2:A11"/>
    <mergeCell ref="B2:B10"/>
    <mergeCell ref="C2:C5"/>
    <mergeCell ref="C9:C10"/>
    <mergeCell ref="B11:D11"/>
  </mergeCells>
  <conditionalFormatting sqref="H2:H10 H47:H57 H60:H67 H69:H80 H83:H91 H13:H31 H34:H42 H45 H94:H106 H109:H121 H123:H124 H127:H130 H133:H143">
    <cfRule type="colorScale" priority="753">
      <colorScale>
        <cfvo type="min"/>
        <cfvo type="percentile" val="50"/>
        <cfvo type="max"/>
        <color theme="9" tint="0.79998168889431442"/>
        <color theme="7" tint="0.79998168889431442"/>
        <color theme="5" tint="0.59999389629810485"/>
      </colorScale>
    </cfRule>
    <cfRule type="colorScale" priority="754">
      <colorScale>
        <cfvo type="min"/>
        <cfvo type="percentile" val="50"/>
        <cfvo type="max"/>
        <color theme="5" tint="0.79998168889431442"/>
        <color theme="4" tint="0.79998168889431442"/>
        <color theme="9" tint="0.79998168889431442"/>
      </colorScale>
    </cfRule>
  </conditionalFormatting>
  <conditionalFormatting sqref="H2:H10">
    <cfRule type="colorScale" priority="732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74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74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75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751">
      <colorScale>
        <cfvo type="min"/>
        <cfvo type="max"/>
        <color rgb="FF92D050"/>
        <color theme="9" tint="-0.249977111117893"/>
      </colorScale>
    </cfRule>
    <cfRule type="colorScale" priority="752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13:H31">
    <cfRule type="colorScale" priority="726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72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72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72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730">
      <colorScale>
        <cfvo type="min"/>
        <cfvo type="max"/>
        <color rgb="FF92D050"/>
        <color theme="9" tint="-0.249977111117893"/>
      </colorScale>
    </cfRule>
    <cfRule type="colorScale" priority="73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74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74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74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746">
      <colorScale>
        <cfvo type="min"/>
        <cfvo type="max"/>
        <color rgb="FF92D050"/>
        <color theme="9" tint="-0.249977111117893"/>
      </colorScale>
    </cfRule>
    <cfRule type="colorScale" priority="747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34:H42">
    <cfRule type="colorScale" priority="704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70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70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70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708">
      <colorScale>
        <cfvo type="min"/>
        <cfvo type="max"/>
        <color rgb="FF92D050"/>
        <color theme="9" tint="-0.249977111117893"/>
      </colorScale>
    </cfRule>
    <cfRule type="colorScale" priority="709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71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71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71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713">
      <colorScale>
        <cfvo type="min"/>
        <cfvo type="max"/>
        <color rgb="FF92D050"/>
        <color theme="9" tint="-0.249977111117893"/>
      </colorScale>
    </cfRule>
    <cfRule type="colorScale" priority="714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715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716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717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718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719">
      <colorScale>
        <cfvo type="min"/>
        <cfvo type="max"/>
        <color rgb="FF92D050"/>
        <color theme="9" tint="-0.249977111117893"/>
      </colorScale>
    </cfRule>
    <cfRule type="colorScale" priority="720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721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722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723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724">
      <colorScale>
        <cfvo type="min"/>
        <cfvo type="max"/>
        <color rgb="FF92D050"/>
        <color theme="9" tint="-0.249977111117893"/>
      </colorScale>
    </cfRule>
    <cfRule type="colorScale" priority="725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73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73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74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741">
      <colorScale>
        <cfvo type="min"/>
        <cfvo type="max"/>
        <color rgb="FF92D050"/>
        <color theme="9" tint="-0.249977111117893"/>
      </colorScale>
    </cfRule>
    <cfRule type="colorScale" priority="742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47:H53 H45">
    <cfRule type="colorScale" priority="677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67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7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8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81">
      <colorScale>
        <cfvo type="min"/>
        <cfvo type="max"/>
        <color rgb="FF92D050"/>
        <color theme="9" tint="-0.249977111117893"/>
      </colorScale>
    </cfRule>
    <cfRule type="colorScale" priority="682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8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8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8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86">
      <colorScale>
        <cfvo type="min"/>
        <cfvo type="max"/>
        <color rgb="FF92D050"/>
        <color theme="9" tint="-0.249977111117893"/>
      </colorScale>
    </cfRule>
    <cfRule type="colorScale" priority="687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88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68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9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9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92">
      <colorScale>
        <cfvo type="min"/>
        <cfvo type="max"/>
        <color rgb="FF92D050"/>
        <color theme="9" tint="-0.249977111117893"/>
      </colorScale>
    </cfRule>
    <cfRule type="colorScale" priority="693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94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95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96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97">
      <colorScale>
        <cfvo type="min"/>
        <cfvo type="max"/>
        <color rgb="FF92D050"/>
        <color theme="9" tint="-0.249977111117893"/>
      </colorScale>
    </cfRule>
    <cfRule type="colorScale" priority="698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9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70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70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702">
      <colorScale>
        <cfvo type="min"/>
        <cfvo type="max"/>
        <color rgb="FF92D050"/>
        <color theme="9" tint="-0.249977111117893"/>
      </colorScale>
    </cfRule>
    <cfRule type="colorScale" priority="703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47:H57 H45">
    <cfRule type="colorScale" priority="650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651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52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53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54">
      <colorScale>
        <cfvo type="min"/>
        <cfvo type="max"/>
        <color rgb="FF92D050"/>
        <color theme="9" tint="-0.249977111117893"/>
      </colorScale>
    </cfRule>
    <cfRule type="colorScale" priority="655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56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57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58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59">
      <colorScale>
        <cfvo type="min"/>
        <cfvo type="max"/>
        <color rgb="FF92D050"/>
        <color theme="9" tint="-0.249977111117893"/>
      </colorScale>
    </cfRule>
    <cfRule type="colorScale" priority="660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61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66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6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6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65">
      <colorScale>
        <cfvo type="min"/>
        <cfvo type="max"/>
        <color rgb="FF92D050"/>
        <color theme="9" tint="-0.249977111117893"/>
      </colorScale>
    </cfRule>
    <cfRule type="colorScale" priority="666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6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6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6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70">
      <colorScale>
        <cfvo type="min"/>
        <cfvo type="max"/>
        <color rgb="FF92D050"/>
        <color theme="9" tint="-0.249977111117893"/>
      </colorScale>
    </cfRule>
    <cfRule type="colorScale" priority="67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7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7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7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75">
      <colorScale>
        <cfvo type="min"/>
        <cfvo type="max"/>
        <color rgb="FF92D050"/>
        <color theme="9" tint="-0.249977111117893"/>
      </colorScale>
    </cfRule>
    <cfRule type="colorScale" priority="676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73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73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73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736">
      <colorScale>
        <cfvo type="min"/>
        <cfvo type="max"/>
        <color rgb="FF92D050"/>
        <color theme="9" tint="-0.249977111117893"/>
      </colorScale>
    </cfRule>
    <cfRule type="colorScale" priority="737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60:H66">
    <cfRule type="colorScale" priority="618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61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2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2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22">
      <colorScale>
        <cfvo type="min"/>
        <cfvo type="max"/>
        <color rgb="FF92D050"/>
        <color theme="9" tint="-0.249977111117893"/>
      </colorScale>
    </cfRule>
    <cfRule type="colorScale" priority="623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24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25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26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27">
      <colorScale>
        <cfvo type="min"/>
        <cfvo type="max"/>
        <color rgb="FF92D050"/>
        <color theme="9" tint="-0.249977111117893"/>
      </colorScale>
    </cfRule>
    <cfRule type="colorScale" priority="628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29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63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3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3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33">
      <colorScale>
        <cfvo type="min"/>
        <cfvo type="max"/>
        <color rgb="FF92D050"/>
        <color theme="9" tint="-0.249977111117893"/>
      </colorScale>
    </cfRule>
    <cfRule type="colorScale" priority="634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3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3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3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38">
      <colorScale>
        <cfvo type="min"/>
        <cfvo type="max"/>
        <color rgb="FF92D050"/>
        <color theme="9" tint="-0.249977111117893"/>
      </colorScale>
    </cfRule>
    <cfRule type="colorScale" priority="639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4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4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4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43">
      <colorScale>
        <cfvo type="min"/>
        <cfvo type="max"/>
        <color rgb="FF92D050"/>
        <color theme="9" tint="-0.249977111117893"/>
      </colorScale>
    </cfRule>
    <cfRule type="colorScale" priority="644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60:H67">
    <cfRule type="colorScale" priority="591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59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9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9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95">
      <colorScale>
        <cfvo type="min"/>
        <cfvo type="max"/>
        <color rgb="FF92D050"/>
        <color theme="9" tint="-0.249977111117893"/>
      </colorScale>
    </cfRule>
    <cfRule type="colorScale" priority="596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9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9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9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00">
      <colorScale>
        <cfvo type="min"/>
        <cfvo type="max"/>
        <color rgb="FF92D050"/>
        <color theme="9" tint="-0.249977111117893"/>
      </colorScale>
    </cfRule>
    <cfRule type="colorScale" priority="60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02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60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0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0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06">
      <colorScale>
        <cfvo type="min"/>
        <cfvo type="max"/>
        <color rgb="FF92D050"/>
        <color theme="9" tint="-0.249977111117893"/>
      </colorScale>
    </cfRule>
    <cfRule type="colorScale" priority="607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0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0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1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11">
      <colorScale>
        <cfvo type="min"/>
        <cfvo type="max"/>
        <color rgb="FF92D050"/>
        <color theme="9" tint="-0.249977111117893"/>
      </colorScale>
    </cfRule>
    <cfRule type="colorScale" priority="612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1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1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1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16">
      <colorScale>
        <cfvo type="min"/>
        <cfvo type="max"/>
        <color rgb="FF92D050"/>
        <color theme="9" tint="-0.249977111117893"/>
      </colorScale>
    </cfRule>
    <cfRule type="colorScale" priority="617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4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4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4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48">
      <colorScale>
        <cfvo type="min"/>
        <cfvo type="max"/>
        <color rgb="FF92D050"/>
        <color theme="9" tint="-0.249977111117893"/>
      </colorScale>
    </cfRule>
    <cfRule type="colorScale" priority="649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69:H75 H77:H80">
    <cfRule type="colorScale" priority="559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56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6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6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63">
      <colorScale>
        <cfvo type="min"/>
        <cfvo type="max"/>
        <color rgb="FF92D050"/>
        <color theme="9" tint="-0.249977111117893"/>
      </colorScale>
    </cfRule>
    <cfRule type="colorScale" priority="564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6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6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6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68">
      <colorScale>
        <cfvo type="min"/>
        <cfvo type="max"/>
        <color rgb="FF92D050"/>
        <color theme="9" tint="-0.249977111117893"/>
      </colorScale>
    </cfRule>
    <cfRule type="colorScale" priority="569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70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571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72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73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74">
      <colorScale>
        <cfvo type="min"/>
        <cfvo type="max"/>
        <color rgb="FF92D050"/>
        <color theme="9" tint="-0.249977111117893"/>
      </colorScale>
    </cfRule>
    <cfRule type="colorScale" priority="575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76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77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78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79">
      <colorScale>
        <cfvo type="min"/>
        <cfvo type="max"/>
        <color rgb="FF92D050"/>
        <color theme="9" tint="-0.249977111117893"/>
      </colorScale>
    </cfRule>
    <cfRule type="colorScale" priority="580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81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82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83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84">
      <colorScale>
        <cfvo type="min"/>
        <cfvo type="max"/>
        <color rgb="FF92D050"/>
        <color theme="9" tint="-0.249977111117893"/>
      </colorScale>
    </cfRule>
    <cfRule type="colorScale" priority="585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69:H80">
    <cfRule type="colorScale" priority="532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53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3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3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36">
      <colorScale>
        <cfvo type="min"/>
        <cfvo type="max"/>
        <color rgb="FF92D050"/>
        <color theme="9" tint="-0.249977111117893"/>
      </colorScale>
    </cfRule>
    <cfRule type="colorScale" priority="537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3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3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4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41">
      <colorScale>
        <cfvo type="min"/>
        <cfvo type="max"/>
        <color rgb="FF92D050"/>
        <color theme="9" tint="-0.249977111117893"/>
      </colorScale>
    </cfRule>
    <cfRule type="colorScale" priority="542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43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544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45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46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47">
      <colorScale>
        <cfvo type="min"/>
        <cfvo type="max"/>
        <color rgb="FF92D050"/>
        <color theme="9" tint="-0.249977111117893"/>
      </colorScale>
    </cfRule>
    <cfRule type="colorScale" priority="548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4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5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5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52">
      <colorScale>
        <cfvo type="min"/>
        <cfvo type="max"/>
        <color rgb="FF92D050"/>
        <color theme="9" tint="-0.249977111117893"/>
      </colorScale>
    </cfRule>
    <cfRule type="colorScale" priority="553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54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55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56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57">
      <colorScale>
        <cfvo type="min"/>
        <cfvo type="max"/>
        <color rgb="FF92D050"/>
        <color theme="9" tint="-0.249977111117893"/>
      </colorScale>
    </cfRule>
    <cfRule type="colorScale" priority="558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86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87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88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89">
      <colorScale>
        <cfvo type="min"/>
        <cfvo type="max"/>
        <color rgb="FF92D050"/>
        <color theme="9" tint="-0.249977111117893"/>
      </colorScale>
    </cfRule>
    <cfRule type="colorScale" priority="590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83:H89 H91">
    <cfRule type="colorScale" priority="500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501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02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03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04">
      <colorScale>
        <cfvo type="min"/>
        <cfvo type="max"/>
        <color rgb="FF92D050"/>
        <color theme="9" tint="-0.249977111117893"/>
      </colorScale>
    </cfRule>
    <cfRule type="colorScale" priority="505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06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07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08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09">
      <colorScale>
        <cfvo type="min"/>
        <cfvo type="max"/>
        <color rgb="FF92D050"/>
        <color theme="9" tint="-0.249977111117893"/>
      </colorScale>
    </cfRule>
    <cfRule type="colorScale" priority="510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11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51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1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1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15">
      <colorScale>
        <cfvo type="min"/>
        <cfvo type="max"/>
        <color rgb="FF92D050"/>
        <color theme="9" tint="-0.249977111117893"/>
      </colorScale>
    </cfRule>
    <cfRule type="colorScale" priority="516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1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1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1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20">
      <colorScale>
        <cfvo type="min"/>
        <cfvo type="max"/>
        <color rgb="FF92D050"/>
        <color theme="9" tint="-0.249977111117893"/>
      </colorScale>
    </cfRule>
    <cfRule type="colorScale" priority="52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2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2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2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25">
      <colorScale>
        <cfvo type="min"/>
        <cfvo type="max"/>
        <color rgb="FF92D050"/>
        <color theme="9" tint="-0.249977111117893"/>
      </colorScale>
    </cfRule>
    <cfRule type="colorScale" priority="526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83:H91">
    <cfRule type="colorScale" priority="473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474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75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76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77">
      <colorScale>
        <cfvo type="min"/>
        <cfvo type="max"/>
        <color rgb="FF92D050"/>
        <color theme="9" tint="-0.249977111117893"/>
      </colorScale>
    </cfRule>
    <cfRule type="colorScale" priority="478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7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8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8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82">
      <colorScale>
        <cfvo type="min"/>
        <cfvo type="max"/>
        <color rgb="FF92D050"/>
        <color theme="9" tint="-0.249977111117893"/>
      </colorScale>
    </cfRule>
    <cfRule type="colorScale" priority="483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84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48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8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8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88">
      <colorScale>
        <cfvo type="min"/>
        <cfvo type="max"/>
        <color rgb="FF92D050"/>
        <color theme="9" tint="-0.249977111117893"/>
      </colorScale>
    </cfRule>
    <cfRule type="colorScale" priority="489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9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9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9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93">
      <colorScale>
        <cfvo type="min"/>
        <cfvo type="max"/>
        <color rgb="FF92D050"/>
        <color theme="9" tint="-0.249977111117893"/>
      </colorScale>
    </cfRule>
    <cfRule type="colorScale" priority="494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9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9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9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98">
      <colorScale>
        <cfvo type="min"/>
        <cfvo type="max"/>
        <color rgb="FF92D050"/>
        <color theme="9" tint="-0.249977111117893"/>
      </colorScale>
    </cfRule>
    <cfRule type="colorScale" priority="499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2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2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2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30">
      <colorScale>
        <cfvo type="min"/>
        <cfvo type="max"/>
        <color rgb="FF92D050"/>
        <color theme="9" tint="-0.249977111117893"/>
      </colorScale>
    </cfRule>
    <cfRule type="colorScale" priority="531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94:H100 H102:H106">
    <cfRule type="colorScale" priority="441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44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4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4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45">
      <colorScale>
        <cfvo type="min"/>
        <cfvo type="max"/>
        <color rgb="FF92D050"/>
        <color theme="9" tint="-0.249977111117893"/>
      </colorScale>
    </cfRule>
    <cfRule type="colorScale" priority="446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4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4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4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50">
      <colorScale>
        <cfvo type="min"/>
        <cfvo type="max"/>
        <color rgb="FF92D050"/>
        <color theme="9" tint="-0.249977111117893"/>
      </colorScale>
    </cfRule>
    <cfRule type="colorScale" priority="45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52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45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5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5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56">
      <colorScale>
        <cfvo type="min"/>
        <cfvo type="max"/>
        <color rgb="FF92D050"/>
        <color theme="9" tint="-0.249977111117893"/>
      </colorScale>
    </cfRule>
    <cfRule type="colorScale" priority="457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5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5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6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61">
      <colorScale>
        <cfvo type="min"/>
        <cfvo type="max"/>
        <color rgb="FF92D050"/>
        <color theme="9" tint="-0.249977111117893"/>
      </colorScale>
    </cfRule>
    <cfRule type="colorScale" priority="462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6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6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6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66">
      <colorScale>
        <cfvo type="min"/>
        <cfvo type="max"/>
        <color rgb="FF92D050"/>
        <color theme="9" tint="-0.249977111117893"/>
      </colorScale>
    </cfRule>
    <cfRule type="colorScale" priority="467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94:H106">
    <cfRule type="colorScale" priority="414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41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1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1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18">
      <colorScale>
        <cfvo type="min"/>
        <cfvo type="max"/>
        <color rgb="FF92D050"/>
        <color theme="9" tint="-0.249977111117893"/>
      </colorScale>
    </cfRule>
    <cfRule type="colorScale" priority="419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2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2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2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23">
      <colorScale>
        <cfvo type="min"/>
        <cfvo type="max"/>
        <color rgb="FF92D050"/>
        <color theme="9" tint="-0.249977111117893"/>
      </colorScale>
    </cfRule>
    <cfRule type="colorScale" priority="424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25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426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27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28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29">
      <colorScale>
        <cfvo type="min"/>
        <cfvo type="max"/>
        <color rgb="FF92D050"/>
        <color theme="9" tint="-0.249977111117893"/>
      </colorScale>
    </cfRule>
    <cfRule type="colorScale" priority="430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31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32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33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34">
      <colorScale>
        <cfvo type="min"/>
        <cfvo type="max"/>
        <color rgb="FF92D050"/>
        <color theme="9" tint="-0.249977111117893"/>
      </colorScale>
    </cfRule>
    <cfRule type="colorScale" priority="435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36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37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38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39">
      <colorScale>
        <cfvo type="min"/>
        <cfvo type="max"/>
        <color rgb="FF92D050"/>
        <color theme="9" tint="-0.249977111117893"/>
      </colorScale>
    </cfRule>
    <cfRule type="colorScale" priority="440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6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6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7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71">
      <colorScale>
        <cfvo type="min"/>
        <cfvo type="max"/>
        <color rgb="FF92D050"/>
        <color theme="9" tint="-0.249977111117893"/>
      </colorScale>
    </cfRule>
    <cfRule type="colorScale" priority="472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109:H115 H117:H121">
    <cfRule type="colorScale" priority="382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38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8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8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86">
      <colorScale>
        <cfvo type="min"/>
        <cfvo type="max"/>
        <color rgb="FF92D050"/>
        <color theme="9" tint="-0.249977111117893"/>
      </colorScale>
    </cfRule>
    <cfRule type="colorScale" priority="387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8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8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9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91">
      <colorScale>
        <cfvo type="min"/>
        <cfvo type="max"/>
        <color rgb="FF92D050"/>
        <color theme="9" tint="-0.249977111117893"/>
      </colorScale>
    </cfRule>
    <cfRule type="colorScale" priority="392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93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394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95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96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97">
      <colorScale>
        <cfvo type="min"/>
        <cfvo type="max"/>
        <color rgb="FF92D050"/>
        <color theme="9" tint="-0.249977111117893"/>
      </colorScale>
    </cfRule>
    <cfRule type="colorScale" priority="398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9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0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0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02">
      <colorScale>
        <cfvo type="min"/>
        <cfvo type="max"/>
        <color rgb="FF92D050"/>
        <color theme="9" tint="-0.249977111117893"/>
      </colorScale>
    </cfRule>
    <cfRule type="colorScale" priority="403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04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05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06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07">
      <colorScale>
        <cfvo type="min"/>
        <cfvo type="max"/>
        <color rgb="FF92D050"/>
        <color theme="9" tint="-0.249977111117893"/>
      </colorScale>
    </cfRule>
    <cfRule type="colorScale" priority="408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109:H121">
    <cfRule type="colorScale" priority="355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356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57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58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59">
      <colorScale>
        <cfvo type="min"/>
        <cfvo type="max"/>
        <color rgb="FF92D050"/>
        <color theme="9" tint="-0.249977111117893"/>
      </colorScale>
    </cfRule>
    <cfRule type="colorScale" priority="360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61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62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63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64">
      <colorScale>
        <cfvo type="min"/>
        <cfvo type="max"/>
        <color rgb="FF92D050"/>
        <color theme="9" tint="-0.249977111117893"/>
      </colorScale>
    </cfRule>
    <cfRule type="colorScale" priority="365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66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36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6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6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70">
      <colorScale>
        <cfvo type="min"/>
        <cfvo type="max"/>
        <color rgb="FF92D050"/>
        <color theme="9" tint="-0.249977111117893"/>
      </colorScale>
    </cfRule>
    <cfRule type="colorScale" priority="37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7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7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7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75">
      <colorScale>
        <cfvo type="min"/>
        <cfvo type="max"/>
        <color rgb="FF92D050"/>
        <color theme="9" tint="-0.249977111117893"/>
      </colorScale>
    </cfRule>
    <cfRule type="colorScale" priority="376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7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7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7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80">
      <colorScale>
        <cfvo type="min"/>
        <cfvo type="max"/>
        <color rgb="FF92D050"/>
        <color theme="9" tint="-0.249977111117893"/>
      </colorScale>
    </cfRule>
    <cfRule type="colorScale" priority="38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0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1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1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12">
      <colorScale>
        <cfvo type="min"/>
        <cfvo type="max"/>
        <color rgb="FF92D050"/>
        <color theme="9" tint="-0.249977111117893"/>
      </colorScale>
    </cfRule>
    <cfRule type="colorScale" priority="413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123:H124">
    <cfRule type="colorScale" priority="237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23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3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4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41">
      <colorScale>
        <cfvo type="min"/>
        <cfvo type="max"/>
        <color rgb="FF92D050"/>
        <color theme="9" tint="-0.249977111117893"/>
      </colorScale>
    </cfRule>
    <cfRule type="colorScale" priority="242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4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4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4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46">
      <colorScale>
        <cfvo type="min"/>
        <cfvo type="max"/>
        <color rgb="FF92D050"/>
        <color theme="9" tint="-0.249977111117893"/>
      </colorScale>
    </cfRule>
    <cfRule type="colorScale" priority="247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48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24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5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5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52">
      <colorScale>
        <cfvo type="min"/>
        <cfvo type="max"/>
        <color rgb="FF92D050"/>
        <color theme="9" tint="-0.249977111117893"/>
      </colorScale>
    </cfRule>
    <cfRule type="colorScale" priority="253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54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55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56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57">
      <colorScale>
        <cfvo type="min"/>
        <cfvo type="max"/>
        <color rgb="FF92D050"/>
        <color theme="9" tint="-0.249977111117893"/>
      </colorScale>
    </cfRule>
    <cfRule type="colorScale" priority="258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5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6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6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62">
      <colorScale>
        <cfvo type="min"/>
        <cfvo type="max"/>
        <color rgb="FF92D050"/>
        <color theme="9" tint="-0.249977111117893"/>
      </colorScale>
    </cfRule>
    <cfRule type="colorScale" priority="263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64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26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6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6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68">
      <colorScale>
        <cfvo type="min"/>
        <cfvo type="max"/>
        <color rgb="FF92D050"/>
        <color theme="9" tint="-0.249977111117893"/>
      </colorScale>
    </cfRule>
    <cfRule type="colorScale" priority="269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7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7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7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73">
      <colorScale>
        <cfvo type="min"/>
        <cfvo type="max"/>
        <color rgb="FF92D050"/>
        <color theme="9" tint="-0.249977111117893"/>
      </colorScale>
    </cfRule>
    <cfRule type="colorScale" priority="274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75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276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77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78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79">
      <colorScale>
        <cfvo type="min"/>
        <cfvo type="max"/>
        <color rgb="FF92D050"/>
        <color theme="9" tint="-0.249977111117893"/>
      </colorScale>
    </cfRule>
    <cfRule type="colorScale" priority="280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81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82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83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84">
      <colorScale>
        <cfvo type="min"/>
        <cfvo type="max"/>
        <color rgb="FF92D050"/>
        <color theme="9" tint="-0.249977111117893"/>
      </colorScale>
    </cfRule>
    <cfRule type="colorScale" priority="285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86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87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88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89">
      <colorScale>
        <cfvo type="min"/>
        <cfvo type="max"/>
        <color rgb="FF92D050"/>
        <color theme="9" tint="-0.249977111117893"/>
      </colorScale>
    </cfRule>
    <cfRule type="colorScale" priority="290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91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92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93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94">
      <colorScale>
        <cfvo type="min"/>
        <cfvo type="max"/>
        <color rgb="FF92D050"/>
        <color theme="9" tint="-0.249977111117893"/>
      </colorScale>
    </cfRule>
    <cfRule type="colorScale" priority="295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96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29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9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9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00">
      <colorScale>
        <cfvo type="min"/>
        <cfvo type="max"/>
        <color rgb="FF92D050"/>
        <color theme="9" tint="-0.249977111117893"/>
      </colorScale>
    </cfRule>
    <cfRule type="colorScale" priority="30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0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0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0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05">
      <colorScale>
        <cfvo type="min"/>
        <cfvo type="max"/>
        <color rgb="FF92D050"/>
        <color theme="9" tint="-0.249977111117893"/>
      </colorScale>
    </cfRule>
    <cfRule type="colorScale" priority="306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07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30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0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1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11">
      <colorScale>
        <cfvo type="min"/>
        <cfvo type="max"/>
        <color rgb="FF92D050"/>
        <color theme="9" tint="-0.249977111117893"/>
      </colorScale>
    </cfRule>
    <cfRule type="colorScale" priority="312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1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1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1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16">
      <colorScale>
        <cfvo type="min"/>
        <cfvo type="max"/>
        <color rgb="FF92D050"/>
        <color theme="9" tint="-0.249977111117893"/>
      </colorScale>
    </cfRule>
    <cfRule type="colorScale" priority="317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1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1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2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21">
      <colorScale>
        <cfvo type="min"/>
        <cfvo type="max"/>
        <color rgb="FF92D050"/>
        <color theme="9" tint="-0.249977111117893"/>
      </colorScale>
    </cfRule>
    <cfRule type="colorScale" priority="322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23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324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25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26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27">
      <colorScale>
        <cfvo type="min"/>
        <cfvo type="max"/>
        <color rgb="FF92D050"/>
        <color theme="9" tint="-0.249977111117893"/>
      </colorScale>
    </cfRule>
    <cfRule type="colorScale" priority="328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2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3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3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32">
      <colorScale>
        <cfvo type="min"/>
        <cfvo type="max"/>
        <color rgb="FF92D050"/>
        <color theme="9" tint="-0.249977111117893"/>
      </colorScale>
    </cfRule>
    <cfRule type="colorScale" priority="333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34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33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3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3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38">
      <colorScale>
        <cfvo type="min"/>
        <cfvo type="max"/>
        <color rgb="FF92D050"/>
        <color theme="9" tint="-0.249977111117893"/>
      </colorScale>
    </cfRule>
    <cfRule type="colorScale" priority="339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4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4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4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43">
      <colorScale>
        <cfvo type="min"/>
        <cfvo type="max"/>
        <color rgb="FF92D050"/>
        <color theme="9" tint="-0.249977111117893"/>
      </colorScale>
    </cfRule>
    <cfRule type="colorScale" priority="344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4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4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4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48">
      <colorScale>
        <cfvo type="min"/>
        <cfvo type="max"/>
        <color rgb="FF92D050"/>
        <color theme="9" tint="-0.249977111117893"/>
      </colorScale>
    </cfRule>
    <cfRule type="colorScale" priority="349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5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5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5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53">
      <colorScale>
        <cfvo type="min"/>
        <cfvo type="max"/>
        <color rgb="FF92D050"/>
        <color theme="9" tint="-0.249977111117893"/>
      </colorScale>
    </cfRule>
    <cfRule type="colorScale" priority="354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127:H130">
    <cfRule type="colorScale" priority="119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12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2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2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23">
      <colorScale>
        <cfvo type="min"/>
        <cfvo type="max"/>
        <color rgb="FF92D050"/>
        <color theme="9" tint="-0.249977111117893"/>
      </colorScale>
    </cfRule>
    <cfRule type="colorScale" priority="124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2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2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2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28">
      <colorScale>
        <cfvo type="min"/>
        <cfvo type="max"/>
        <color rgb="FF92D050"/>
        <color theme="9" tint="-0.249977111117893"/>
      </colorScale>
    </cfRule>
    <cfRule type="colorScale" priority="129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30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131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32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33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34">
      <colorScale>
        <cfvo type="min"/>
        <cfvo type="max"/>
        <color rgb="FF92D050"/>
        <color theme="9" tint="-0.249977111117893"/>
      </colorScale>
    </cfRule>
    <cfRule type="colorScale" priority="135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36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37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38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39">
      <colorScale>
        <cfvo type="min"/>
        <cfvo type="max"/>
        <color rgb="FF92D050"/>
        <color theme="9" tint="-0.249977111117893"/>
      </colorScale>
    </cfRule>
    <cfRule type="colorScale" priority="140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41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42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43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44">
      <colorScale>
        <cfvo type="min"/>
        <cfvo type="max"/>
        <color rgb="FF92D050"/>
        <color theme="9" tint="-0.249977111117893"/>
      </colorScale>
    </cfRule>
    <cfRule type="colorScale" priority="145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46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14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4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4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50">
      <colorScale>
        <cfvo type="min"/>
        <cfvo type="max"/>
        <color rgb="FF92D050"/>
        <color theme="9" tint="-0.249977111117893"/>
      </colorScale>
    </cfRule>
    <cfRule type="colorScale" priority="15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5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5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5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55">
      <colorScale>
        <cfvo type="min"/>
        <cfvo type="max"/>
        <color rgb="FF92D050"/>
        <color theme="9" tint="-0.249977111117893"/>
      </colorScale>
    </cfRule>
    <cfRule type="colorScale" priority="156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57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15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5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6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61">
      <colorScale>
        <cfvo type="min"/>
        <cfvo type="max"/>
        <color rgb="FF92D050"/>
        <color theme="9" tint="-0.249977111117893"/>
      </colorScale>
    </cfRule>
    <cfRule type="colorScale" priority="162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6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6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6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66">
      <colorScale>
        <cfvo type="min"/>
        <cfvo type="max"/>
        <color rgb="FF92D050"/>
        <color theme="9" tint="-0.249977111117893"/>
      </colorScale>
    </cfRule>
    <cfRule type="colorScale" priority="167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6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6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7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71">
      <colorScale>
        <cfvo type="min"/>
        <cfvo type="max"/>
        <color rgb="FF92D050"/>
        <color theme="9" tint="-0.249977111117893"/>
      </colorScale>
    </cfRule>
    <cfRule type="colorScale" priority="172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7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7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7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76">
      <colorScale>
        <cfvo type="min"/>
        <cfvo type="max"/>
        <color rgb="FF92D050"/>
        <color theme="9" tint="-0.249977111117893"/>
      </colorScale>
    </cfRule>
    <cfRule type="colorScale" priority="177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78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17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8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8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82">
      <colorScale>
        <cfvo type="min"/>
        <cfvo type="max"/>
        <color rgb="FF92D050"/>
        <color theme="9" tint="-0.249977111117893"/>
      </colorScale>
    </cfRule>
    <cfRule type="colorScale" priority="183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84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85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86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87">
      <colorScale>
        <cfvo type="min"/>
        <cfvo type="max"/>
        <color rgb="FF92D050"/>
        <color theme="9" tint="-0.249977111117893"/>
      </colorScale>
    </cfRule>
    <cfRule type="colorScale" priority="188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89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19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9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9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93">
      <colorScale>
        <cfvo type="min"/>
        <cfvo type="max"/>
        <color rgb="FF92D050"/>
        <color theme="9" tint="-0.249977111117893"/>
      </colorScale>
    </cfRule>
    <cfRule type="colorScale" priority="194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9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9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98">
      <colorScale>
        <cfvo type="min"/>
        <cfvo type="max"/>
        <color rgb="FF92D050"/>
        <color theme="9" tint="-0.249977111117893"/>
      </colorScale>
    </cfRule>
    <cfRule type="colorScale" priority="199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0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0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0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03">
      <colorScale>
        <cfvo type="min"/>
        <cfvo type="max"/>
        <color rgb="FF92D050"/>
        <color theme="9" tint="-0.249977111117893"/>
      </colorScale>
    </cfRule>
    <cfRule type="colorScale" priority="204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05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206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07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08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09">
      <colorScale>
        <cfvo type="min"/>
        <cfvo type="max"/>
        <color rgb="FF92D050"/>
        <color theme="9" tint="-0.249977111117893"/>
      </colorScale>
    </cfRule>
    <cfRule type="colorScale" priority="210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11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12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13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14">
      <colorScale>
        <cfvo type="min"/>
        <cfvo type="max"/>
        <color rgb="FF92D050"/>
        <color theme="9" tint="-0.249977111117893"/>
      </colorScale>
    </cfRule>
    <cfRule type="colorScale" priority="215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16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21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1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1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20">
      <colorScale>
        <cfvo type="min"/>
        <cfvo type="max"/>
        <color rgb="FF92D050"/>
        <color theme="9" tint="-0.249977111117893"/>
      </colorScale>
    </cfRule>
    <cfRule type="colorScale" priority="22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2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2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2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25">
      <colorScale>
        <cfvo type="min"/>
        <cfvo type="max"/>
        <color rgb="FF92D050"/>
        <color theme="9" tint="-0.249977111117893"/>
      </colorScale>
    </cfRule>
    <cfRule type="colorScale" priority="226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2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2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2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30">
      <colorScale>
        <cfvo type="min"/>
        <cfvo type="max"/>
        <color rgb="FF92D050"/>
        <color theme="9" tint="-0.249977111117893"/>
      </colorScale>
    </cfRule>
    <cfRule type="colorScale" priority="23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3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3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3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35">
      <colorScale>
        <cfvo type="min"/>
        <cfvo type="max"/>
        <color rgb="FF92D050"/>
        <color theme="9" tint="-0.249977111117893"/>
      </colorScale>
    </cfRule>
    <cfRule type="colorScale" priority="236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conditionalFormatting sqref="H133:H143">
    <cfRule type="colorScale" priority="1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">
      <colorScale>
        <cfvo type="min"/>
        <cfvo type="max"/>
        <color rgb="FF92D050"/>
        <color theme="9" tint="-0.249977111117893"/>
      </colorScale>
    </cfRule>
    <cfRule type="colorScale" priority="6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0">
      <colorScale>
        <cfvo type="min"/>
        <cfvo type="max"/>
        <color rgb="FF92D050"/>
        <color theme="9" tint="-0.249977111117893"/>
      </colorScale>
    </cfRule>
    <cfRule type="colorScale" priority="1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2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1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6">
      <colorScale>
        <cfvo type="min"/>
        <cfvo type="max"/>
        <color rgb="FF92D050"/>
        <color theme="9" tint="-0.249977111117893"/>
      </colorScale>
    </cfRule>
    <cfRule type="colorScale" priority="17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1">
      <colorScale>
        <cfvo type="min"/>
        <cfvo type="max"/>
        <color rgb="FF92D050"/>
        <color theme="9" tint="-0.249977111117893"/>
      </colorScale>
    </cfRule>
    <cfRule type="colorScale" priority="22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2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26">
      <colorScale>
        <cfvo type="min"/>
        <cfvo type="max"/>
        <color rgb="FF92D050"/>
        <color theme="9" tint="-0.249977111117893"/>
      </colorScale>
    </cfRule>
    <cfRule type="colorScale" priority="27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28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2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2">
      <colorScale>
        <cfvo type="min"/>
        <cfvo type="max"/>
        <color rgb="FF92D050"/>
        <color theme="9" tint="-0.249977111117893"/>
      </colorScale>
    </cfRule>
    <cfRule type="colorScale" priority="33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4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36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37">
      <colorScale>
        <cfvo type="min"/>
        <cfvo type="max"/>
        <color rgb="FF92D050"/>
        <color theme="9" tint="-0.249977111117893"/>
      </colorScale>
    </cfRule>
    <cfRule type="colorScale" priority="38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39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4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3">
      <colorScale>
        <cfvo type="min"/>
        <cfvo type="max"/>
        <color rgb="FF92D050"/>
        <color theme="9" tint="-0.249977111117893"/>
      </colorScale>
    </cfRule>
    <cfRule type="colorScale" priority="44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4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4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48">
      <colorScale>
        <cfvo type="min"/>
        <cfvo type="max"/>
        <color rgb="FF92D050"/>
        <color theme="9" tint="-0.249977111117893"/>
      </colorScale>
    </cfRule>
    <cfRule type="colorScale" priority="49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0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1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2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3">
      <colorScale>
        <cfvo type="min"/>
        <cfvo type="max"/>
        <color rgb="FF92D050"/>
        <color theme="9" tint="-0.249977111117893"/>
      </colorScale>
    </cfRule>
    <cfRule type="colorScale" priority="54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55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56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57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58">
      <colorScale>
        <cfvo type="min"/>
        <cfvo type="max"/>
        <color rgb="FF92D050"/>
        <color theme="9" tint="-0.249977111117893"/>
      </colorScale>
    </cfRule>
    <cfRule type="colorScale" priority="59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0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61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2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3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4">
      <colorScale>
        <cfvo type="min"/>
        <cfvo type="max"/>
        <color rgb="FF92D050"/>
        <color theme="9" tint="-0.249977111117893"/>
      </colorScale>
    </cfRule>
    <cfRule type="colorScale" priority="65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66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67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68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69">
      <colorScale>
        <cfvo type="min"/>
        <cfvo type="max"/>
        <color rgb="FF92D050"/>
        <color theme="9" tint="-0.249977111117893"/>
      </colorScale>
    </cfRule>
    <cfRule type="colorScale" priority="70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71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7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7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7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75">
      <colorScale>
        <cfvo type="min"/>
        <cfvo type="max"/>
        <color rgb="FF92D050"/>
        <color theme="9" tint="-0.249977111117893"/>
      </colorScale>
    </cfRule>
    <cfRule type="colorScale" priority="76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77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79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80">
      <colorScale>
        <cfvo type="min"/>
        <cfvo type="max"/>
        <color rgb="FF92D050"/>
        <color theme="9" tint="-0.249977111117893"/>
      </colorScale>
    </cfRule>
    <cfRule type="colorScale" priority="81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82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84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85">
      <colorScale>
        <cfvo type="min"/>
        <cfvo type="max"/>
        <color rgb="FF92D050"/>
        <color theme="9" tint="-0.249977111117893"/>
      </colorScale>
    </cfRule>
    <cfRule type="colorScale" priority="86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87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88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89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90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91">
      <colorScale>
        <cfvo type="min"/>
        <cfvo type="max"/>
        <color rgb="FF92D050"/>
        <color theme="9" tint="-0.249977111117893"/>
      </colorScale>
    </cfRule>
    <cfRule type="colorScale" priority="92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93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94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95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96">
      <colorScale>
        <cfvo type="min"/>
        <cfvo type="max"/>
        <color rgb="FF92D050"/>
        <color theme="9" tint="-0.249977111117893"/>
      </colorScale>
    </cfRule>
    <cfRule type="colorScale" priority="97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98">
      <colorScale>
        <cfvo type="percent" val="0"/>
        <cfvo type="percent" val="75"/>
        <cfvo type="percent" val="100"/>
        <color rgb="FF92D050"/>
        <color rgb="FFFFEB84"/>
        <color theme="9" tint="-0.249977111117893"/>
      </colorScale>
    </cfRule>
    <cfRule type="colorScale" priority="9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0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0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02">
      <colorScale>
        <cfvo type="min"/>
        <cfvo type="max"/>
        <color rgb="FF92D050"/>
        <color theme="9" tint="-0.249977111117893"/>
      </colorScale>
    </cfRule>
    <cfRule type="colorScale" priority="103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04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05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06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07">
      <colorScale>
        <cfvo type="min"/>
        <cfvo type="max"/>
        <color rgb="FF92D050"/>
        <color theme="9" tint="-0.249977111117893"/>
      </colorScale>
    </cfRule>
    <cfRule type="colorScale" priority="108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09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10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11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12">
      <colorScale>
        <cfvo type="min"/>
        <cfvo type="max"/>
        <color rgb="FF92D050"/>
        <color theme="9" tint="-0.249977111117893"/>
      </colorScale>
    </cfRule>
    <cfRule type="colorScale" priority="113">
      <colorScale>
        <cfvo type="min"/>
        <cfvo type="percentile" val="50"/>
        <cfvo type="max"/>
        <color rgb="FF92D050"/>
        <color rgb="FFFFEB84"/>
        <color theme="9" tint="-0.249977111117893"/>
      </colorScale>
    </cfRule>
    <cfRule type="colorScale" priority="114">
      <colorScale>
        <cfvo type="percent" val="0"/>
        <cfvo type="percent" val="75"/>
        <cfvo type="percent" val="100"/>
        <color rgb="FFF8696B"/>
        <color rgb="FFFFEB84"/>
        <color rgb="FF63BE7B"/>
      </colorScale>
    </cfRule>
    <cfRule type="colorScale" priority="115">
      <colorScale>
        <cfvo type="min"/>
        <cfvo type="percentile" val="50"/>
        <cfvo type="max"/>
        <color rgb="FF99FF66"/>
        <color theme="9" tint="0.39997558519241921"/>
        <color theme="9" tint="-0.249977111117893"/>
      </colorScale>
    </cfRule>
    <cfRule type="colorScale" priority="116">
      <colorScale>
        <cfvo type="min"/>
        <cfvo type="percentile" val="50"/>
        <cfvo type="max"/>
        <color rgb="FFF8696B"/>
        <color theme="9" tint="0.39997558519241921"/>
        <color rgb="FF99FF66"/>
      </colorScale>
    </cfRule>
    <cfRule type="colorScale" priority="117">
      <colorScale>
        <cfvo type="min"/>
        <cfvo type="max"/>
        <color rgb="FF92D050"/>
        <color theme="9" tint="-0.249977111117893"/>
      </colorScale>
    </cfRule>
    <cfRule type="colorScale" priority="118">
      <colorScale>
        <cfvo type="min"/>
        <cfvo type="percentile" val="50"/>
        <cfvo type="max"/>
        <color rgb="FF92D050"/>
        <color rgb="FFFFEB84"/>
        <color theme="9" tint="-0.24997711111789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35"/>
  <sheetViews>
    <sheetView showGridLines="0" workbookViewId="0">
      <pane xSplit="1" ySplit="6" topLeftCell="B210" activePane="bottomRight" state="frozen"/>
      <selection pane="topRight" activeCell="B1" sqref="B1"/>
      <selection pane="bottomLeft" activeCell="A7" sqref="A7"/>
      <selection pane="bottomRight"/>
    </sheetView>
  </sheetViews>
  <sheetFormatPr defaultRowHeight="15" x14ac:dyDescent="0.25"/>
  <cols>
    <col min="1" max="1" width="40.85546875" bestFit="1" customWidth="1"/>
    <col min="2" max="2" width="39.42578125" bestFit="1" customWidth="1"/>
    <col min="3" max="3" width="28.28515625" bestFit="1" customWidth="1"/>
    <col min="4" max="5" width="14.140625" bestFit="1" customWidth="1"/>
    <col min="6" max="6" width="11.28515625" bestFit="1" customWidth="1"/>
  </cols>
  <sheetData>
    <row r="2" spans="1:6" x14ac:dyDescent="0.25">
      <c r="A2" s="3" t="s">
        <v>45</v>
      </c>
      <c r="B2" s="1" t="s">
        <v>47</v>
      </c>
    </row>
    <row r="3" spans="1:6" x14ac:dyDescent="0.25">
      <c r="A3" s="3" t="s">
        <v>91</v>
      </c>
      <c r="B3" s="1" t="s">
        <v>55</v>
      </c>
    </row>
    <row r="5" spans="1:6" x14ac:dyDescent="0.25">
      <c r="A5" s="3" t="s">
        <v>57</v>
      </c>
      <c r="B5" s="1"/>
      <c r="C5" s="1"/>
      <c r="D5" s="3" t="s">
        <v>33</v>
      </c>
      <c r="E5" s="1"/>
      <c r="F5" s="1"/>
    </row>
    <row r="6" spans="1:6" x14ac:dyDescent="0.25">
      <c r="A6" s="3" t="s">
        <v>8</v>
      </c>
      <c r="B6" s="3" t="s">
        <v>7</v>
      </c>
      <c r="C6" s="3" t="s">
        <v>9</v>
      </c>
      <c r="D6" s="45" t="s">
        <v>25</v>
      </c>
      <c r="E6" s="45" t="s">
        <v>474</v>
      </c>
      <c r="F6" s="45" t="s">
        <v>44</v>
      </c>
    </row>
    <row r="7" spans="1:6" x14ac:dyDescent="0.25">
      <c r="A7" s="65" t="s">
        <v>101</v>
      </c>
      <c r="B7" s="65" t="s">
        <v>1272</v>
      </c>
      <c r="C7" s="45" t="s">
        <v>457</v>
      </c>
      <c r="D7" s="70">
        <v>5</v>
      </c>
      <c r="E7" s="70">
        <v>3</v>
      </c>
      <c r="F7" s="70">
        <v>8</v>
      </c>
    </row>
    <row r="8" spans="1:6" x14ac:dyDescent="0.25">
      <c r="A8" s="61"/>
      <c r="B8" s="61"/>
      <c r="C8" s="45" t="s">
        <v>132</v>
      </c>
      <c r="D8" s="70">
        <v>3</v>
      </c>
      <c r="E8" s="70">
        <v>4</v>
      </c>
      <c r="F8" s="70">
        <v>7</v>
      </c>
    </row>
    <row r="9" spans="1:6" x14ac:dyDescent="0.25">
      <c r="A9" s="61"/>
      <c r="B9" s="61"/>
      <c r="C9" s="45" t="s">
        <v>1096</v>
      </c>
      <c r="D9" s="70">
        <v>3</v>
      </c>
      <c r="E9" s="70">
        <v>2</v>
      </c>
      <c r="F9" s="70">
        <v>5</v>
      </c>
    </row>
    <row r="10" spans="1:6" x14ac:dyDescent="0.25">
      <c r="A10" s="61"/>
      <c r="B10" s="66" t="s">
        <v>1430</v>
      </c>
      <c r="C10" s="67"/>
      <c r="D10" s="71">
        <v>11</v>
      </c>
      <c r="E10" s="71">
        <v>9</v>
      </c>
      <c r="F10" s="71">
        <v>20</v>
      </c>
    </row>
    <row r="11" spans="1:6" x14ac:dyDescent="0.25">
      <c r="A11" s="61"/>
      <c r="B11" s="65" t="s">
        <v>1355</v>
      </c>
      <c r="C11" s="45" t="s">
        <v>457</v>
      </c>
      <c r="D11" s="70"/>
      <c r="E11" s="70">
        <v>3</v>
      </c>
      <c r="F11" s="70">
        <v>3</v>
      </c>
    </row>
    <row r="12" spans="1:6" x14ac:dyDescent="0.25">
      <c r="A12" s="61"/>
      <c r="B12" s="61"/>
      <c r="C12" s="45" t="s">
        <v>1096</v>
      </c>
      <c r="D12" s="70"/>
      <c r="E12" s="70">
        <v>2</v>
      </c>
      <c r="F12" s="70">
        <v>2</v>
      </c>
    </row>
    <row r="13" spans="1:6" x14ac:dyDescent="0.25">
      <c r="A13" s="61"/>
      <c r="B13" s="61"/>
      <c r="C13" s="45" t="s">
        <v>132</v>
      </c>
      <c r="D13" s="70">
        <v>1</v>
      </c>
      <c r="E13" s="70"/>
      <c r="F13" s="70">
        <v>1</v>
      </c>
    </row>
    <row r="14" spans="1:6" x14ac:dyDescent="0.25">
      <c r="A14" s="61"/>
      <c r="B14" s="66" t="s">
        <v>1431</v>
      </c>
      <c r="C14" s="67"/>
      <c r="D14" s="71">
        <v>1</v>
      </c>
      <c r="E14" s="71">
        <v>5</v>
      </c>
      <c r="F14" s="71">
        <v>6</v>
      </c>
    </row>
    <row r="15" spans="1:6" x14ac:dyDescent="0.25">
      <c r="A15" s="61"/>
      <c r="B15" s="65" t="s">
        <v>1248</v>
      </c>
      <c r="C15" s="45" t="s">
        <v>132</v>
      </c>
      <c r="D15" s="70">
        <v>3</v>
      </c>
      <c r="E15" s="70">
        <v>1</v>
      </c>
      <c r="F15" s="70">
        <v>4</v>
      </c>
    </row>
    <row r="16" spans="1:6" x14ac:dyDescent="0.25">
      <c r="A16" s="61"/>
      <c r="B16" s="61"/>
      <c r="C16" s="45" t="s">
        <v>457</v>
      </c>
      <c r="D16" s="70"/>
      <c r="E16" s="70">
        <v>2</v>
      </c>
      <c r="F16" s="70">
        <v>2</v>
      </c>
    </row>
    <row r="17" spans="1:6" x14ac:dyDescent="0.25">
      <c r="A17" s="61"/>
      <c r="B17" s="66" t="s">
        <v>1432</v>
      </c>
      <c r="C17" s="67"/>
      <c r="D17" s="71">
        <v>3</v>
      </c>
      <c r="E17" s="71">
        <v>3</v>
      </c>
      <c r="F17" s="71">
        <v>6</v>
      </c>
    </row>
    <row r="18" spans="1:6" x14ac:dyDescent="0.25">
      <c r="A18" s="61"/>
      <c r="B18" s="45" t="s">
        <v>1249</v>
      </c>
      <c r="C18" s="45" t="s">
        <v>457</v>
      </c>
      <c r="D18" s="70"/>
      <c r="E18" s="70">
        <v>3</v>
      </c>
      <c r="F18" s="70">
        <v>3</v>
      </c>
    </row>
    <row r="19" spans="1:6" x14ac:dyDescent="0.25">
      <c r="A19" s="61"/>
      <c r="B19" s="66" t="s">
        <v>1433</v>
      </c>
      <c r="C19" s="67"/>
      <c r="D19" s="71"/>
      <c r="E19" s="71">
        <v>3</v>
      </c>
      <c r="F19" s="71">
        <v>3</v>
      </c>
    </row>
    <row r="20" spans="1:6" x14ac:dyDescent="0.25">
      <c r="A20" s="61"/>
      <c r="B20" s="45" t="s">
        <v>1260</v>
      </c>
      <c r="C20" s="45" t="s">
        <v>1096</v>
      </c>
      <c r="D20" s="70">
        <v>7</v>
      </c>
      <c r="E20" s="70">
        <v>1</v>
      </c>
      <c r="F20" s="70">
        <v>8</v>
      </c>
    </row>
    <row r="21" spans="1:6" x14ac:dyDescent="0.25">
      <c r="A21" s="61"/>
      <c r="B21" s="66" t="s">
        <v>1434</v>
      </c>
      <c r="C21" s="67"/>
      <c r="D21" s="71">
        <v>7</v>
      </c>
      <c r="E21" s="71">
        <v>1</v>
      </c>
      <c r="F21" s="71">
        <v>8</v>
      </c>
    </row>
    <row r="22" spans="1:6" x14ac:dyDescent="0.25">
      <c r="A22" s="61"/>
      <c r="B22" s="45" t="s">
        <v>1295</v>
      </c>
      <c r="C22" s="45" t="s">
        <v>482</v>
      </c>
      <c r="D22" s="70"/>
      <c r="E22" s="70">
        <v>1</v>
      </c>
      <c r="F22" s="70">
        <v>1</v>
      </c>
    </row>
    <row r="23" spans="1:6" x14ac:dyDescent="0.25">
      <c r="A23" s="61"/>
      <c r="B23" s="66" t="s">
        <v>1435</v>
      </c>
      <c r="C23" s="67"/>
      <c r="D23" s="71"/>
      <c r="E23" s="71">
        <v>1</v>
      </c>
      <c r="F23" s="71">
        <v>1</v>
      </c>
    </row>
    <row r="24" spans="1:6" x14ac:dyDescent="0.25">
      <c r="A24" s="61"/>
      <c r="B24" s="45" t="s">
        <v>1399</v>
      </c>
      <c r="C24" s="45" t="s">
        <v>482</v>
      </c>
      <c r="D24" s="70"/>
      <c r="E24" s="70">
        <v>1</v>
      </c>
      <c r="F24" s="70">
        <v>1</v>
      </c>
    </row>
    <row r="25" spans="1:6" x14ac:dyDescent="0.25">
      <c r="A25" s="61"/>
      <c r="B25" s="66" t="s">
        <v>1436</v>
      </c>
      <c r="C25" s="67"/>
      <c r="D25" s="71"/>
      <c r="E25" s="71">
        <v>1</v>
      </c>
      <c r="F25" s="71">
        <v>1</v>
      </c>
    </row>
    <row r="26" spans="1:6" x14ac:dyDescent="0.25">
      <c r="A26" s="61"/>
      <c r="B26" s="45" t="s">
        <v>1254</v>
      </c>
      <c r="C26" s="45" t="s">
        <v>132</v>
      </c>
      <c r="D26" s="70">
        <v>3</v>
      </c>
      <c r="E26" s="70"/>
      <c r="F26" s="70">
        <v>3</v>
      </c>
    </row>
    <row r="27" spans="1:6" x14ac:dyDescent="0.25">
      <c r="A27" s="61"/>
      <c r="B27" s="66" t="s">
        <v>1437</v>
      </c>
      <c r="C27" s="67"/>
      <c r="D27" s="71">
        <v>3</v>
      </c>
      <c r="E27" s="71"/>
      <c r="F27" s="71">
        <v>3</v>
      </c>
    </row>
    <row r="28" spans="1:6" x14ac:dyDescent="0.25">
      <c r="A28" s="61"/>
      <c r="B28" s="65" t="s">
        <v>1253</v>
      </c>
      <c r="C28" s="45" t="s">
        <v>1096</v>
      </c>
      <c r="D28" s="70">
        <v>2</v>
      </c>
      <c r="E28" s="70"/>
      <c r="F28" s="70">
        <v>2</v>
      </c>
    </row>
    <row r="29" spans="1:6" x14ac:dyDescent="0.25">
      <c r="A29" s="61"/>
      <c r="B29" s="61"/>
      <c r="C29" s="45" t="s">
        <v>132</v>
      </c>
      <c r="D29" s="70">
        <v>1</v>
      </c>
      <c r="E29" s="70"/>
      <c r="F29" s="70">
        <v>1</v>
      </c>
    </row>
    <row r="30" spans="1:6" x14ac:dyDescent="0.25">
      <c r="A30" s="61"/>
      <c r="B30" s="66" t="s">
        <v>1438</v>
      </c>
      <c r="C30" s="67"/>
      <c r="D30" s="71">
        <v>3</v>
      </c>
      <c r="E30" s="71"/>
      <c r="F30" s="71">
        <v>3</v>
      </c>
    </row>
    <row r="31" spans="1:6" x14ac:dyDescent="0.25">
      <c r="A31" s="65" t="s">
        <v>1439</v>
      </c>
      <c r="B31" s="61"/>
      <c r="C31" s="61"/>
      <c r="D31" s="70">
        <v>28</v>
      </c>
      <c r="E31" s="70">
        <v>23</v>
      </c>
      <c r="F31" s="70">
        <v>51</v>
      </c>
    </row>
    <row r="32" spans="1:6" x14ac:dyDescent="0.25">
      <c r="A32" s="65" t="s">
        <v>121</v>
      </c>
      <c r="B32" s="45" t="s">
        <v>1282</v>
      </c>
      <c r="C32" s="45" t="s">
        <v>459</v>
      </c>
      <c r="D32" s="70"/>
      <c r="E32" s="70">
        <v>1</v>
      </c>
      <c r="F32" s="70">
        <v>1</v>
      </c>
    </row>
    <row r="33" spans="1:6" x14ac:dyDescent="0.25">
      <c r="A33" s="61"/>
      <c r="B33" s="66" t="s">
        <v>1494</v>
      </c>
      <c r="C33" s="67"/>
      <c r="D33" s="71"/>
      <c r="E33" s="71">
        <v>1</v>
      </c>
      <c r="F33" s="71">
        <v>1</v>
      </c>
    </row>
    <row r="34" spans="1:6" x14ac:dyDescent="0.25">
      <c r="A34" s="61"/>
      <c r="B34" s="45" t="s">
        <v>1287</v>
      </c>
      <c r="C34" s="45" t="s">
        <v>480</v>
      </c>
      <c r="D34" s="70"/>
      <c r="E34" s="70">
        <v>1</v>
      </c>
      <c r="F34" s="70">
        <v>1</v>
      </c>
    </row>
    <row r="35" spans="1:6" x14ac:dyDescent="0.25">
      <c r="A35" s="61"/>
      <c r="B35" s="66" t="s">
        <v>1495</v>
      </c>
      <c r="C35" s="67"/>
      <c r="D35" s="71"/>
      <c r="E35" s="71">
        <v>1</v>
      </c>
      <c r="F35" s="71">
        <v>1</v>
      </c>
    </row>
    <row r="36" spans="1:6" x14ac:dyDescent="0.25">
      <c r="A36" s="61"/>
      <c r="B36" s="65" t="s">
        <v>1333</v>
      </c>
      <c r="C36" s="45" t="s">
        <v>459</v>
      </c>
      <c r="D36" s="70"/>
      <c r="E36" s="70">
        <v>1</v>
      </c>
      <c r="F36" s="70">
        <v>1</v>
      </c>
    </row>
    <row r="37" spans="1:6" x14ac:dyDescent="0.25">
      <c r="A37" s="61"/>
      <c r="B37" s="61"/>
      <c r="C37" s="45" t="s">
        <v>478</v>
      </c>
      <c r="D37" s="70">
        <v>1</v>
      </c>
      <c r="E37" s="70"/>
      <c r="F37" s="70">
        <v>1</v>
      </c>
    </row>
    <row r="38" spans="1:6" x14ac:dyDescent="0.25">
      <c r="A38" s="61"/>
      <c r="B38" s="66" t="s">
        <v>1496</v>
      </c>
      <c r="C38" s="67"/>
      <c r="D38" s="71">
        <v>1</v>
      </c>
      <c r="E38" s="71">
        <v>1</v>
      </c>
      <c r="F38" s="71">
        <v>2</v>
      </c>
    </row>
    <row r="39" spans="1:6" x14ac:dyDescent="0.25">
      <c r="A39" s="61"/>
      <c r="B39" s="65" t="s">
        <v>1367</v>
      </c>
      <c r="C39" s="45" t="s">
        <v>459</v>
      </c>
      <c r="D39" s="70">
        <v>1</v>
      </c>
      <c r="E39" s="70"/>
      <c r="F39" s="70">
        <v>1</v>
      </c>
    </row>
    <row r="40" spans="1:6" x14ac:dyDescent="0.25">
      <c r="A40" s="61"/>
      <c r="B40" s="61"/>
      <c r="C40" s="45" t="s">
        <v>478</v>
      </c>
      <c r="D40" s="70"/>
      <c r="E40" s="70">
        <v>1</v>
      </c>
      <c r="F40" s="70">
        <v>1</v>
      </c>
    </row>
    <row r="41" spans="1:6" x14ac:dyDescent="0.25">
      <c r="A41" s="61"/>
      <c r="B41" s="66" t="s">
        <v>1497</v>
      </c>
      <c r="C41" s="67"/>
      <c r="D41" s="71">
        <v>1</v>
      </c>
      <c r="E41" s="71">
        <v>1</v>
      </c>
      <c r="F41" s="71">
        <v>2</v>
      </c>
    </row>
    <row r="42" spans="1:6" x14ac:dyDescent="0.25">
      <c r="A42" s="61"/>
      <c r="B42" s="65" t="s">
        <v>1289</v>
      </c>
      <c r="C42" s="45" t="s">
        <v>103</v>
      </c>
      <c r="D42" s="70">
        <v>1</v>
      </c>
      <c r="E42" s="70"/>
      <c r="F42" s="70">
        <v>1</v>
      </c>
    </row>
    <row r="43" spans="1:6" x14ac:dyDescent="0.25">
      <c r="A43" s="61"/>
      <c r="B43" s="61"/>
      <c r="C43" s="45" t="s">
        <v>459</v>
      </c>
      <c r="D43" s="70"/>
      <c r="E43" s="70">
        <v>1</v>
      </c>
      <c r="F43" s="70">
        <v>1</v>
      </c>
    </row>
    <row r="44" spans="1:6" x14ac:dyDescent="0.25">
      <c r="A44" s="61"/>
      <c r="B44" s="66" t="s">
        <v>1498</v>
      </c>
      <c r="C44" s="67"/>
      <c r="D44" s="71">
        <v>1</v>
      </c>
      <c r="E44" s="71">
        <v>1</v>
      </c>
      <c r="F44" s="71">
        <v>2</v>
      </c>
    </row>
    <row r="45" spans="1:6" x14ac:dyDescent="0.25">
      <c r="A45" s="61"/>
      <c r="B45" s="45" t="s">
        <v>1357</v>
      </c>
      <c r="C45" s="45" t="s">
        <v>478</v>
      </c>
      <c r="D45" s="70">
        <v>1</v>
      </c>
      <c r="E45" s="70"/>
      <c r="F45" s="70">
        <v>1</v>
      </c>
    </row>
    <row r="46" spans="1:6" x14ac:dyDescent="0.25">
      <c r="A46" s="61"/>
      <c r="B46" s="66" t="s">
        <v>1499</v>
      </c>
      <c r="C46" s="67"/>
      <c r="D46" s="71">
        <v>1</v>
      </c>
      <c r="E46" s="71"/>
      <c r="F46" s="71">
        <v>1</v>
      </c>
    </row>
    <row r="47" spans="1:6" x14ac:dyDescent="0.25">
      <c r="A47" s="61"/>
      <c r="B47" s="45" t="s">
        <v>1280</v>
      </c>
      <c r="C47" s="45" t="s">
        <v>459</v>
      </c>
      <c r="D47" s="70">
        <v>1</v>
      </c>
      <c r="E47" s="70"/>
      <c r="F47" s="70">
        <v>1</v>
      </c>
    </row>
    <row r="48" spans="1:6" x14ac:dyDescent="0.25">
      <c r="A48" s="61"/>
      <c r="B48" s="66" t="s">
        <v>1500</v>
      </c>
      <c r="C48" s="67"/>
      <c r="D48" s="71">
        <v>1</v>
      </c>
      <c r="E48" s="71"/>
      <c r="F48" s="71">
        <v>1</v>
      </c>
    </row>
    <row r="49" spans="1:6" x14ac:dyDescent="0.25">
      <c r="A49" s="61"/>
      <c r="B49" s="65" t="s">
        <v>1268</v>
      </c>
      <c r="C49" s="45" t="s">
        <v>459</v>
      </c>
      <c r="D49" s="70">
        <v>1</v>
      </c>
      <c r="E49" s="70"/>
      <c r="F49" s="70">
        <v>1</v>
      </c>
    </row>
    <row r="50" spans="1:6" x14ac:dyDescent="0.25">
      <c r="A50" s="61"/>
      <c r="B50" s="61"/>
      <c r="C50" s="45" t="s">
        <v>478</v>
      </c>
      <c r="D50" s="70">
        <v>1</v>
      </c>
      <c r="E50" s="70"/>
      <c r="F50" s="70">
        <v>1</v>
      </c>
    </row>
    <row r="51" spans="1:6" x14ac:dyDescent="0.25">
      <c r="A51" s="61"/>
      <c r="B51" s="66" t="s">
        <v>1501</v>
      </c>
      <c r="C51" s="67"/>
      <c r="D51" s="71">
        <v>2</v>
      </c>
      <c r="E51" s="71"/>
      <c r="F51" s="71">
        <v>2</v>
      </c>
    </row>
    <row r="52" spans="1:6" x14ac:dyDescent="0.25">
      <c r="A52" s="61"/>
      <c r="B52" s="65" t="s">
        <v>1311</v>
      </c>
      <c r="C52" s="45" t="s">
        <v>459</v>
      </c>
      <c r="D52" s="70">
        <v>2</v>
      </c>
      <c r="E52" s="70"/>
      <c r="F52" s="70">
        <v>2</v>
      </c>
    </row>
    <row r="53" spans="1:6" x14ac:dyDescent="0.25">
      <c r="A53" s="61"/>
      <c r="B53" s="61"/>
      <c r="C53" s="45" t="s">
        <v>478</v>
      </c>
      <c r="D53" s="70">
        <v>1</v>
      </c>
      <c r="E53" s="70"/>
      <c r="F53" s="70">
        <v>1</v>
      </c>
    </row>
    <row r="54" spans="1:6" x14ac:dyDescent="0.25">
      <c r="A54" s="61"/>
      <c r="B54" s="66" t="s">
        <v>1502</v>
      </c>
      <c r="C54" s="67"/>
      <c r="D54" s="71">
        <v>3</v>
      </c>
      <c r="E54" s="71"/>
      <c r="F54" s="71">
        <v>3</v>
      </c>
    </row>
    <row r="55" spans="1:6" x14ac:dyDescent="0.25">
      <c r="A55" s="61"/>
      <c r="B55" s="45" t="s">
        <v>1359</v>
      </c>
      <c r="C55" s="45" t="s">
        <v>459</v>
      </c>
      <c r="D55" s="70">
        <v>1</v>
      </c>
      <c r="E55" s="70"/>
      <c r="F55" s="70">
        <v>1</v>
      </c>
    </row>
    <row r="56" spans="1:6" x14ac:dyDescent="0.25">
      <c r="A56" s="61"/>
      <c r="B56" s="66" t="s">
        <v>1503</v>
      </c>
      <c r="C56" s="67"/>
      <c r="D56" s="71">
        <v>1</v>
      </c>
      <c r="E56" s="71"/>
      <c r="F56" s="71">
        <v>1</v>
      </c>
    </row>
    <row r="57" spans="1:6" x14ac:dyDescent="0.25">
      <c r="A57" s="65" t="s">
        <v>1504</v>
      </c>
      <c r="B57" s="61"/>
      <c r="C57" s="61"/>
      <c r="D57" s="70">
        <v>11</v>
      </c>
      <c r="E57" s="70">
        <v>5</v>
      </c>
      <c r="F57" s="70">
        <v>16</v>
      </c>
    </row>
    <row r="58" spans="1:6" x14ac:dyDescent="0.25">
      <c r="A58" s="65" t="s">
        <v>151</v>
      </c>
      <c r="B58" s="65" t="s">
        <v>151</v>
      </c>
      <c r="C58" s="45" t="s">
        <v>457</v>
      </c>
      <c r="D58" s="70"/>
      <c r="E58" s="70">
        <v>4</v>
      </c>
      <c r="F58" s="70">
        <v>4</v>
      </c>
    </row>
    <row r="59" spans="1:6" x14ac:dyDescent="0.25">
      <c r="A59" s="61"/>
      <c r="B59" s="61"/>
      <c r="C59" s="45" t="s">
        <v>482</v>
      </c>
      <c r="D59" s="70">
        <v>1</v>
      </c>
      <c r="E59" s="70">
        <v>1</v>
      </c>
      <c r="F59" s="70">
        <v>2</v>
      </c>
    </row>
    <row r="60" spans="1:6" x14ac:dyDescent="0.25">
      <c r="A60" s="61"/>
      <c r="B60" s="66" t="s">
        <v>1462</v>
      </c>
      <c r="C60" s="67"/>
      <c r="D60" s="71">
        <v>1</v>
      </c>
      <c r="E60" s="71">
        <v>5</v>
      </c>
      <c r="F60" s="71">
        <v>6</v>
      </c>
    </row>
    <row r="61" spans="1:6" x14ac:dyDescent="0.25">
      <c r="A61" s="65" t="s">
        <v>1462</v>
      </c>
      <c r="B61" s="61"/>
      <c r="C61" s="61"/>
      <c r="D61" s="70">
        <v>1</v>
      </c>
      <c r="E61" s="70">
        <v>5</v>
      </c>
      <c r="F61" s="70">
        <v>6</v>
      </c>
    </row>
    <row r="62" spans="1:6" x14ac:dyDescent="0.25">
      <c r="A62" s="65" t="s">
        <v>109</v>
      </c>
      <c r="B62" s="65" t="s">
        <v>1298</v>
      </c>
      <c r="C62" s="45" t="s">
        <v>103</v>
      </c>
      <c r="D62" s="70">
        <v>2</v>
      </c>
      <c r="E62" s="70">
        <v>1</v>
      </c>
      <c r="F62" s="70">
        <v>3</v>
      </c>
    </row>
    <row r="63" spans="1:6" x14ac:dyDescent="0.25">
      <c r="A63" s="61"/>
      <c r="B63" s="61"/>
      <c r="C63" s="45" t="s">
        <v>459</v>
      </c>
      <c r="D63" s="70">
        <v>1</v>
      </c>
      <c r="E63" s="70">
        <v>1</v>
      </c>
      <c r="F63" s="70">
        <v>2</v>
      </c>
    </row>
    <row r="64" spans="1:6" x14ac:dyDescent="0.25">
      <c r="A64" s="61"/>
      <c r="B64" s="66" t="s">
        <v>1419</v>
      </c>
      <c r="C64" s="67"/>
      <c r="D64" s="71">
        <v>3</v>
      </c>
      <c r="E64" s="71">
        <v>2</v>
      </c>
      <c r="F64" s="71">
        <v>5</v>
      </c>
    </row>
    <row r="65" spans="1:6" x14ac:dyDescent="0.25">
      <c r="A65" s="61"/>
      <c r="B65" s="65" t="s">
        <v>1277</v>
      </c>
      <c r="C65" s="45" t="s">
        <v>103</v>
      </c>
      <c r="D65" s="70">
        <v>3</v>
      </c>
      <c r="E65" s="70">
        <v>1</v>
      </c>
      <c r="F65" s="70">
        <v>4</v>
      </c>
    </row>
    <row r="66" spans="1:6" x14ac:dyDescent="0.25">
      <c r="A66" s="61"/>
      <c r="B66" s="61"/>
      <c r="C66" s="45" t="s">
        <v>480</v>
      </c>
      <c r="D66" s="70"/>
      <c r="E66" s="70">
        <v>1</v>
      </c>
      <c r="F66" s="70">
        <v>1</v>
      </c>
    </row>
    <row r="67" spans="1:6" x14ac:dyDescent="0.25">
      <c r="A67" s="61"/>
      <c r="B67" s="61"/>
      <c r="C67" s="45" t="s">
        <v>459</v>
      </c>
      <c r="D67" s="70">
        <v>1</v>
      </c>
      <c r="E67" s="70"/>
      <c r="F67" s="70">
        <v>1</v>
      </c>
    </row>
    <row r="68" spans="1:6" x14ac:dyDescent="0.25">
      <c r="A68" s="61"/>
      <c r="B68" s="66" t="s">
        <v>1420</v>
      </c>
      <c r="C68" s="67"/>
      <c r="D68" s="71">
        <v>4</v>
      </c>
      <c r="E68" s="71">
        <v>2</v>
      </c>
      <c r="F68" s="71">
        <v>6</v>
      </c>
    </row>
    <row r="69" spans="1:6" x14ac:dyDescent="0.25">
      <c r="A69" s="61"/>
      <c r="B69" s="65" t="s">
        <v>1303</v>
      </c>
      <c r="C69" s="45" t="s">
        <v>103</v>
      </c>
      <c r="D69" s="70">
        <v>1</v>
      </c>
      <c r="E69" s="70"/>
      <c r="F69" s="70">
        <v>1</v>
      </c>
    </row>
    <row r="70" spans="1:6" x14ac:dyDescent="0.25">
      <c r="A70" s="61"/>
      <c r="B70" s="61"/>
      <c r="C70" s="45" t="s">
        <v>459</v>
      </c>
      <c r="D70" s="70"/>
      <c r="E70" s="70">
        <v>1</v>
      </c>
      <c r="F70" s="70">
        <v>1</v>
      </c>
    </row>
    <row r="71" spans="1:6" x14ac:dyDescent="0.25">
      <c r="A71" s="61"/>
      <c r="B71" s="66" t="s">
        <v>1421</v>
      </c>
      <c r="C71" s="67"/>
      <c r="D71" s="71">
        <v>1</v>
      </c>
      <c r="E71" s="71">
        <v>1</v>
      </c>
      <c r="F71" s="71">
        <v>2</v>
      </c>
    </row>
    <row r="72" spans="1:6" x14ac:dyDescent="0.25">
      <c r="A72" s="61"/>
      <c r="B72" s="45" t="s">
        <v>1320</v>
      </c>
      <c r="C72" s="45" t="s">
        <v>103</v>
      </c>
      <c r="D72" s="70">
        <v>1</v>
      </c>
      <c r="E72" s="70"/>
      <c r="F72" s="70">
        <v>1</v>
      </c>
    </row>
    <row r="73" spans="1:6" x14ac:dyDescent="0.25">
      <c r="A73" s="61"/>
      <c r="B73" s="66" t="s">
        <v>1422</v>
      </c>
      <c r="C73" s="67"/>
      <c r="D73" s="71">
        <v>1</v>
      </c>
      <c r="E73" s="71"/>
      <c r="F73" s="71">
        <v>1</v>
      </c>
    </row>
    <row r="74" spans="1:6" x14ac:dyDescent="0.25">
      <c r="A74" s="61"/>
      <c r="B74" s="65" t="s">
        <v>1325</v>
      </c>
      <c r="C74" s="45" t="s">
        <v>478</v>
      </c>
      <c r="D74" s="70">
        <v>3</v>
      </c>
      <c r="E74" s="70"/>
      <c r="F74" s="70">
        <v>3</v>
      </c>
    </row>
    <row r="75" spans="1:6" x14ac:dyDescent="0.25">
      <c r="A75" s="61"/>
      <c r="B75" s="61"/>
      <c r="C75" s="45" t="s">
        <v>103</v>
      </c>
      <c r="D75" s="70">
        <v>1</v>
      </c>
      <c r="E75" s="70"/>
      <c r="F75" s="70">
        <v>1</v>
      </c>
    </row>
    <row r="76" spans="1:6" x14ac:dyDescent="0.25">
      <c r="A76" s="61"/>
      <c r="B76" s="66" t="s">
        <v>1423</v>
      </c>
      <c r="C76" s="67"/>
      <c r="D76" s="71">
        <v>4</v>
      </c>
      <c r="E76" s="71"/>
      <c r="F76" s="71">
        <v>4</v>
      </c>
    </row>
    <row r="77" spans="1:6" x14ac:dyDescent="0.25">
      <c r="A77" s="61"/>
      <c r="B77" s="65" t="s">
        <v>1305</v>
      </c>
      <c r="C77" s="45" t="s">
        <v>103</v>
      </c>
      <c r="D77" s="70">
        <v>3</v>
      </c>
      <c r="E77" s="70"/>
      <c r="F77" s="70">
        <v>3</v>
      </c>
    </row>
    <row r="78" spans="1:6" x14ac:dyDescent="0.25">
      <c r="A78" s="61"/>
      <c r="B78" s="61"/>
      <c r="C78" s="45" t="s">
        <v>478</v>
      </c>
      <c r="D78" s="70">
        <v>1</v>
      </c>
      <c r="E78" s="70"/>
      <c r="F78" s="70">
        <v>1</v>
      </c>
    </row>
    <row r="79" spans="1:6" x14ac:dyDescent="0.25">
      <c r="A79" s="61"/>
      <c r="B79" s="66" t="s">
        <v>1424</v>
      </c>
      <c r="C79" s="67"/>
      <c r="D79" s="71">
        <v>4</v>
      </c>
      <c r="E79" s="71"/>
      <c r="F79" s="71">
        <v>4</v>
      </c>
    </row>
    <row r="80" spans="1:6" x14ac:dyDescent="0.25">
      <c r="A80" s="61"/>
      <c r="B80" s="65" t="s">
        <v>1315</v>
      </c>
      <c r="C80" s="45" t="s">
        <v>103</v>
      </c>
      <c r="D80" s="70">
        <v>2</v>
      </c>
      <c r="E80" s="70"/>
      <c r="F80" s="70">
        <v>2</v>
      </c>
    </row>
    <row r="81" spans="1:6" x14ac:dyDescent="0.25">
      <c r="A81" s="61"/>
      <c r="B81" s="61"/>
      <c r="C81" s="45" t="s">
        <v>459</v>
      </c>
      <c r="D81" s="70">
        <v>1</v>
      </c>
      <c r="E81" s="70"/>
      <c r="F81" s="70">
        <v>1</v>
      </c>
    </row>
    <row r="82" spans="1:6" x14ac:dyDescent="0.25">
      <c r="A82" s="61"/>
      <c r="B82" s="66" t="s">
        <v>1425</v>
      </c>
      <c r="C82" s="67"/>
      <c r="D82" s="71">
        <v>3</v>
      </c>
      <c r="E82" s="71"/>
      <c r="F82" s="71">
        <v>3</v>
      </c>
    </row>
    <row r="83" spans="1:6" x14ac:dyDescent="0.25">
      <c r="A83" s="65" t="s">
        <v>1426</v>
      </c>
      <c r="B83" s="61"/>
      <c r="C83" s="61"/>
      <c r="D83" s="70">
        <v>20</v>
      </c>
      <c r="E83" s="70">
        <v>5</v>
      </c>
      <c r="F83" s="70">
        <v>25</v>
      </c>
    </row>
    <row r="84" spans="1:6" x14ac:dyDescent="0.25">
      <c r="A84" s="65" t="s">
        <v>116</v>
      </c>
      <c r="B84" s="65" t="s">
        <v>1304</v>
      </c>
      <c r="C84" s="45" t="s">
        <v>1096</v>
      </c>
      <c r="D84" s="70">
        <v>1</v>
      </c>
      <c r="E84" s="70">
        <v>2</v>
      </c>
      <c r="F84" s="70">
        <v>3</v>
      </c>
    </row>
    <row r="85" spans="1:6" x14ac:dyDescent="0.25">
      <c r="A85" s="61"/>
      <c r="B85" s="61"/>
      <c r="C85" s="45" t="s">
        <v>103</v>
      </c>
      <c r="D85" s="70">
        <v>1</v>
      </c>
      <c r="E85" s="70"/>
      <c r="F85" s="70">
        <v>1</v>
      </c>
    </row>
    <row r="86" spans="1:6" x14ac:dyDescent="0.25">
      <c r="A86" s="61"/>
      <c r="B86" s="66" t="s">
        <v>1445</v>
      </c>
      <c r="C86" s="67"/>
      <c r="D86" s="71">
        <v>2</v>
      </c>
      <c r="E86" s="71">
        <v>2</v>
      </c>
      <c r="F86" s="71">
        <v>4</v>
      </c>
    </row>
    <row r="87" spans="1:6" x14ac:dyDescent="0.25">
      <c r="A87" s="61"/>
      <c r="B87" s="45" t="s">
        <v>1354</v>
      </c>
      <c r="C87" s="45" t="s">
        <v>132</v>
      </c>
      <c r="D87" s="70"/>
      <c r="E87" s="70">
        <v>1</v>
      </c>
      <c r="F87" s="70">
        <v>1</v>
      </c>
    </row>
    <row r="88" spans="1:6" x14ac:dyDescent="0.25">
      <c r="A88" s="61"/>
      <c r="B88" s="66" t="s">
        <v>1446</v>
      </c>
      <c r="C88" s="67"/>
      <c r="D88" s="71"/>
      <c r="E88" s="71">
        <v>1</v>
      </c>
      <c r="F88" s="71">
        <v>1</v>
      </c>
    </row>
    <row r="89" spans="1:6" x14ac:dyDescent="0.25">
      <c r="A89" s="61"/>
      <c r="B89" s="45" t="s">
        <v>1370</v>
      </c>
      <c r="C89" s="45" t="s">
        <v>482</v>
      </c>
      <c r="D89" s="70"/>
      <c r="E89" s="70">
        <v>1</v>
      </c>
      <c r="F89" s="70">
        <v>1</v>
      </c>
    </row>
    <row r="90" spans="1:6" x14ac:dyDescent="0.25">
      <c r="A90" s="61"/>
      <c r="B90" s="66" t="s">
        <v>1447</v>
      </c>
      <c r="C90" s="67"/>
      <c r="D90" s="71"/>
      <c r="E90" s="71">
        <v>1</v>
      </c>
      <c r="F90" s="71">
        <v>1</v>
      </c>
    </row>
    <row r="91" spans="1:6" x14ac:dyDescent="0.25">
      <c r="A91" s="61"/>
      <c r="B91" s="65" t="s">
        <v>1388</v>
      </c>
      <c r="C91" s="45" t="s">
        <v>457</v>
      </c>
      <c r="D91" s="70"/>
      <c r="E91" s="70">
        <v>1</v>
      </c>
      <c r="F91" s="70">
        <v>1</v>
      </c>
    </row>
    <row r="92" spans="1:6" x14ac:dyDescent="0.25">
      <c r="A92" s="61"/>
      <c r="B92" s="61"/>
      <c r="C92" s="45" t="s">
        <v>132</v>
      </c>
      <c r="D92" s="70">
        <v>1</v>
      </c>
      <c r="E92" s="70"/>
      <c r="F92" s="70">
        <v>1</v>
      </c>
    </row>
    <row r="93" spans="1:6" x14ac:dyDescent="0.25">
      <c r="A93" s="61"/>
      <c r="B93" s="66" t="s">
        <v>1448</v>
      </c>
      <c r="C93" s="67"/>
      <c r="D93" s="71">
        <v>1</v>
      </c>
      <c r="E93" s="71">
        <v>1</v>
      </c>
      <c r="F93" s="71">
        <v>2</v>
      </c>
    </row>
    <row r="94" spans="1:6" x14ac:dyDescent="0.25">
      <c r="A94" s="61"/>
      <c r="B94" s="65" t="s">
        <v>1352</v>
      </c>
      <c r="C94" s="45" t="s">
        <v>1096</v>
      </c>
      <c r="D94" s="70">
        <v>2</v>
      </c>
      <c r="E94" s="70"/>
      <c r="F94" s="70">
        <v>2</v>
      </c>
    </row>
    <row r="95" spans="1:6" x14ac:dyDescent="0.25">
      <c r="A95" s="61"/>
      <c r="B95" s="61"/>
      <c r="C95" s="45" t="s">
        <v>482</v>
      </c>
      <c r="D95" s="70">
        <v>1</v>
      </c>
      <c r="E95" s="70"/>
      <c r="F95" s="70">
        <v>1</v>
      </c>
    </row>
    <row r="96" spans="1:6" x14ac:dyDescent="0.25">
      <c r="A96" s="61"/>
      <c r="B96" s="66" t="s">
        <v>1449</v>
      </c>
      <c r="C96" s="67"/>
      <c r="D96" s="71">
        <v>3</v>
      </c>
      <c r="E96" s="71"/>
      <c r="F96" s="71">
        <v>3</v>
      </c>
    </row>
    <row r="97" spans="1:6" x14ac:dyDescent="0.25">
      <c r="A97" s="61"/>
      <c r="B97" s="45" t="s">
        <v>1275</v>
      </c>
      <c r="C97" s="45" t="s">
        <v>482</v>
      </c>
      <c r="D97" s="70">
        <v>1</v>
      </c>
      <c r="E97" s="70"/>
      <c r="F97" s="70">
        <v>1</v>
      </c>
    </row>
    <row r="98" spans="1:6" x14ac:dyDescent="0.25">
      <c r="A98" s="61"/>
      <c r="B98" s="66" t="s">
        <v>1450</v>
      </c>
      <c r="C98" s="67"/>
      <c r="D98" s="71">
        <v>1</v>
      </c>
      <c r="E98" s="71"/>
      <c r="F98" s="71">
        <v>1</v>
      </c>
    </row>
    <row r="99" spans="1:6" x14ac:dyDescent="0.25">
      <c r="A99" s="61"/>
      <c r="B99" s="45" t="s">
        <v>1390</v>
      </c>
      <c r="C99" s="45" t="s">
        <v>482</v>
      </c>
      <c r="D99" s="70">
        <v>2</v>
      </c>
      <c r="E99" s="70"/>
      <c r="F99" s="70">
        <v>2</v>
      </c>
    </row>
    <row r="100" spans="1:6" x14ac:dyDescent="0.25">
      <c r="A100" s="61"/>
      <c r="B100" s="66" t="s">
        <v>1451</v>
      </c>
      <c r="C100" s="67"/>
      <c r="D100" s="71">
        <v>2</v>
      </c>
      <c r="E100" s="71"/>
      <c r="F100" s="71">
        <v>2</v>
      </c>
    </row>
    <row r="101" spans="1:6" x14ac:dyDescent="0.25">
      <c r="A101" s="61"/>
      <c r="B101" s="45" t="s">
        <v>1402</v>
      </c>
      <c r="C101" s="45" t="s">
        <v>482</v>
      </c>
      <c r="D101" s="70">
        <v>1</v>
      </c>
      <c r="E101" s="70"/>
      <c r="F101" s="70">
        <v>1</v>
      </c>
    </row>
    <row r="102" spans="1:6" x14ac:dyDescent="0.25">
      <c r="A102" s="61"/>
      <c r="B102" s="66" t="s">
        <v>1452</v>
      </c>
      <c r="C102" s="67"/>
      <c r="D102" s="71">
        <v>1</v>
      </c>
      <c r="E102" s="71"/>
      <c r="F102" s="71">
        <v>1</v>
      </c>
    </row>
    <row r="103" spans="1:6" x14ac:dyDescent="0.25">
      <c r="A103" s="61"/>
      <c r="B103" s="45" t="s">
        <v>1247</v>
      </c>
      <c r="C103" s="45" t="s">
        <v>132</v>
      </c>
      <c r="D103" s="70">
        <v>2</v>
      </c>
      <c r="E103" s="70"/>
      <c r="F103" s="70">
        <v>2</v>
      </c>
    </row>
    <row r="104" spans="1:6" x14ac:dyDescent="0.25">
      <c r="A104" s="61"/>
      <c r="B104" s="66" t="s">
        <v>1453</v>
      </c>
      <c r="C104" s="67"/>
      <c r="D104" s="71">
        <v>2</v>
      </c>
      <c r="E104" s="71"/>
      <c r="F104" s="71">
        <v>2</v>
      </c>
    </row>
    <row r="105" spans="1:6" x14ac:dyDescent="0.25">
      <c r="A105" s="61"/>
      <c r="B105" s="45" t="s">
        <v>1372</v>
      </c>
      <c r="C105" s="45" t="s">
        <v>482</v>
      </c>
      <c r="D105" s="70">
        <v>2</v>
      </c>
      <c r="E105" s="70"/>
      <c r="F105" s="70">
        <v>2</v>
      </c>
    </row>
    <row r="106" spans="1:6" x14ac:dyDescent="0.25">
      <c r="A106" s="61"/>
      <c r="B106" s="66" t="s">
        <v>1454</v>
      </c>
      <c r="C106" s="67"/>
      <c r="D106" s="71">
        <v>2</v>
      </c>
      <c r="E106" s="71"/>
      <c r="F106" s="71">
        <v>2</v>
      </c>
    </row>
    <row r="107" spans="1:6" x14ac:dyDescent="0.25">
      <c r="A107" s="61"/>
      <c r="B107" s="45" t="s">
        <v>1279</v>
      </c>
      <c r="C107" s="45" t="s">
        <v>482</v>
      </c>
      <c r="D107" s="70">
        <v>1</v>
      </c>
      <c r="E107" s="70"/>
      <c r="F107" s="70">
        <v>1</v>
      </c>
    </row>
    <row r="108" spans="1:6" x14ac:dyDescent="0.25">
      <c r="A108" s="61"/>
      <c r="B108" s="66" t="s">
        <v>1455</v>
      </c>
      <c r="C108" s="67"/>
      <c r="D108" s="71">
        <v>1</v>
      </c>
      <c r="E108" s="71"/>
      <c r="F108" s="71">
        <v>1</v>
      </c>
    </row>
    <row r="109" spans="1:6" x14ac:dyDescent="0.25">
      <c r="A109" s="61"/>
      <c r="B109" s="45" t="s">
        <v>1385</v>
      </c>
      <c r="C109" s="45" t="s">
        <v>1096</v>
      </c>
      <c r="D109" s="70">
        <v>1</v>
      </c>
      <c r="E109" s="70"/>
      <c r="F109" s="70">
        <v>1</v>
      </c>
    </row>
    <row r="110" spans="1:6" x14ac:dyDescent="0.25">
      <c r="A110" s="61"/>
      <c r="B110" s="66" t="s">
        <v>1456</v>
      </c>
      <c r="C110" s="67"/>
      <c r="D110" s="71">
        <v>1</v>
      </c>
      <c r="E110" s="71"/>
      <c r="F110" s="71">
        <v>1</v>
      </c>
    </row>
    <row r="111" spans="1:6" x14ac:dyDescent="0.25">
      <c r="A111" s="61"/>
      <c r="B111" s="45" t="s">
        <v>1391</v>
      </c>
      <c r="C111" s="45" t="s">
        <v>1096</v>
      </c>
      <c r="D111" s="70">
        <v>1</v>
      </c>
      <c r="E111" s="70"/>
      <c r="F111" s="70">
        <v>1</v>
      </c>
    </row>
    <row r="112" spans="1:6" x14ac:dyDescent="0.25">
      <c r="A112" s="61"/>
      <c r="B112" s="66" t="s">
        <v>1457</v>
      </c>
      <c r="C112" s="67"/>
      <c r="D112" s="71">
        <v>1</v>
      </c>
      <c r="E112" s="71"/>
      <c r="F112" s="71">
        <v>1</v>
      </c>
    </row>
    <row r="113" spans="1:6" x14ac:dyDescent="0.25">
      <c r="A113" s="61"/>
      <c r="B113" s="45" t="s">
        <v>1380</v>
      </c>
      <c r="C113" s="45" t="s">
        <v>482</v>
      </c>
      <c r="D113" s="70">
        <v>1</v>
      </c>
      <c r="E113" s="70"/>
      <c r="F113" s="70">
        <v>1</v>
      </c>
    </row>
    <row r="114" spans="1:6" x14ac:dyDescent="0.25">
      <c r="A114" s="61"/>
      <c r="B114" s="66" t="s">
        <v>1458</v>
      </c>
      <c r="C114" s="67"/>
      <c r="D114" s="71">
        <v>1</v>
      </c>
      <c r="E114" s="71"/>
      <c r="F114" s="71">
        <v>1</v>
      </c>
    </row>
    <row r="115" spans="1:6" x14ac:dyDescent="0.25">
      <c r="A115" s="65" t="s">
        <v>1459</v>
      </c>
      <c r="B115" s="61"/>
      <c r="C115" s="61"/>
      <c r="D115" s="70">
        <v>18</v>
      </c>
      <c r="E115" s="70">
        <v>5</v>
      </c>
      <c r="F115" s="70">
        <v>23</v>
      </c>
    </row>
    <row r="116" spans="1:6" x14ac:dyDescent="0.25">
      <c r="A116" s="65" t="s">
        <v>174</v>
      </c>
      <c r="B116" s="65" t="s">
        <v>1322</v>
      </c>
      <c r="C116" s="45" t="s">
        <v>482</v>
      </c>
      <c r="D116" s="70">
        <v>1</v>
      </c>
      <c r="E116" s="70">
        <v>2</v>
      </c>
      <c r="F116" s="70">
        <v>3</v>
      </c>
    </row>
    <row r="117" spans="1:6" x14ac:dyDescent="0.25">
      <c r="A117" s="61"/>
      <c r="B117" s="61"/>
      <c r="C117" s="45" t="s">
        <v>103</v>
      </c>
      <c r="D117" s="70">
        <v>1</v>
      </c>
      <c r="E117" s="70"/>
      <c r="F117" s="70">
        <v>1</v>
      </c>
    </row>
    <row r="118" spans="1:6" x14ac:dyDescent="0.25">
      <c r="A118" s="61"/>
      <c r="B118" s="61"/>
      <c r="C118" s="45" t="s">
        <v>480</v>
      </c>
      <c r="D118" s="70"/>
      <c r="E118" s="70">
        <v>1</v>
      </c>
      <c r="F118" s="70">
        <v>1</v>
      </c>
    </row>
    <row r="119" spans="1:6" x14ac:dyDescent="0.25">
      <c r="A119" s="61"/>
      <c r="B119" s="66" t="s">
        <v>1481</v>
      </c>
      <c r="C119" s="67"/>
      <c r="D119" s="71">
        <v>2</v>
      </c>
      <c r="E119" s="71">
        <v>3</v>
      </c>
      <c r="F119" s="71">
        <v>5</v>
      </c>
    </row>
    <row r="120" spans="1:6" x14ac:dyDescent="0.25">
      <c r="A120" s="65" t="s">
        <v>1482</v>
      </c>
      <c r="B120" s="61"/>
      <c r="C120" s="61"/>
      <c r="D120" s="70">
        <v>2</v>
      </c>
      <c r="E120" s="70">
        <v>3</v>
      </c>
      <c r="F120" s="70">
        <v>5</v>
      </c>
    </row>
    <row r="121" spans="1:6" x14ac:dyDescent="0.25">
      <c r="A121" s="65" t="s">
        <v>115</v>
      </c>
      <c r="B121" s="65" t="s">
        <v>1281</v>
      </c>
      <c r="C121" s="45" t="s">
        <v>480</v>
      </c>
      <c r="D121" s="70">
        <v>3</v>
      </c>
      <c r="E121" s="70">
        <v>2</v>
      </c>
      <c r="F121" s="70">
        <v>5</v>
      </c>
    </row>
    <row r="122" spans="1:6" x14ac:dyDescent="0.25">
      <c r="A122" s="61"/>
      <c r="B122" s="61"/>
      <c r="C122" s="45" t="s">
        <v>482</v>
      </c>
      <c r="D122" s="70"/>
      <c r="E122" s="70">
        <v>1</v>
      </c>
      <c r="F122" s="70">
        <v>1</v>
      </c>
    </row>
    <row r="123" spans="1:6" x14ac:dyDescent="0.25">
      <c r="A123" s="61"/>
      <c r="B123" s="66" t="s">
        <v>1492</v>
      </c>
      <c r="C123" s="67"/>
      <c r="D123" s="71">
        <v>3</v>
      </c>
      <c r="E123" s="71">
        <v>3</v>
      </c>
      <c r="F123" s="71">
        <v>6</v>
      </c>
    </row>
    <row r="124" spans="1:6" x14ac:dyDescent="0.25">
      <c r="A124" s="65" t="s">
        <v>1493</v>
      </c>
      <c r="B124" s="61"/>
      <c r="C124" s="61"/>
      <c r="D124" s="70">
        <v>3</v>
      </c>
      <c r="E124" s="70">
        <v>3</v>
      </c>
      <c r="F124" s="70">
        <v>6</v>
      </c>
    </row>
    <row r="125" spans="1:6" x14ac:dyDescent="0.25">
      <c r="A125" s="65" t="s">
        <v>136</v>
      </c>
      <c r="B125" s="45" t="s">
        <v>1336</v>
      </c>
      <c r="C125" s="45" t="s">
        <v>153</v>
      </c>
      <c r="D125" s="70">
        <v>2</v>
      </c>
      <c r="E125" s="70">
        <v>1</v>
      </c>
      <c r="F125" s="70">
        <v>3</v>
      </c>
    </row>
    <row r="126" spans="1:6" x14ac:dyDescent="0.25">
      <c r="A126" s="61"/>
      <c r="B126" s="66" t="s">
        <v>1483</v>
      </c>
      <c r="C126" s="67"/>
      <c r="D126" s="71">
        <v>2</v>
      </c>
      <c r="E126" s="71">
        <v>1</v>
      </c>
      <c r="F126" s="71">
        <v>3</v>
      </c>
    </row>
    <row r="127" spans="1:6" x14ac:dyDescent="0.25">
      <c r="A127" s="61"/>
      <c r="B127" s="45" t="s">
        <v>1368</v>
      </c>
      <c r="C127" s="45" t="s">
        <v>480</v>
      </c>
      <c r="D127" s="70"/>
      <c r="E127" s="70">
        <v>1</v>
      </c>
      <c r="F127" s="70">
        <v>1</v>
      </c>
    </row>
    <row r="128" spans="1:6" x14ac:dyDescent="0.25">
      <c r="A128" s="61"/>
      <c r="B128" s="66" t="s">
        <v>1484</v>
      </c>
      <c r="C128" s="67"/>
      <c r="D128" s="71"/>
      <c r="E128" s="71">
        <v>1</v>
      </c>
      <c r="F128" s="71">
        <v>1</v>
      </c>
    </row>
    <row r="129" spans="1:6" x14ac:dyDescent="0.25">
      <c r="A129" s="61"/>
      <c r="B129" s="45" t="s">
        <v>1327</v>
      </c>
      <c r="C129" s="45" t="s">
        <v>153</v>
      </c>
      <c r="D129" s="70">
        <v>6</v>
      </c>
      <c r="E129" s="70">
        <v>1</v>
      </c>
      <c r="F129" s="70">
        <v>7</v>
      </c>
    </row>
    <row r="130" spans="1:6" x14ac:dyDescent="0.25">
      <c r="A130" s="61"/>
      <c r="B130" s="66" t="s">
        <v>1485</v>
      </c>
      <c r="C130" s="67"/>
      <c r="D130" s="71">
        <v>6</v>
      </c>
      <c r="E130" s="71">
        <v>1</v>
      </c>
      <c r="F130" s="71">
        <v>7</v>
      </c>
    </row>
    <row r="131" spans="1:6" x14ac:dyDescent="0.25">
      <c r="A131" s="61"/>
      <c r="B131" s="45" t="s">
        <v>1334</v>
      </c>
      <c r="C131" s="45" t="s">
        <v>153</v>
      </c>
      <c r="D131" s="70">
        <v>14</v>
      </c>
      <c r="E131" s="70"/>
      <c r="F131" s="70">
        <v>14</v>
      </c>
    </row>
    <row r="132" spans="1:6" x14ac:dyDescent="0.25">
      <c r="A132" s="61"/>
      <c r="B132" s="66" t="s">
        <v>1486</v>
      </c>
      <c r="C132" s="67"/>
      <c r="D132" s="71">
        <v>14</v>
      </c>
      <c r="E132" s="71"/>
      <c r="F132" s="71">
        <v>14</v>
      </c>
    </row>
    <row r="133" spans="1:6" x14ac:dyDescent="0.25">
      <c r="A133" s="65" t="s">
        <v>1487</v>
      </c>
      <c r="B133" s="61"/>
      <c r="C133" s="61"/>
      <c r="D133" s="70">
        <v>22</v>
      </c>
      <c r="E133" s="70">
        <v>3</v>
      </c>
      <c r="F133" s="70">
        <v>25</v>
      </c>
    </row>
    <row r="134" spans="1:6" x14ac:dyDescent="0.25">
      <c r="A134" s="65" t="s">
        <v>162</v>
      </c>
      <c r="B134" s="65" t="s">
        <v>1313</v>
      </c>
      <c r="C134" s="45" t="s">
        <v>478</v>
      </c>
      <c r="D134" s="70">
        <v>3</v>
      </c>
      <c r="E134" s="70">
        <v>1</v>
      </c>
      <c r="F134" s="70">
        <v>4</v>
      </c>
    </row>
    <row r="135" spans="1:6" x14ac:dyDescent="0.25">
      <c r="A135" s="61"/>
      <c r="B135" s="61"/>
      <c r="C135" s="45" t="s">
        <v>459</v>
      </c>
      <c r="D135" s="70"/>
      <c r="E135" s="70">
        <v>1</v>
      </c>
      <c r="F135" s="70">
        <v>1</v>
      </c>
    </row>
    <row r="136" spans="1:6" x14ac:dyDescent="0.25">
      <c r="A136" s="61"/>
      <c r="B136" s="66" t="s">
        <v>1468</v>
      </c>
      <c r="C136" s="67"/>
      <c r="D136" s="71">
        <v>3</v>
      </c>
      <c r="E136" s="71">
        <v>2</v>
      </c>
      <c r="F136" s="71">
        <v>5</v>
      </c>
    </row>
    <row r="137" spans="1:6" x14ac:dyDescent="0.25">
      <c r="A137" s="61"/>
      <c r="B137" s="45" t="s">
        <v>1316</v>
      </c>
      <c r="C137" s="45" t="s">
        <v>459</v>
      </c>
      <c r="D137" s="70"/>
      <c r="E137" s="70">
        <v>1</v>
      </c>
      <c r="F137" s="70">
        <v>1</v>
      </c>
    </row>
    <row r="138" spans="1:6" x14ac:dyDescent="0.25">
      <c r="A138" s="61"/>
      <c r="B138" s="66" t="s">
        <v>1469</v>
      </c>
      <c r="C138" s="67"/>
      <c r="D138" s="71"/>
      <c r="E138" s="71">
        <v>1</v>
      </c>
      <c r="F138" s="71">
        <v>1</v>
      </c>
    </row>
    <row r="139" spans="1:6" x14ac:dyDescent="0.25">
      <c r="A139" s="61"/>
      <c r="B139" s="65" t="s">
        <v>1257</v>
      </c>
      <c r="C139" s="45" t="s">
        <v>459</v>
      </c>
      <c r="D139" s="70">
        <v>4</v>
      </c>
      <c r="E139" s="70"/>
      <c r="F139" s="70">
        <v>4</v>
      </c>
    </row>
    <row r="140" spans="1:6" x14ac:dyDescent="0.25">
      <c r="A140" s="61"/>
      <c r="B140" s="61"/>
      <c r="C140" s="45" t="s">
        <v>103</v>
      </c>
      <c r="D140" s="70">
        <v>3</v>
      </c>
      <c r="E140" s="70"/>
      <c r="F140" s="70">
        <v>3</v>
      </c>
    </row>
    <row r="141" spans="1:6" x14ac:dyDescent="0.25">
      <c r="A141" s="61"/>
      <c r="B141" s="66" t="s">
        <v>1470</v>
      </c>
      <c r="C141" s="67"/>
      <c r="D141" s="71">
        <v>7</v>
      </c>
      <c r="E141" s="71"/>
      <c r="F141" s="71">
        <v>7</v>
      </c>
    </row>
    <row r="142" spans="1:6" x14ac:dyDescent="0.25">
      <c r="A142" s="61"/>
      <c r="B142" s="45" t="s">
        <v>1301</v>
      </c>
      <c r="C142" s="45" t="s">
        <v>103</v>
      </c>
      <c r="D142" s="70">
        <v>1</v>
      </c>
      <c r="E142" s="70"/>
      <c r="F142" s="70">
        <v>1</v>
      </c>
    </row>
    <row r="143" spans="1:6" x14ac:dyDescent="0.25">
      <c r="A143" s="61"/>
      <c r="B143" s="66" t="s">
        <v>1471</v>
      </c>
      <c r="C143" s="67"/>
      <c r="D143" s="71">
        <v>1</v>
      </c>
      <c r="E143" s="71"/>
      <c r="F143" s="71">
        <v>1</v>
      </c>
    </row>
    <row r="144" spans="1:6" x14ac:dyDescent="0.25">
      <c r="A144" s="61"/>
      <c r="B144" s="45" t="s">
        <v>1307</v>
      </c>
      <c r="C144" s="45" t="s">
        <v>103</v>
      </c>
      <c r="D144" s="70">
        <v>1</v>
      </c>
      <c r="E144" s="70"/>
      <c r="F144" s="70">
        <v>1</v>
      </c>
    </row>
    <row r="145" spans="1:6" x14ac:dyDescent="0.25">
      <c r="A145" s="61"/>
      <c r="B145" s="66" t="s">
        <v>1472</v>
      </c>
      <c r="C145" s="67"/>
      <c r="D145" s="71">
        <v>1</v>
      </c>
      <c r="E145" s="71"/>
      <c r="F145" s="71">
        <v>1</v>
      </c>
    </row>
    <row r="146" spans="1:6" x14ac:dyDescent="0.25">
      <c r="A146" s="65" t="s">
        <v>1473</v>
      </c>
      <c r="B146" s="61"/>
      <c r="C146" s="61"/>
      <c r="D146" s="70">
        <v>12</v>
      </c>
      <c r="E146" s="70">
        <v>3</v>
      </c>
      <c r="F146" s="70">
        <v>15</v>
      </c>
    </row>
    <row r="147" spans="1:6" x14ac:dyDescent="0.25">
      <c r="A147" s="65" t="s">
        <v>1238</v>
      </c>
      <c r="B147" s="45" t="s">
        <v>1238</v>
      </c>
      <c r="C147" s="45" t="s">
        <v>480</v>
      </c>
      <c r="D147" s="70">
        <v>4</v>
      </c>
      <c r="E147" s="70">
        <v>2</v>
      </c>
      <c r="F147" s="70">
        <v>6</v>
      </c>
    </row>
    <row r="148" spans="1:6" x14ac:dyDescent="0.25">
      <c r="A148" s="61"/>
      <c r="B148" s="66" t="s">
        <v>1418</v>
      </c>
      <c r="C148" s="67"/>
      <c r="D148" s="71">
        <v>4</v>
      </c>
      <c r="E148" s="71">
        <v>2</v>
      </c>
      <c r="F148" s="71">
        <v>6</v>
      </c>
    </row>
    <row r="149" spans="1:6" x14ac:dyDescent="0.25">
      <c r="A149" s="65" t="s">
        <v>1418</v>
      </c>
      <c r="B149" s="61"/>
      <c r="C149" s="61"/>
      <c r="D149" s="70">
        <v>4</v>
      </c>
      <c r="E149" s="70">
        <v>2</v>
      </c>
      <c r="F149" s="70">
        <v>6</v>
      </c>
    </row>
    <row r="150" spans="1:6" x14ac:dyDescent="0.25">
      <c r="A150" s="65" t="s">
        <v>144</v>
      </c>
      <c r="B150" s="45" t="s">
        <v>1360</v>
      </c>
      <c r="C150" s="45" t="s">
        <v>459</v>
      </c>
      <c r="D150" s="70"/>
      <c r="E150" s="70">
        <v>2</v>
      </c>
      <c r="F150" s="70">
        <v>2</v>
      </c>
    </row>
    <row r="151" spans="1:6" x14ac:dyDescent="0.25">
      <c r="A151" s="61"/>
      <c r="B151" s="66" t="s">
        <v>1517</v>
      </c>
      <c r="C151" s="67"/>
      <c r="D151" s="71"/>
      <c r="E151" s="71">
        <v>2</v>
      </c>
      <c r="F151" s="71">
        <v>2</v>
      </c>
    </row>
    <row r="152" spans="1:6" x14ac:dyDescent="0.25">
      <c r="A152" s="61"/>
      <c r="B152" s="65" t="s">
        <v>1363</v>
      </c>
      <c r="C152" s="45" t="s">
        <v>480</v>
      </c>
      <c r="D152" s="70">
        <v>1</v>
      </c>
      <c r="E152" s="70"/>
      <c r="F152" s="70">
        <v>1</v>
      </c>
    </row>
    <row r="153" spans="1:6" x14ac:dyDescent="0.25">
      <c r="A153" s="61"/>
      <c r="B153" s="61"/>
      <c r="C153" s="45" t="s">
        <v>132</v>
      </c>
      <c r="D153" s="70">
        <v>1</v>
      </c>
      <c r="E153" s="70"/>
      <c r="F153" s="70">
        <v>1</v>
      </c>
    </row>
    <row r="154" spans="1:6" x14ac:dyDescent="0.25">
      <c r="A154" s="61"/>
      <c r="B154" s="66" t="s">
        <v>1518</v>
      </c>
      <c r="C154" s="67"/>
      <c r="D154" s="71">
        <v>2</v>
      </c>
      <c r="E154" s="71"/>
      <c r="F154" s="71">
        <v>2</v>
      </c>
    </row>
    <row r="155" spans="1:6" x14ac:dyDescent="0.25">
      <c r="A155" s="61"/>
      <c r="B155" s="45" t="s">
        <v>1396</v>
      </c>
      <c r="C155" s="45" t="s">
        <v>99</v>
      </c>
      <c r="D155" s="70">
        <v>1</v>
      </c>
      <c r="E155" s="70"/>
      <c r="F155" s="70">
        <v>1</v>
      </c>
    </row>
    <row r="156" spans="1:6" x14ac:dyDescent="0.25">
      <c r="A156" s="61"/>
      <c r="B156" s="66" t="s">
        <v>1519</v>
      </c>
      <c r="C156" s="67"/>
      <c r="D156" s="71">
        <v>1</v>
      </c>
      <c r="E156" s="71"/>
      <c r="F156" s="71">
        <v>1</v>
      </c>
    </row>
    <row r="157" spans="1:6" x14ac:dyDescent="0.25">
      <c r="A157" s="65" t="s">
        <v>1520</v>
      </c>
      <c r="B157" s="61"/>
      <c r="C157" s="61"/>
      <c r="D157" s="70">
        <v>3</v>
      </c>
      <c r="E157" s="70">
        <v>2</v>
      </c>
      <c r="F157" s="70">
        <v>5</v>
      </c>
    </row>
    <row r="158" spans="1:6" x14ac:dyDescent="0.25">
      <c r="A158" s="65" t="s">
        <v>129</v>
      </c>
      <c r="B158" s="45" t="s">
        <v>1338</v>
      </c>
      <c r="C158" s="45" t="s">
        <v>478</v>
      </c>
      <c r="D158" s="70">
        <v>2</v>
      </c>
      <c r="E158" s="70">
        <v>2</v>
      </c>
      <c r="F158" s="70">
        <v>4</v>
      </c>
    </row>
    <row r="159" spans="1:6" x14ac:dyDescent="0.25">
      <c r="A159" s="61"/>
      <c r="B159" s="66" t="s">
        <v>1475</v>
      </c>
      <c r="C159" s="67"/>
      <c r="D159" s="71">
        <v>2</v>
      </c>
      <c r="E159" s="71">
        <v>2</v>
      </c>
      <c r="F159" s="71">
        <v>4</v>
      </c>
    </row>
    <row r="160" spans="1:6" x14ac:dyDescent="0.25">
      <c r="A160" s="61"/>
      <c r="B160" s="45" t="s">
        <v>1291</v>
      </c>
      <c r="C160" s="45" t="s">
        <v>478</v>
      </c>
      <c r="D160" s="70">
        <v>1</v>
      </c>
      <c r="E160" s="70"/>
      <c r="F160" s="70">
        <v>1</v>
      </c>
    </row>
    <row r="161" spans="1:6" x14ac:dyDescent="0.25">
      <c r="A161" s="61"/>
      <c r="B161" s="66" t="s">
        <v>1476</v>
      </c>
      <c r="C161" s="67"/>
      <c r="D161" s="71">
        <v>1</v>
      </c>
      <c r="E161" s="71"/>
      <c r="F161" s="71">
        <v>1</v>
      </c>
    </row>
    <row r="162" spans="1:6" x14ac:dyDescent="0.25">
      <c r="A162" s="61"/>
      <c r="B162" s="45" t="s">
        <v>1330</v>
      </c>
      <c r="C162" s="45" t="s">
        <v>478</v>
      </c>
      <c r="D162" s="70">
        <v>3</v>
      </c>
      <c r="E162" s="70"/>
      <c r="F162" s="70">
        <v>3</v>
      </c>
    </row>
    <row r="163" spans="1:6" x14ac:dyDescent="0.25">
      <c r="A163" s="61"/>
      <c r="B163" s="66" t="s">
        <v>1477</v>
      </c>
      <c r="C163" s="67"/>
      <c r="D163" s="71">
        <v>3</v>
      </c>
      <c r="E163" s="71"/>
      <c r="F163" s="71">
        <v>3</v>
      </c>
    </row>
    <row r="164" spans="1:6" x14ac:dyDescent="0.25">
      <c r="A164" s="65" t="s">
        <v>1478</v>
      </c>
      <c r="B164" s="61"/>
      <c r="C164" s="61"/>
      <c r="D164" s="70">
        <v>6</v>
      </c>
      <c r="E164" s="70">
        <v>2</v>
      </c>
      <c r="F164" s="70">
        <v>8</v>
      </c>
    </row>
    <row r="165" spans="1:6" x14ac:dyDescent="0.25">
      <c r="A165" s="65" t="s">
        <v>106</v>
      </c>
      <c r="B165" s="45" t="s">
        <v>1395</v>
      </c>
      <c r="C165" s="45" t="s">
        <v>99</v>
      </c>
      <c r="D165" s="70">
        <v>1</v>
      </c>
      <c r="E165" s="70">
        <v>1</v>
      </c>
      <c r="F165" s="70">
        <v>2</v>
      </c>
    </row>
    <row r="166" spans="1:6" x14ac:dyDescent="0.25">
      <c r="A166" s="61"/>
      <c r="B166" s="66" t="s">
        <v>1505</v>
      </c>
      <c r="C166" s="67"/>
      <c r="D166" s="71">
        <v>1</v>
      </c>
      <c r="E166" s="71">
        <v>1</v>
      </c>
      <c r="F166" s="71">
        <v>2</v>
      </c>
    </row>
    <row r="167" spans="1:6" x14ac:dyDescent="0.25">
      <c r="A167" s="61"/>
      <c r="B167" s="45" t="s">
        <v>1348</v>
      </c>
      <c r="C167" s="45" t="s">
        <v>99</v>
      </c>
      <c r="D167" s="70">
        <v>1</v>
      </c>
      <c r="E167" s="70"/>
      <c r="F167" s="70">
        <v>1</v>
      </c>
    </row>
    <row r="168" spans="1:6" x14ac:dyDescent="0.25">
      <c r="A168" s="61"/>
      <c r="B168" s="66" t="s">
        <v>1506</v>
      </c>
      <c r="C168" s="67"/>
      <c r="D168" s="71">
        <v>1</v>
      </c>
      <c r="E168" s="71"/>
      <c r="F168" s="71">
        <v>1</v>
      </c>
    </row>
    <row r="169" spans="1:6" x14ac:dyDescent="0.25">
      <c r="A169" s="61"/>
      <c r="B169" s="45" t="s">
        <v>1378</v>
      </c>
      <c r="C169" s="45" t="s">
        <v>99</v>
      </c>
      <c r="D169" s="70">
        <v>7</v>
      </c>
      <c r="E169" s="70"/>
      <c r="F169" s="70">
        <v>7</v>
      </c>
    </row>
    <row r="170" spans="1:6" x14ac:dyDescent="0.25">
      <c r="A170" s="61"/>
      <c r="B170" s="66" t="s">
        <v>1507</v>
      </c>
      <c r="C170" s="67"/>
      <c r="D170" s="71">
        <v>7</v>
      </c>
      <c r="E170" s="71"/>
      <c r="F170" s="71">
        <v>7</v>
      </c>
    </row>
    <row r="171" spans="1:6" x14ac:dyDescent="0.25">
      <c r="A171" s="61"/>
      <c r="B171" s="45" t="s">
        <v>1346</v>
      </c>
      <c r="C171" s="45" t="s">
        <v>99</v>
      </c>
      <c r="D171" s="70">
        <v>2</v>
      </c>
      <c r="E171" s="70"/>
      <c r="F171" s="70">
        <v>2</v>
      </c>
    </row>
    <row r="172" spans="1:6" x14ac:dyDescent="0.25">
      <c r="A172" s="61"/>
      <c r="B172" s="66" t="s">
        <v>1508</v>
      </c>
      <c r="C172" s="67"/>
      <c r="D172" s="71">
        <v>2</v>
      </c>
      <c r="E172" s="71"/>
      <c r="F172" s="71">
        <v>2</v>
      </c>
    </row>
    <row r="173" spans="1:6" x14ac:dyDescent="0.25">
      <c r="A173" s="61"/>
      <c r="B173" s="45" t="s">
        <v>1403</v>
      </c>
      <c r="C173" s="45" t="s">
        <v>99</v>
      </c>
      <c r="D173" s="70">
        <v>3</v>
      </c>
      <c r="E173" s="70"/>
      <c r="F173" s="70">
        <v>3</v>
      </c>
    </row>
    <row r="174" spans="1:6" x14ac:dyDescent="0.25">
      <c r="A174" s="61"/>
      <c r="B174" s="66" t="s">
        <v>1509</v>
      </c>
      <c r="C174" s="67"/>
      <c r="D174" s="71">
        <v>3</v>
      </c>
      <c r="E174" s="71"/>
      <c r="F174" s="71">
        <v>3</v>
      </c>
    </row>
    <row r="175" spans="1:6" x14ac:dyDescent="0.25">
      <c r="A175" s="65" t="s">
        <v>1510</v>
      </c>
      <c r="B175" s="61"/>
      <c r="C175" s="61"/>
      <c r="D175" s="70">
        <v>14</v>
      </c>
      <c r="E175" s="70">
        <v>1</v>
      </c>
      <c r="F175" s="70">
        <v>15</v>
      </c>
    </row>
    <row r="176" spans="1:6" x14ac:dyDescent="0.25">
      <c r="A176" s="65" t="s">
        <v>123</v>
      </c>
      <c r="B176" s="65" t="s">
        <v>1276</v>
      </c>
      <c r="C176" s="45" t="s">
        <v>457</v>
      </c>
      <c r="D176" s="70">
        <v>1</v>
      </c>
      <c r="E176" s="70">
        <v>1</v>
      </c>
      <c r="F176" s="70">
        <v>2</v>
      </c>
    </row>
    <row r="177" spans="1:6" x14ac:dyDescent="0.25">
      <c r="A177" s="61"/>
      <c r="B177" s="61"/>
      <c r="C177" s="45" t="s">
        <v>103</v>
      </c>
      <c r="D177" s="70">
        <v>1</v>
      </c>
      <c r="E177" s="70"/>
      <c r="F177" s="70">
        <v>1</v>
      </c>
    </row>
    <row r="178" spans="1:6" x14ac:dyDescent="0.25">
      <c r="A178" s="61"/>
      <c r="B178" s="66" t="s">
        <v>1427</v>
      </c>
      <c r="C178" s="67"/>
      <c r="D178" s="71">
        <v>2</v>
      </c>
      <c r="E178" s="71">
        <v>1</v>
      </c>
      <c r="F178" s="71">
        <v>3</v>
      </c>
    </row>
    <row r="179" spans="1:6" x14ac:dyDescent="0.25">
      <c r="A179" s="61"/>
      <c r="B179" s="45" t="s">
        <v>1382</v>
      </c>
      <c r="C179" s="45" t="s">
        <v>457</v>
      </c>
      <c r="D179" s="70">
        <v>1</v>
      </c>
      <c r="E179" s="70"/>
      <c r="F179" s="70">
        <v>1</v>
      </c>
    </row>
    <row r="180" spans="1:6" x14ac:dyDescent="0.25">
      <c r="A180" s="61"/>
      <c r="B180" s="66" t="s">
        <v>1428</v>
      </c>
      <c r="C180" s="67"/>
      <c r="D180" s="71">
        <v>1</v>
      </c>
      <c r="E180" s="71"/>
      <c r="F180" s="71">
        <v>1</v>
      </c>
    </row>
    <row r="181" spans="1:6" x14ac:dyDescent="0.25">
      <c r="A181" s="65" t="s">
        <v>1429</v>
      </c>
      <c r="B181" s="61"/>
      <c r="C181" s="61"/>
      <c r="D181" s="70">
        <v>3</v>
      </c>
      <c r="E181" s="70">
        <v>1</v>
      </c>
      <c r="F181" s="70">
        <v>4</v>
      </c>
    </row>
    <row r="182" spans="1:6" x14ac:dyDescent="0.25">
      <c r="A182" s="65" t="s">
        <v>143</v>
      </c>
      <c r="B182" s="45" t="s">
        <v>1290</v>
      </c>
      <c r="C182" s="45" t="s">
        <v>459</v>
      </c>
      <c r="D182" s="70"/>
      <c r="E182" s="70">
        <v>1</v>
      </c>
      <c r="F182" s="70">
        <v>1</v>
      </c>
    </row>
    <row r="183" spans="1:6" x14ac:dyDescent="0.25">
      <c r="A183" s="61"/>
      <c r="B183" s="66" t="s">
        <v>1512</v>
      </c>
      <c r="C183" s="67"/>
      <c r="D183" s="71"/>
      <c r="E183" s="71">
        <v>1</v>
      </c>
      <c r="F183" s="71">
        <v>1</v>
      </c>
    </row>
    <row r="184" spans="1:6" x14ac:dyDescent="0.25">
      <c r="A184" s="61"/>
      <c r="B184" s="45" t="s">
        <v>1365</v>
      </c>
      <c r="C184" s="45" t="s">
        <v>480</v>
      </c>
      <c r="D184" s="70">
        <v>1</v>
      </c>
      <c r="E184" s="70"/>
      <c r="F184" s="70">
        <v>1</v>
      </c>
    </row>
    <row r="185" spans="1:6" x14ac:dyDescent="0.25">
      <c r="A185" s="61"/>
      <c r="B185" s="66" t="s">
        <v>1513</v>
      </c>
      <c r="C185" s="67"/>
      <c r="D185" s="71">
        <v>1</v>
      </c>
      <c r="E185" s="71"/>
      <c r="F185" s="71">
        <v>1</v>
      </c>
    </row>
    <row r="186" spans="1:6" x14ac:dyDescent="0.25">
      <c r="A186" s="61"/>
      <c r="B186" s="45" t="s">
        <v>1317</v>
      </c>
      <c r="C186" s="45" t="s">
        <v>459</v>
      </c>
      <c r="D186" s="70">
        <v>1</v>
      </c>
      <c r="E186" s="70"/>
      <c r="F186" s="70">
        <v>1</v>
      </c>
    </row>
    <row r="187" spans="1:6" x14ac:dyDescent="0.25">
      <c r="A187" s="61"/>
      <c r="B187" s="66" t="s">
        <v>1514</v>
      </c>
      <c r="C187" s="67"/>
      <c r="D187" s="71">
        <v>1</v>
      </c>
      <c r="E187" s="71"/>
      <c r="F187" s="71">
        <v>1</v>
      </c>
    </row>
    <row r="188" spans="1:6" x14ac:dyDescent="0.25">
      <c r="A188" s="61"/>
      <c r="B188" s="45" t="s">
        <v>1398</v>
      </c>
      <c r="C188" s="45" t="s">
        <v>482</v>
      </c>
      <c r="D188" s="70">
        <v>1</v>
      </c>
      <c r="E188" s="70"/>
      <c r="F188" s="70">
        <v>1</v>
      </c>
    </row>
    <row r="189" spans="1:6" x14ac:dyDescent="0.25">
      <c r="A189" s="61"/>
      <c r="B189" s="66" t="s">
        <v>1515</v>
      </c>
      <c r="C189" s="67"/>
      <c r="D189" s="71">
        <v>1</v>
      </c>
      <c r="E189" s="71"/>
      <c r="F189" s="71">
        <v>1</v>
      </c>
    </row>
    <row r="190" spans="1:6" x14ac:dyDescent="0.25">
      <c r="A190" s="65" t="s">
        <v>1516</v>
      </c>
      <c r="B190" s="61"/>
      <c r="C190" s="61"/>
      <c r="D190" s="70">
        <v>3</v>
      </c>
      <c r="E190" s="70">
        <v>1</v>
      </c>
      <c r="F190" s="70">
        <v>4</v>
      </c>
    </row>
    <row r="191" spans="1:6" x14ac:dyDescent="0.25">
      <c r="A191" s="65" t="s">
        <v>173</v>
      </c>
      <c r="B191" s="65" t="s">
        <v>1375</v>
      </c>
      <c r="C191" s="45" t="s">
        <v>482</v>
      </c>
      <c r="D191" s="70">
        <v>1</v>
      </c>
      <c r="E191" s="70"/>
      <c r="F191" s="70">
        <v>1</v>
      </c>
    </row>
    <row r="192" spans="1:6" x14ac:dyDescent="0.25">
      <c r="A192" s="61"/>
      <c r="B192" s="61"/>
      <c r="C192" s="45" t="s">
        <v>1096</v>
      </c>
      <c r="D192" s="70"/>
      <c r="E192" s="70">
        <v>1</v>
      </c>
      <c r="F192" s="70">
        <v>1</v>
      </c>
    </row>
    <row r="193" spans="1:6" x14ac:dyDescent="0.25">
      <c r="A193" s="61"/>
      <c r="B193" s="61"/>
      <c r="C193" s="45" t="s">
        <v>457</v>
      </c>
      <c r="D193" s="70">
        <v>1</v>
      </c>
      <c r="E193" s="70"/>
      <c r="F193" s="70">
        <v>1</v>
      </c>
    </row>
    <row r="194" spans="1:6" x14ac:dyDescent="0.25">
      <c r="A194" s="61"/>
      <c r="B194" s="66" t="s">
        <v>1479</v>
      </c>
      <c r="C194" s="67"/>
      <c r="D194" s="71">
        <v>2</v>
      </c>
      <c r="E194" s="71">
        <v>1</v>
      </c>
      <c r="F194" s="71">
        <v>3</v>
      </c>
    </row>
    <row r="195" spans="1:6" x14ac:dyDescent="0.25">
      <c r="A195" s="65" t="s">
        <v>1480</v>
      </c>
      <c r="B195" s="61"/>
      <c r="C195" s="61"/>
      <c r="D195" s="70">
        <v>2</v>
      </c>
      <c r="E195" s="70">
        <v>1</v>
      </c>
      <c r="F195" s="70">
        <v>3</v>
      </c>
    </row>
    <row r="196" spans="1:6" x14ac:dyDescent="0.25">
      <c r="A196" s="65" t="s">
        <v>163</v>
      </c>
      <c r="B196" s="45" t="s">
        <v>1318</v>
      </c>
      <c r="C196" s="45" t="s">
        <v>478</v>
      </c>
      <c r="D196" s="70">
        <v>1</v>
      </c>
      <c r="E196" s="70">
        <v>1</v>
      </c>
      <c r="F196" s="70">
        <v>2</v>
      </c>
    </row>
    <row r="197" spans="1:6" x14ac:dyDescent="0.25">
      <c r="A197" s="61"/>
      <c r="B197" s="66" t="s">
        <v>1463</v>
      </c>
      <c r="C197" s="67"/>
      <c r="D197" s="71">
        <v>1</v>
      </c>
      <c r="E197" s="71">
        <v>1</v>
      </c>
      <c r="F197" s="71">
        <v>2</v>
      </c>
    </row>
    <row r="198" spans="1:6" x14ac:dyDescent="0.25">
      <c r="A198" s="61"/>
      <c r="B198" s="65" t="s">
        <v>1353</v>
      </c>
      <c r="C198" s="45" t="s">
        <v>480</v>
      </c>
      <c r="D198" s="70">
        <v>1</v>
      </c>
      <c r="E198" s="70"/>
      <c r="F198" s="70">
        <v>1</v>
      </c>
    </row>
    <row r="199" spans="1:6" x14ac:dyDescent="0.25">
      <c r="A199" s="61"/>
      <c r="B199" s="61"/>
      <c r="C199" s="45" t="s">
        <v>99</v>
      </c>
      <c r="D199" s="70">
        <v>1</v>
      </c>
      <c r="E199" s="70"/>
      <c r="F199" s="70">
        <v>1</v>
      </c>
    </row>
    <row r="200" spans="1:6" x14ac:dyDescent="0.25">
      <c r="A200" s="61"/>
      <c r="B200" s="66" t="s">
        <v>1464</v>
      </c>
      <c r="C200" s="67"/>
      <c r="D200" s="71">
        <v>2</v>
      </c>
      <c r="E200" s="71"/>
      <c r="F200" s="71">
        <v>2</v>
      </c>
    </row>
    <row r="201" spans="1:6" x14ac:dyDescent="0.25">
      <c r="A201" s="61"/>
      <c r="B201" s="65" t="s">
        <v>1273</v>
      </c>
      <c r="C201" s="45" t="s">
        <v>99</v>
      </c>
      <c r="D201" s="70">
        <v>4</v>
      </c>
      <c r="E201" s="70"/>
      <c r="F201" s="70">
        <v>4</v>
      </c>
    </row>
    <row r="202" spans="1:6" x14ac:dyDescent="0.25">
      <c r="A202" s="61"/>
      <c r="B202" s="61"/>
      <c r="C202" s="45" t="s">
        <v>478</v>
      </c>
      <c r="D202" s="70">
        <v>2</v>
      </c>
      <c r="E202" s="70"/>
      <c r="F202" s="70">
        <v>2</v>
      </c>
    </row>
    <row r="203" spans="1:6" x14ac:dyDescent="0.25">
      <c r="A203" s="61"/>
      <c r="B203" s="61"/>
      <c r="C203" s="45" t="s">
        <v>103</v>
      </c>
      <c r="D203" s="70">
        <v>1</v>
      </c>
      <c r="E203" s="70"/>
      <c r="F203" s="70">
        <v>1</v>
      </c>
    </row>
    <row r="204" spans="1:6" x14ac:dyDescent="0.25">
      <c r="A204" s="61"/>
      <c r="B204" s="66" t="s">
        <v>1465</v>
      </c>
      <c r="C204" s="67"/>
      <c r="D204" s="71">
        <v>7</v>
      </c>
      <c r="E204" s="71"/>
      <c r="F204" s="71">
        <v>7</v>
      </c>
    </row>
    <row r="205" spans="1:6" x14ac:dyDescent="0.25">
      <c r="A205" s="61"/>
      <c r="B205" s="45" t="s">
        <v>1345</v>
      </c>
      <c r="C205" s="45" t="s">
        <v>459</v>
      </c>
      <c r="D205" s="70">
        <v>1</v>
      </c>
      <c r="E205" s="70"/>
      <c r="F205" s="70">
        <v>1</v>
      </c>
    </row>
    <row r="206" spans="1:6" x14ac:dyDescent="0.25">
      <c r="A206" s="61"/>
      <c r="B206" s="66" t="s">
        <v>1466</v>
      </c>
      <c r="C206" s="67"/>
      <c r="D206" s="71">
        <v>1</v>
      </c>
      <c r="E206" s="71"/>
      <c r="F206" s="71">
        <v>1</v>
      </c>
    </row>
    <row r="207" spans="1:6" x14ac:dyDescent="0.25">
      <c r="A207" s="65" t="s">
        <v>1467</v>
      </c>
      <c r="B207" s="61"/>
      <c r="C207" s="61"/>
      <c r="D207" s="70">
        <v>11</v>
      </c>
      <c r="E207" s="70">
        <v>1</v>
      </c>
      <c r="F207" s="70">
        <v>12</v>
      </c>
    </row>
    <row r="208" spans="1:6" x14ac:dyDescent="0.25">
      <c r="A208" s="65" t="s">
        <v>176</v>
      </c>
      <c r="B208" s="45" t="s">
        <v>1400</v>
      </c>
      <c r="C208" s="45" t="s">
        <v>482</v>
      </c>
      <c r="D208" s="70">
        <v>1</v>
      </c>
      <c r="E208" s="70"/>
      <c r="F208" s="70">
        <v>1</v>
      </c>
    </row>
    <row r="209" spans="1:6" x14ac:dyDescent="0.25">
      <c r="A209" s="61"/>
      <c r="B209" s="66" t="s">
        <v>1521</v>
      </c>
      <c r="C209" s="67"/>
      <c r="D209" s="71">
        <v>1</v>
      </c>
      <c r="E209" s="71"/>
      <c r="F209" s="71">
        <v>1</v>
      </c>
    </row>
    <row r="210" spans="1:6" x14ac:dyDescent="0.25">
      <c r="A210" s="65" t="s">
        <v>1522</v>
      </c>
      <c r="B210" s="61"/>
      <c r="C210" s="61"/>
      <c r="D210" s="70">
        <v>1</v>
      </c>
      <c r="E210" s="70"/>
      <c r="F210" s="70">
        <v>1</v>
      </c>
    </row>
    <row r="211" spans="1:6" x14ac:dyDescent="0.25">
      <c r="A211" s="65" t="s">
        <v>165</v>
      </c>
      <c r="B211" s="45" t="s">
        <v>1373</v>
      </c>
      <c r="C211" s="45" t="s">
        <v>482</v>
      </c>
      <c r="D211" s="70">
        <v>1</v>
      </c>
      <c r="E211" s="70"/>
      <c r="F211" s="70">
        <v>1</v>
      </c>
    </row>
    <row r="212" spans="1:6" x14ac:dyDescent="0.25">
      <c r="A212" s="61"/>
      <c r="B212" s="66" t="s">
        <v>1488</v>
      </c>
      <c r="C212" s="67"/>
      <c r="D212" s="71">
        <v>1</v>
      </c>
      <c r="E212" s="71"/>
      <c r="F212" s="71">
        <v>1</v>
      </c>
    </row>
    <row r="213" spans="1:6" x14ac:dyDescent="0.25">
      <c r="A213" s="65" t="s">
        <v>1489</v>
      </c>
      <c r="B213" s="61"/>
      <c r="C213" s="61"/>
      <c r="D213" s="70">
        <v>1</v>
      </c>
      <c r="E213" s="70"/>
      <c r="F213" s="70">
        <v>1</v>
      </c>
    </row>
    <row r="214" spans="1:6" x14ac:dyDescent="0.25">
      <c r="A214" s="65" t="s">
        <v>155</v>
      </c>
      <c r="B214" s="45" t="s">
        <v>1247</v>
      </c>
      <c r="C214" s="45" t="s">
        <v>482</v>
      </c>
      <c r="D214" s="70">
        <v>2</v>
      </c>
      <c r="E214" s="70"/>
      <c r="F214" s="70">
        <v>2</v>
      </c>
    </row>
    <row r="215" spans="1:6" x14ac:dyDescent="0.25">
      <c r="A215" s="61"/>
      <c r="B215" s="66" t="s">
        <v>1453</v>
      </c>
      <c r="C215" s="67"/>
      <c r="D215" s="71">
        <v>2</v>
      </c>
      <c r="E215" s="71"/>
      <c r="F215" s="71">
        <v>2</v>
      </c>
    </row>
    <row r="216" spans="1:6" x14ac:dyDescent="0.25">
      <c r="A216" s="65" t="s">
        <v>1511</v>
      </c>
      <c r="B216" s="61"/>
      <c r="C216" s="61"/>
      <c r="D216" s="70">
        <v>2</v>
      </c>
      <c r="E216" s="70"/>
      <c r="F216" s="70">
        <v>2</v>
      </c>
    </row>
    <row r="217" spans="1:6" x14ac:dyDescent="0.25">
      <c r="A217" s="65" t="s">
        <v>154</v>
      </c>
      <c r="B217" s="65" t="s">
        <v>1383</v>
      </c>
      <c r="C217" s="45" t="s">
        <v>153</v>
      </c>
      <c r="D217" s="70">
        <v>1</v>
      </c>
      <c r="E217" s="70"/>
      <c r="F217" s="70">
        <v>1</v>
      </c>
    </row>
    <row r="218" spans="1:6" x14ac:dyDescent="0.25">
      <c r="A218" s="61"/>
      <c r="B218" s="61"/>
      <c r="C218" s="45" t="s">
        <v>480</v>
      </c>
      <c r="D218" s="70">
        <v>1</v>
      </c>
      <c r="E218" s="70"/>
      <c r="F218" s="70">
        <v>1</v>
      </c>
    </row>
    <row r="219" spans="1:6" x14ac:dyDescent="0.25">
      <c r="A219" s="61"/>
      <c r="B219" s="66" t="s">
        <v>1460</v>
      </c>
      <c r="C219" s="67"/>
      <c r="D219" s="71">
        <v>2</v>
      </c>
      <c r="E219" s="71"/>
      <c r="F219" s="71">
        <v>2</v>
      </c>
    </row>
    <row r="220" spans="1:6" x14ac:dyDescent="0.25">
      <c r="A220" s="65" t="s">
        <v>1461</v>
      </c>
      <c r="B220" s="61"/>
      <c r="C220" s="61"/>
      <c r="D220" s="70">
        <v>2</v>
      </c>
      <c r="E220" s="70"/>
      <c r="F220" s="70">
        <v>2</v>
      </c>
    </row>
    <row r="221" spans="1:6" x14ac:dyDescent="0.25">
      <c r="A221" s="65" t="s">
        <v>252</v>
      </c>
      <c r="B221" s="45" t="s">
        <v>1318</v>
      </c>
      <c r="C221" s="45" t="s">
        <v>99</v>
      </c>
      <c r="D221" s="70">
        <v>1</v>
      </c>
      <c r="E221" s="70"/>
      <c r="F221" s="70">
        <v>1</v>
      </c>
    </row>
    <row r="222" spans="1:6" x14ac:dyDescent="0.25">
      <c r="A222" s="61"/>
      <c r="B222" s="66" t="s">
        <v>1463</v>
      </c>
      <c r="C222" s="67"/>
      <c r="D222" s="71">
        <v>1</v>
      </c>
      <c r="E222" s="71"/>
      <c r="F222" s="71">
        <v>1</v>
      </c>
    </row>
    <row r="223" spans="1:6" x14ac:dyDescent="0.25">
      <c r="A223" s="65" t="s">
        <v>1474</v>
      </c>
      <c r="B223" s="61"/>
      <c r="C223" s="61"/>
      <c r="D223" s="70">
        <v>1</v>
      </c>
      <c r="E223" s="70"/>
      <c r="F223" s="70">
        <v>1</v>
      </c>
    </row>
    <row r="224" spans="1:6" x14ac:dyDescent="0.25">
      <c r="A224" s="65" t="s">
        <v>139</v>
      </c>
      <c r="B224" s="45" t="s">
        <v>1264</v>
      </c>
      <c r="C224" s="45" t="s">
        <v>480</v>
      </c>
      <c r="D224" s="70">
        <v>1</v>
      </c>
      <c r="E224" s="70"/>
      <c r="F224" s="70">
        <v>1</v>
      </c>
    </row>
    <row r="225" spans="1:6" x14ac:dyDescent="0.25">
      <c r="A225" s="61"/>
      <c r="B225" s="66" t="s">
        <v>1442</v>
      </c>
      <c r="C225" s="67"/>
      <c r="D225" s="71">
        <v>1</v>
      </c>
      <c r="E225" s="71"/>
      <c r="F225" s="71">
        <v>1</v>
      </c>
    </row>
    <row r="226" spans="1:6" x14ac:dyDescent="0.25">
      <c r="A226" s="61"/>
      <c r="B226" s="45" t="s">
        <v>1405</v>
      </c>
      <c r="C226" s="45" t="s">
        <v>99</v>
      </c>
      <c r="D226" s="70">
        <v>1</v>
      </c>
      <c r="E226" s="70"/>
      <c r="F226" s="70">
        <v>1</v>
      </c>
    </row>
    <row r="227" spans="1:6" x14ac:dyDescent="0.25">
      <c r="A227" s="61"/>
      <c r="B227" s="66" t="s">
        <v>1443</v>
      </c>
      <c r="C227" s="67"/>
      <c r="D227" s="71">
        <v>1</v>
      </c>
      <c r="E227" s="71"/>
      <c r="F227" s="71">
        <v>1</v>
      </c>
    </row>
    <row r="228" spans="1:6" x14ac:dyDescent="0.25">
      <c r="A228" s="65" t="s">
        <v>1444</v>
      </c>
      <c r="B228" s="61"/>
      <c r="C228" s="61"/>
      <c r="D228" s="70">
        <v>2</v>
      </c>
      <c r="E228" s="70"/>
      <c r="F228" s="70">
        <v>2</v>
      </c>
    </row>
    <row r="229" spans="1:6" x14ac:dyDescent="0.25">
      <c r="A229" s="65" t="s">
        <v>128</v>
      </c>
      <c r="B229" s="45" t="s">
        <v>1407</v>
      </c>
      <c r="C229" s="45" t="s">
        <v>99</v>
      </c>
      <c r="D229" s="70">
        <v>1</v>
      </c>
      <c r="E229" s="70"/>
      <c r="F229" s="70">
        <v>1</v>
      </c>
    </row>
    <row r="230" spans="1:6" x14ac:dyDescent="0.25">
      <c r="A230" s="61"/>
      <c r="B230" s="66" t="s">
        <v>1490</v>
      </c>
      <c r="C230" s="67"/>
      <c r="D230" s="71">
        <v>1</v>
      </c>
      <c r="E230" s="71"/>
      <c r="F230" s="71">
        <v>1</v>
      </c>
    </row>
    <row r="231" spans="1:6" x14ac:dyDescent="0.25">
      <c r="A231" s="65" t="s">
        <v>1491</v>
      </c>
      <c r="B231" s="61"/>
      <c r="C231" s="61"/>
      <c r="D231" s="70">
        <v>1</v>
      </c>
      <c r="E231" s="70"/>
      <c r="F231" s="70">
        <v>1</v>
      </c>
    </row>
    <row r="232" spans="1:6" x14ac:dyDescent="0.25">
      <c r="A232" s="65" t="s">
        <v>179</v>
      </c>
      <c r="B232" s="45" t="s">
        <v>1393</v>
      </c>
      <c r="C232" s="45" t="s">
        <v>482</v>
      </c>
      <c r="D232" s="70">
        <v>1</v>
      </c>
      <c r="E232" s="70"/>
      <c r="F232" s="70">
        <v>1</v>
      </c>
    </row>
    <row r="233" spans="1:6" x14ac:dyDescent="0.25">
      <c r="A233" s="61"/>
      <c r="B233" s="66" t="s">
        <v>1440</v>
      </c>
      <c r="C233" s="67"/>
      <c r="D233" s="71">
        <v>1</v>
      </c>
      <c r="E233" s="71"/>
      <c r="F233" s="71">
        <v>1</v>
      </c>
    </row>
    <row r="234" spans="1:6" x14ac:dyDescent="0.25">
      <c r="A234" s="65" t="s">
        <v>1441</v>
      </c>
      <c r="B234" s="61"/>
      <c r="C234" s="61"/>
      <c r="D234" s="70">
        <v>1</v>
      </c>
      <c r="E234" s="70"/>
      <c r="F234" s="70">
        <v>1</v>
      </c>
    </row>
    <row r="235" spans="1:6" x14ac:dyDescent="0.25">
      <c r="A235" s="65" t="s">
        <v>44</v>
      </c>
      <c r="B235" s="61"/>
      <c r="C235" s="61"/>
      <c r="D235" s="70">
        <v>174</v>
      </c>
      <c r="E235" s="70">
        <v>66</v>
      </c>
      <c r="F235" s="70">
        <v>240</v>
      </c>
    </row>
  </sheetData>
  <mergeCells count="164">
    <mergeCell ref="B194:C194"/>
    <mergeCell ref="B197:C197"/>
    <mergeCell ref="B198:B199"/>
    <mergeCell ref="B200:C200"/>
    <mergeCell ref="B201:B203"/>
    <mergeCell ref="B204:C204"/>
    <mergeCell ref="B206:C206"/>
    <mergeCell ref="B209:C209"/>
    <mergeCell ref="B212:C212"/>
    <mergeCell ref="B174:C174"/>
    <mergeCell ref="B176:B177"/>
    <mergeCell ref="B178:C178"/>
    <mergeCell ref="B180:C180"/>
    <mergeCell ref="B183:C183"/>
    <mergeCell ref="B185:C185"/>
    <mergeCell ref="B187:C187"/>
    <mergeCell ref="B189:C189"/>
    <mergeCell ref="B191:B193"/>
    <mergeCell ref="B138:C138"/>
    <mergeCell ref="B139:B140"/>
    <mergeCell ref="B141:C141"/>
    <mergeCell ref="B143:C143"/>
    <mergeCell ref="B145:C145"/>
    <mergeCell ref="B148:C148"/>
    <mergeCell ref="B151:C151"/>
    <mergeCell ref="B152:B153"/>
    <mergeCell ref="B154:C154"/>
    <mergeCell ref="B119:C119"/>
    <mergeCell ref="B121:B122"/>
    <mergeCell ref="B123:C123"/>
    <mergeCell ref="B126:C126"/>
    <mergeCell ref="B128:C128"/>
    <mergeCell ref="B130:C130"/>
    <mergeCell ref="B132:C132"/>
    <mergeCell ref="B134:B135"/>
    <mergeCell ref="B136:C136"/>
    <mergeCell ref="B100:C100"/>
    <mergeCell ref="B102:C102"/>
    <mergeCell ref="B104:C104"/>
    <mergeCell ref="B106:C106"/>
    <mergeCell ref="B108:C108"/>
    <mergeCell ref="B110:C110"/>
    <mergeCell ref="B112:C112"/>
    <mergeCell ref="B114:C114"/>
    <mergeCell ref="B116:B118"/>
    <mergeCell ref="B84:B85"/>
    <mergeCell ref="B86:C86"/>
    <mergeCell ref="B88:C88"/>
    <mergeCell ref="B90:C90"/>
    <mergeCell ref="B91:B92"/>
    <mergeCell ref="B93:C93"/>
    <mergeCell ref="B94:B95"/>
    <mergeCell ref="B96:C96"/>
    <mergeCell ref="B98:C98"/>
    <mergeCell ref="A234:C234"/>
    <mergeCell ref="A235:C235"/>
    <mergeCell ref="B7:B9"/>
    <mergeCell ref="B10:C10"/>
    <mergeCell ref="B11:B13"/>
    <mergeCell ref="B14:C14"/>
    <mergeCell ref="B15:B16"/>
    <mergeCell ref="B17:C17"/>
    <mergeCell ref="B19:C19"/>
    <mergeCell ref="B21:C21"/>
    <mergeCell ref="B23:C23"/>
    <mergeCell ref="B25:C25"/>
    <mergeCell ref="B27:C27"/>
    <mergeCell ref="B28:B29"/>
    <mergeCell ref="B30:C30"/>
    <mergeCell ref="B33:C33"/>
    <mergeCell ref="B35:C35"/>
    <mergeCell ref="B36:B37"/>
    <mergeCell ref="B38:C38"/>
    <mergeCell ref="B39:B40"/>
    <mergeCell ref="B41:C41"/>
    <mergeCell ref="B42:B43"/>
    <mergeCell ref="B44:C44"/>
    <mergeCell ref="B46:C46"/>
    <mergeCell ref="A208:A209"/>
    <mergeCell ref="A210:C210"/>
    <mergeCell ref="A211:A212"/>
    <mergeCell ref="A213:C213"/>
    <mergeCell ref="A214:A215"/>
    <mergeCell ref="A216:C216"/>
    <mergeCell ref="A217:A219"/>
    <mergeCell ref="A220:C220"/>
    <mergeCell ref="A221:A222"/>
    <mergeCell ref="B215:C215"/>
    <mergeCell ref="B217:B218"/>
    <mergeCell ref="B219:C219"/>
    <mergeCell ref="B222:C222"/>
    <mergeCell ref="A7:A30"/>
    <mergeCell ref="A31:C31"/>
    <mergeCell ref="A32:A56"/>
    <mergeCell ref="A57:C57"/>
    <mergeCell ref="A58:A60"/>
    <mergeCell ref="A61:C61"/>
    <mergeCell ref="B48:C48"/>
    <mergeCell ref="B49:B50"/>
    <mergeCell ref="B51:C51"/>
    <mergeCell ref="B52:B53"/>
    <mergeCell ref="B54:C54"/>
    <mergeCell ref="B56:C56"/>
    <mergeCell ref="B58:B59"/>
    <mergeCell ref="B60:C60"/>
    <mergeCell ref="A62:A82"/>
    <mergeCell ref="A83:C83"/>
    <mergeCell ref="A84:A114"/>
    <mergeCell ref="A115:C115"/>
    <mergeCell ref="A116:A119"/>
    <mergeCell ref="A120:C120"/>
    <mergeCell ref="A121:A123"/>
    <mergeCell ref="A124:C124"/>
    <mergeCell ref="A125:A132"/>
    <mergeCell ref="A223:C223"/>
    <mergeCell ref="A224:A227"/>
    <mergeCell ref="A228:C228"/>
    <mergeCell ref="A229:A230"/>
    <mergeCell ref="A231:C231"/>
    <mergeCell ref="A232:A233"/>
    <mergeCell ref="B225:C225"/>
    <mergeCell ref="B227:C227"/>
    <mergeCell ref="B230:C230"/>
    <mergeCell ref="B233:C233"/>
    <mergeCell ref="A176:A180"/>
    <mergeCell ref="A181:C181"/>
    <mergeCell ref="A182:A189"/>
    <mergeCell ref="A190:C190"/>
    <mergeCell ref="A191:A194"/>
    <mergeCell ref="A195:C195"/>
    <mergeCell ref="A196:A206"/>
    <mergeCell ref="A207:C207"/>
    <mergeCell ref="A133:C133"/>
    <mergeCell ref="A134:A145"/>
    <mergeCell ref="A146:C146"/>
    <mergeCell ref="A147:A148"/>
    <mergeCell ref="A149:C149"/>
    <mergeCell ref="A150:A156"/>
    <mergeCell ref="A157:C157"/>
    <mergeCell ref="A158:A163"/>
    <mergeCell ref="A164:C164"/>
    <mergeCell ref="A165:A174"/>
    <mergeCell ref="B62:B63"/>
    <mergeCell ref="B64:C64"/>
    <mergeCell ref="B65:B67"/>
    <mergeCell ref="B68:C68"/>
    <mergeCell ref="B69:B70"/>
    <mergeCell ref="B71:C71"/>
    <mergeCell ref="B73:C73"/>
    <mergeCell ref="B74:B75"/>
    <mergeCell ref="B76:C76"/>
    <mergeCell ref="B77:B78"/>
    <mergeCell ref="B79:C79"/>
    <mergeCell ref="B80:B81"/>
    <mergeCell ref="B82:C82"/>
    <mergeCell ref="A175:C175"/>
    <mergeCell ref="B156:C156"/>
    <mergeCell ref="B159:C159"/>
    <mergeCell ref="B161:C161"/>
    <mergeCell ref="B163:C163"/>
    <mergeCell ref="B166:C166"/>
    <mergeCell ref="B168:C168"/>
    <mergeCell ref="B170:C170"/>
    <mergeCell ref="B172:C172"/>
  </mergeCell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3:B13"/>
  <sheetViews>
    <sheetView showGridLines="0" zoomScaleNormal="100" workbookViewId="0">
      <selection activeCell="A16" sqref="A16"/>
    </sheetView>
  </sheetViews>
  <sheetFormatPr defaultColWidth="9.140625" defaultRowHeight="15" x14ac:dyDescent="0.25"/>
  <cols>
    <col min="1" max="1" width="36.28515625" customWidth="1"/>
    <col min="2" max="2" width="21" customWidth="1"/>
    <col min="3" max="3" width="27.28515625" bestFit="1" customWidth="1"/>
    <col min="4" max="4" width="9.85546875" customWidth="1"/>
    <col min="5" max="5" width="7.7109375" customWidth="1"/>
    <col min="6" max="6" width="13.42578125" bestFit="1" customWidth="1"/>
    <col min="7" max="7" width="7.28515625" customWidth="1"/>
    <col min="8" max="8" width="12.7109375" customWidth="1"/>
    <col min="9" max="9" width="11.7109375" customWidth="1"/>
    <col min="10" max="10" width="20.7109375" bestFit="1" customWidth="1"/>
    <col min="11" max="11" width="10.7109375" customWidth="1"/>
    <col min="12" max="12" width="10.42578125" bestFit="1" customWidth="1"/>
    <col min="13" max="13" width="10" bestFit="1" customWidth="1"/>
    <col min="14" max="14" width="12.7109375" bestFit="1" customWidth="1"/>
    <col min="15" max="15" width="7.42578125" customWidth="1"/>
    <col min="16" max="16" width="14.28515625" bestFit="1" customWidth="1"/>
    <col min="17" max="17" width="9.7109375" bestFit="1" customWidth="1"/>
    <col min="18" max="18" width="14.7109375" bestFit="1" customWidth="1"/>
    <col min="19" max="19" width="7.42578125" customWidth="1"/>
    <col min="20" max="20" width="12.5703125" bestFit="1" customWidth="1"/>
    <col min="21" max="21" width="10.42578125" bestFit="1" customWidth="1"/>
    <col min="22" max="22" width="16.28515625" bestFit="1" customWidth="1"/>
    <col min="23" max="23" width="9" customWidth="1"/>
    <col min="24" max="24" width="10.7109375" bestFit="1" customWidth="1"/>
    <col min="25" max="25" width="12.5703125" bestFit="1" customWidth="1"/>
    <col min="26" max="26" width="9.7109375" bestFit="1" customWidth="1"/>
    <col min="27" max="27" width="6.7109375" customWidth="1"/>
    <col min="28" max="28" width="15.140625" bestFit="1" customWidth="1"/>
    <col min="29" max="29" width="13.140625" bestFit="1" customWidth="1"/>
    <col min="30" max="30" width="12.28515625" bestFit="1" customWidth="1"/>
    <col min="31" max="31" width="10.85546875" bestFit="1" customWidth="1"/>
    <col min="32" max="32" width="13.5703125" bestFit="1" customWidth="1"/>
    <col min="33" max="33" width="9.42578125" bestFit="1" customWidth="1"/>
    <col min="34" max="34" width="14.7109375" bestFit="1" customWidth="1"/>
    <col min="35" max="35" width="8.28515625" customWidth="1"/>
    <col min="36" max="36" width="15.42578125" bestFit="1" customWidth="1"/>
    <col min="37" max="37" width="11.5703125" bestFit="1" customWidth="1"/>
    <col min="38" max="38" width="10.7109375" bestFit="1" customWidth="1"/>
  </cols>
  <sheetData>
    <row r="3" spans="1:2" x14ac:dyDescent="0.25">
      <c r="A3" s="3" t="s">
        <v>32</v>
      </c>
      <c r="B3" s="1" t="s">
        <v>55</v>
      </c>
    </row>
    <row r="4" spans="1:2" x14ac:dyDescent="0.25">
      <c r="A4" s="3" t="s">
        <v>9</v>
      </c>
      <c r="B4" s="1" t="s">
        <v>55</v>
      </c>
    </row>
    <row r="6" spans="1:2" x14ac:dyDescent="0.25">
      <c r="A6" s="3" t="s">
        <v>56</v>
      </c>
      <c r="B6" s="1" t="s">
        <v>1246</v>
      </c>
    </row>
    <row r="7" spans="1:2" x14ac:dyDescent="0.25">
      <c r="A7" s="1" t="s">
        <v>471</v>
      </c>
      <c r="B7" s="1">
        <v>95</v>
      </c>
    </row>
    <row r="8" spans="1:2" x14ac:dyDescent="0.25">
      <c r="A8" s="1" t="s">
        <v>472</v>
      </c>
      <c r="B8" s="1">
        <v>33</v>
      </c>
    </row>
    <row r="9" spans="1:2" x14ac:dyDescent="0.25">
      <c r="A9" s="1" t="s">
        <v>1255</v>
      </c>
      <c r="B9" s="1">
        <v>3</v>
      </c>
    </row>
    <row r="10" spans="1:2" x14ac:dyDescent="0.25">
      <c r="A10" s="1" t="s">
        <v>1244</v>
      </c>
      <c r="B10" s="1">
        <v>4</v>
      </c>
    </row>
    <row r="11" spans="1:2" x14ac:dyDescent="0.25">
      <c r="A11" s="1" t="s">
        <v>1263</v>
      </c>
      <c r="B11" s="1">
        <v>1</v>
      </c>
    </row>
    <row r="12" spans="1:2" x14ac:dyDescent="0.25">
      <c r="A12" s="1" t="s">
        <v>1243</v>
      </c>
      <c r="B12" s="1">
        <v>16</v>
      </c>
    </row>
    <row r="13" spans="1:2" x14ac:dyDescent="0.25">
      <c r="A13" s="1" t="s">
        <v>44</v>
      </c>
      <c r="B13" s="1">
        <v>152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I42"/>
  <sheetViews>
    <sheetView showGridLines="0" zoomScaleNormal="10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.7109375" customWidth="1"/>
    <col min="2" max="2" width="38.28515625" customWidth="1"/>
    <col min="3" max="3" width="14.42578125" customWidth="1"/>
    <col min="4" max="4" width="10.7109375" customWidth="1"/>
    <col min="5" max="5" width="1.7109375" customWidth="1"/>
    <col min="6" max="6" width="16.140625" customWidth="1"/>
    <col min="7" max="7" width="10.28515625" customWidth="1"/>
    <col min="8" max="8" width="5.7109375" customWidth="1"/>
    <col min="9" max="9" width="10.7109375" customWidth="1"/>
    <col min="10" max="10" width="11.5703125" bestFit="1" customWidth="1"/>
  </cols>
  <sheetData>
    <row r="2" spans="2:9" x14ac:dyDescent="0.25">
      <c r="F2" s="3" t="s">
        <v>45</v>
      </c>
      <c r="G2" s="1" t="s">
        <v>47</v>
      </c>
    </row>
    <row r="3" spans="2:9" x14ac:dyDescent="0.25">
      <c r="B3" s="3" t="s">
        <v>48</v>
      </c>
      <c r="C3" s="3" t="s">
        <v>53</v>
      </c>
      <c r="D3" s="1"/>
    </row>
    <row r="4" spans="2:9" x14ac:dyDescent="0.25">
      <c r="B4" s="3" t="s">
        <v>52</v>
      </c>
      <c r="C4" s="1" t="s">
        <v>43</v>
      </c>
      <c r="D4" s="1" t="s">
        <v>44</v>
      </c>
      <c r="F4" s="3" t="s">
        <v>57</v>
      </c>
      <c r="G4" s="3" t="s">
        <v>57</v>
      </c>
      <c r="H4" s="1"/>
      <c r="I4" s="1"/>
    </row>
    <row r="5" spans="2:9" x14ac:dyDescent="0.25">
      <c r="B5" s="1" t="s">
        <v>457</v>
      </c>
      <c r="C5" s="1">
        <v>47</v>
      </c>
      <c r="D5" s="1">
        <v>47</v>
      </c>
      <c r="F5" s="3" t="s">
        <v>49</v>
      </c>
      <c r="G5" s="1" t="s">
        <v>25</v>
      </c>
      <c r="H5" s="1" t="s">
        <v>474</v>
      </c>
      <c r="I5" s="1" t="s">
        <v>44</v>
      </c>
    </row>
    <row r="6" spans="2:9" x14ac:dyDescent="0.25">
      <c r="B6" s="1" t="s">
        <v>472</v>
      </c>
      <c r="C6" s="1">
        <v>23</v>
      </c>
      <c r="D6" s="1">
        <v>23</v>
      </c>
      <c r="F6" s="1" t="s">
        <v>43</v>
      </c>
      <c r="G6" s="1"/>
      <c r="H6" s="1"/>
      <c r="I6" s="1"/>
    </row>
    <row r="7" spans="2:9" x14ac:dyDescent="0.25">
      <c r="B7" s="1" t="s">
        <v>471</v>
      </c>
      <c r="C7" s="1">
        <v>18</v>
      </c>
      <c r="D7" s="1">
        <v>18</v>
      </c>
      <c r="F7" s="1" t="s">
        <v>459</v>
      </c>
      <c r="G7" s="1">
        <v>15</v>
      </c>
      <c r="H7" s="1">
        <v>10</v>
      </c>
      <c r="I7" s="1">
        <v>25</v>
      </c>
    </row>
    <row r="8" spans="2:9" x14ac:dyDescent="0.25">
      <c r="B8" s="1" t="s">
        <v>1243</v>
      </c>
      <c r="C8" s="1">
        <v>5</v>
      </c>
      <c r="D8" s="1">
        <v>5</v>
      </c>
      <c r="F8" s="1" t="s">
        <v>1096</v>
      </c>
      <c r="G8" s="1">
        <v>17</v>
      </c>
      <c r="H8" s="1">
        <v>8</v>
      </c>
      <c r="I8" s="1">
        <v>25</v>
      </c>
    </row>
    <row r="9" spans="2:9" x14ac:dyDescent="0.25">
      <c r="B9" s="1" t="s">
        <v>1255</v>
      </c>
      <c r="C9" s="1">
        <v>1</v>
      </c>
      <c r="D9" s="1">
        <v>1</v>
      </c>
      <c r="F9" s="1" t="s">
        <v>153</v>
      </c>
      <c r="G9" s="1">
        <v>23</v>
      </c>
      <c r="H9" s="1">
        <v>2</v>
      </c>
      <c r="I9" s="1">
        <v>25</v>
      </c>
    </row>
    <row r="10" spans="2:9" x14ac:dyDescent="0.25">
      <c r="B10" s="1" t="s">
        <v>1096</v>
      </c>
      <c r="C10" s="1">
        <v>22</v>
      </c>
      <c r="D10" s="1">
        <v>22</v>
      </c>
      <c r="F10" s="1" t="s">
        <v>457</v>
      </c>
      <c r="G10" s="1">
        <v>8</v>
      </c>
      <c r="H10" s="1">
        <v>17</v>
      </c>
      <c r="I10" s="1">
        <v>25</v>
      </c>
    </row>
    <row r="11" spans="2:9" x14ac:dyDescent="0.25">
      <c r="B11" s="1" t="s">
        <v>471</v>
      </c>
      <c r="C11" s="1">
        <v>15</v>
      </c>
      <c r="D11" s="1">
        <v>15</v>
      </c>
      <c r="F11" s="1" t="s">
        <v>478</v>
      </c>
      <c r="G11" s="1">
        <v>20</v>
      </c>
      <c r="H11" s="1">
        <v>5</v>
      </c>
      <c r="I11" s="1">
        <v>25</v>
      </c>
    </row>
    <row r="12" spans="2:9" x14ac:dyDescent="0.25">
      <c r="B12" s="1" t="s">
        <v>1243</v>
      </c>
      <c r="C12" s="1">
        <v>5</v>
      </c>
      <c r="D12" s="1">
        <v>5</v>
      </c>
      <c r="F12" s="1" t="s">
        <v>99</v>
      </c>
      <c r="G12" s="1">
        <v>23</v>
      </c>
      <c r="H12" s="1">
        <v>1</v>
      </c>
      <c r="I12" s="1">
        <v>24</v>
      </c>
    </row>
    <row r="13" spans="2:9" x14ac:dyDescent="0.25">
      <c r="B13" s="1" t="s">
        <v>472</v>
      </c>
      <c r="C13" s="1">
        <v>2</v>
      </c>
      <c r="D13" s="1">
        <v>2</v>
      </c>
      <c r="F13" s="1" t="s">
        <v>103</v>
      </c>
      <c r="G13" s="1">
        <v>21</v>
      </c>
      <c r="H13" s="1">
        <v>2</v>
      </c>
      <c r="I13" s="1">
        <v>23</v>
      </c>
    </row>
    <row r="14" spans="2:9" x14ac:dyDescent="0.25">
      <c r="B14" s="1" t="s">
        <v>459</v>
      </c>
      <c r="C14" s="1">
        <v>21</v>
      </c>
      <c r="D14" s="1">
        <v>21</v>
      </c>
      <c r="F14" s="1" t="s">
        <v>132</v>
      </c>
      <c r="G14" s="1">
        <v>15</v>
      </c>
      <c r="H14" s="1">
        <v>6</v>
      </c>
      <c r="I14" s="1">
        <v>21</v>
      </c>
    </row>
    <row r="15" spans="2:9" x14ac:dyDescent="0.25">
      <c r="B15" s="1" t="s">
        <v>471</v>
      </c>
      <c r="C15" s="1">
        <v>16</v>
      </c>
      <c r="D15" s="1">
        <v>16</v>
      </c>
      <c r="F15" s="1" t="s">
        <v>482</v>
      </c>
      <c r="G15" s="1">
        <v>9</v>
      </c>
      <c r="H15" s="1">
        <v>1</v>
      </c>
      <c r="I15" s="1">
        <v>10</v>
      </c>
    </row>
    <row r="16" spans="2:9" x14ac:dyDescent="0.25">
      <c r="B16" s="1" t="s">
        <v>472</v>
      </c>
      <c r="C16" s="1">
        <v>2</v>
      </c>
      <c r="D16" s="1">
        <v>2</v>
      </c>
      <c r="F16" s="1" t="s">
        <v>480</v>
      </c>
      <c r="G16" s="1">
        <v>1</v>
      </c>
      <c r="H16" s="1"/>
      <c r="I16" s="1">
        <v>1</v>
      </c>
    </row>
    <row r="17" spans="2:9" x14ac:dyDescent="0.25">
      <c r="B17" s="1" t="s">
        <v>1263</v>
      </c>
      <c r="C17" s="1">
        <v>1</v>
      </c>
      <c r="D17" s="1">
        <v>1</v>
      </c>
      <c r="F17" s="1" t="s">
        <v>44</v>
      </c>
      <c r="G17" s="1">
        <v>152</v>
      </c>
      <c r="H17" s="1">
        <v>52</v>
      </c>
      <c r="I17" s="1">
        <v>204</v>
      </c>
    </row>
    <row r="18" spans="2:9" x14ac:dyDescent="0.25">
      <c r="B18" s="1" t="s">
        <v>1243</v>
      </c>
      <c r="C18" s="1">
        <v>1</v>
      </c>
      <c r="D18" s="1">
        <v>1</v>
      </c>
    </row>
    <row r="19" spans="2:9" x14ac:dyDescent="0.25">
      <c r="B19" s="1" t="s">
        <v>1255</v>
      </c>
      <c r="C19" s="1">
        <v>1</v>
      </c>
      <c r="D19" s="1">
        <v>1</v>
      </c>
    </row>
    <row r="20" spans="2:9" x14ac:dyDescent="0.25">
      <c r="B20" s="1" t="s">
        <v>132</v>
      </c>
      <c r="C20" s="1">
        <v>13</v>
      </c>
      <c r="D20" s="1">
        <v>13</v>
      </c>
    </row>
    <row r="21" spans="2:9" x14ac:dyDescent="0.25">
      <c r="B21" s="1" t="s">
        <v>471</v>
      </c>
      <c r="C21" s="1">
        <v>9</v>
      </c>
      <c r="D21" s="1">
        <v>9</v>
      </c>
    </row>
    <row r="22" spans="2:9" x14ac:dyDescent="0.25">
      <c r="B22" s="1" t="s">
        <v>472</v>
      </c>
      <c r="C22" s="1">
        <v>3</v>
      </c>
      <c r="D22" s="1">
        <v>3</v>
      </c>
    </row>
    <row r="23" spans="2:9" x14ac:dyDescent="0.25">
      <c r="B23" s="1" t="s">
        <v>1243</v>
      </c>
      <c r="C23" s="1">
        <v>1</v>
      </c>
      <c r="D23" s="1">
        <v>1</v>
      </c>
    </row>
    <row r="24" spans="2:9" x14ac:dyDescent="0.25">
      <c r="B24" s="1" t="s">
        <v>153</v>
      </c>
      <c r="C24" s="1">
        <v>7</v>
      </c>
      <c r="D24" s="1">
        <v>7</v>
      </c>
    </row>
    <row r="25" spans="2:9" x14ac:dyDescent="0.25">
      <c r="B25" s="1" t="s">
        <v>471</v>
      </c>
      <c r="C25" s="1">
        <v>5</v>
      </c>
      <c r="D25" s="1">
        <v>5</v>
      </c>
    </row>
    <row r="26" spans="2:9" x14ac:dyDescent="0.25">
      <c r="B26" s="1" t="s">
        <v>1244</v>
      </c>
      <c r="C26" s="1">
        <v>1</v>
      </c>
      <c r="D26" s="1">
        <v>1</v>
      </c>
    </row>
    <row r="27" spans="2:9" x14ac:dyDescent="0.25">
      <c r="B27" s="1" t="s">
        <v>472</v>
      </c>
      <c r="C27" s="1">
        <v>1</v>
      </c>
      <c r="D27" s="1">
        <v>1</v>
      </c>
    </row>
    <row r="28" spans="2:9" x14ac:dyDescent="0.25">
      <c r="B28" s="1" t="s">
        <v>103</v>
      </c>
      <c r="C28" s="1">
        <v>7</v>
      </c>
      <c r="D28" s="1">
        <v>7</v>
      </c>
    </row>
    <row r="29" spans="2:9" x14ac:dyDescent="0.25">
      <c r="B29" s="1" t="s">
        <v>471</v>
      </c>
      <c r="C29" s="1">
        <v>5</v>
      </c>
      <c r="D29" s="1">
        <v>5</v>
      </c>
    </row>
    <row r="30" spans="2:9" x14ac:dyDescent="0.25">
      <c r="B30" s="1" t="s">
        <v>1243</v>
      </c>
      <c r="C30" s="1">
        <v>1</v>
      </c>
      <c r="D30" s="1">
        <v>1</v>
      </c>
    </row>
    <row r="31" spans="2:9" x14ac:dyDescent="0.25">
      <c r="B31" s="1" t="s">
        <v>1244</v>
      </c>
      <c r="C31" s="1">
        <v>1</v>
      </c>
      <c r="D31" s="1">
        <v>1</v>
      </c>
    </row>
    <row r="32" spans="2:9" x14ac:dyDescent="0.25">
      <c r="B32" s="1" t="s">
        <v>482</v>
      </c>
      <c r="C32" s="1">
        <v>6</v>
      </c>
      <c r="D32" s="1">
        <v>6</v>
      </c>
    </row>
    <row r="33" spans="2:4" x14ac:dyDescent="0.25">
      <c r="B33" s="1" t="s">
        <v>471</v>
      </c>
      <c r="C33" s="1">
        <v>3</v>
      </c>
      <c r="D33" s="1">
        <v>3</v>
      </c>
    </row>
    <row r="34" spans="2:4" x14ac:dyDescent="0.25">
      <c r="B34" s="1" t="s">
        <v>1255</v>
      </c>
      <c r="C34" s="1">
        <v>1</v>
      </c>
      <c r="D34" s="1">
        <v>1</v>
      </c>
    </row>
    <row r="35" spans="2:4" x14ac:dyDescent="0.25">
      <c r="B35" s="1" t="s">
        <v>1243</v>
      </c>
      <c r="C35" s="1">
        <v>1</v>
      </c>
      <c r="D35" s="1">
        <v>1</v>
      </c>
    </row>
    <row r="36" spans="2:4" x14ac:dyDescent="0.25">
      <c r="B36" s="1" t="s">
        <v>472</v>
      </c>
      <c r="C36" s="1">
        <v>1</v>
      </c>
      <c r="D36" s="1">
        <v>1</v>
      </c>
    </row>
    <row r="37" spans="2:4" x14ac:dyDescent="0.25">
      <c r="B37" s="1" t="s">
        <v>478</v>
      </c>
      <c r="C37" s="1">
        <v>6</v>
      </c>
      <c r="D37" s="1">
        <v>6</v>
      </c>
    </row>
    <row r="38" spans="2:4" x14ac:dyDescent="0.25">
      <c r="B38" s="1" t="s">
        <v>471</v>
      </c>
      <c r="C38" s="1">
        <v>5</v>
      </c>
      <c r="D38" s="1">
        <v>5</v>
      </c>
    </row>
    <row r="39" spans="2:4" x14ac:dyDescent="0.25">
      <c r="B39" s="1" t="s">
        <v>1243</v>
      </c>
      <c r="C39" s="1">
        <v>1</v>
      </c>
      <c r="D39" s="1">
        <v>1</v>
      </c>
    </row>
    <row r="40" spans="2:4" x14ac:dyDescent="0.25">
      <c r="B40" s="1" t="s">
        <v>99</v>
      </c>
      <c r="C40" s="1">
        <v>1</v>
      </c>
      <c r="D40" s="1">
        <v>1</v>
      </c>
    </row>
    <row r="41" spans="2:4" x14ac:dyDescent="0.25">
      <c r="B41" s="1" t="s">
        <v>471</v>
      </c>
      <c r="C41" s="1">
        <v>1</v>
      </c>
      <c r="D41" s="1">
        <v>1</v>
      </c>
    </row>
    <row r="42" spans="2:4" x14ac:dyDescent="0.25">
      <c r="B42" s="1" t="s">
        <v>44</v>
      </c>
      <c r="C42" s="1">
        <v>130</v>
      </c>
      <c r="D42" s="1">
        <v>130</v>
      </c>
    </row>
  </sheetData>
  <pageMargins left="0.7" right="0.7" top="0.75" bottom="0.75" header="0.3" footer="0.3"/>
  <pageSetup orientation="portrait" horizontalDpi="300" verticalDpi="300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1:K231"/>
  <sheetViews>
    <sheetView showGridLines="0" workbookViewId="0">
      <selection activeCell="C2" sqref="C2"/>
    </sheetView>
  </sheetViews>
  <sheetFormatPr defaultRowHeight="15" x14ac:dyDescent="0.25"/>
  <cols>
    <col min="1" max="1" width="1.7109375" customWidth="1"/>
    <col min="2" max="2" width="39.5703125" bestFit="1" customWidth="1"/>
    <col min="3" max="3" width="19.28515625" bestFit="1" customWidth="1"/>
    <col min="4" max="4" width="42.42578125" bestFit="1" customWidth="1"/>
    <col min="5" max="5" width="35.85546875" bestFit="1" customWidth="1"/>
    <col min="6" max="7" width="14.140625" bestFit="1" customWidth="1"/>
    <col min="8" max="8" width="11.28515625" bestFit="1" customWidth="1"/>
    <col min="9" max="9" width="1.7109375" customWidth="1"/>
    <col min="10" max="10" width="34.5703125" bestFit="1" customWidth="1"/>
    <col min="11" max="11" width="11.85546875" bestFit="1" customWidth="1"/>
  </cols>
  <sheetData>
    <row r="1" spans="2:11" x14ac:dyDescent="0.25">
      <c r="B1" s="3" t="s">
        <v>45</v>
      </c>
      <c r="C1" s="1" t="s">
        <v>47</v>
      </c>
    </row>
    <row r="2" spans="2:11" x14ac:dyDescent="0.25">
      <c r="B2" s="3" t="s">
        <v>32</v>
      </c>
      <c r="C2" s="1" t="s">
        <v>55</v>
      </c>
      <c r="J2" s="3" t="s">
        <v>32</v>
      </c>
      <c r="K2" s="1" t="s">
        <v>1269</v>
      </c>
    </row>
    <row r="4" spans="2:11" x14ac:dyDescent="0.25">
      <c r="B4" s="3" t="s">
        <v>57</v>
      </c>
      <c r="C4" s="1"/>
      <c r="D4" s="1"/>
      <c r="E4" s="1"/>
      <c r="F4" s="3" t="s">
        <v>33</v>
      </c>
      <c r="G4" s="1"/>
      <c r="H4" s="1"/>
      <c r="J4" s="3" t="s">
        <v>1531</v>
      </c>
      <c r="K4" s="1" t="s">
        <v>1532</v>
      </c>
    </row>
    <row r="5" spans="2:11" x14ac:dyDescent="0.25">
      <c r="B5" s="3" t="s">
        <v>9</v>
      </c>
      <c r="C5" s="3" t="s">
        <v>87</v>
      </c>
      <c r="D5" s="3" t="s">
        <v>8</v>
      </c>
      <c r="E5" s="3" t="s">
        <v>7</v>
      </c>
      <c r="F5" s="45" t="s">
        <v>25</v>
      </c>
      <c r="G5" s="45" t="s">
        <v>474</v>
      </c>
      <c r="H5" s="45" t="s">
        <v>44</v>
      </c>
      <c r="J5" s="1" t="s">
        <v>471</v>
      </c>
      <c r="K5" s="1"/>
    </row>
    <row r="6" spans="2:11" x14ac:dyDescent="0.25">
      <c r="B6" s="65" t="s">
        <v>457</v>
      </c>
      <c r="C6" s="65" t="s">
        <v>457</v>
      </c>
      <c r="D6" s="65" t="s">
        <v>123</v>
      </c>
      <c r="E6" s="45" t="s">
        <v>1276</v>
      </c>
      <c r="F6" s="70">
        <v>1</v>
      </c>
      <c r="G6" s="70">
        <v>1</v>
      </c>
      <c r="H6" s="70">
        <v>2</v>
      </c>
      <c r="J6" s="1" t="s">
        <v>480</v>
      </c>
      <c r="K6" s="1">
        <v>11</v>
      </c>
    </row>
    <row r="7" spans="2:11" x14ac:dyDescent="0.25">
      <c r="B7" s="61"/>
      <c r="C7" s="61"/>
      <c r="D7" s="61"/>
      <c r="E7" s="45" t="s">
        <v>1382</v>
      </c>
      <c r="F7" s="70">
        <v>1</v>
      </c>
      <c r="G7" s="70"/>
      <c r="H7" s="70">
        <v>1</v>
      </c>
      <c r="J7" s="1" t="s">
        <v>482</v>
      </c>
      <c r="K7" s="1">
        <v>7</v>
      </c>
    </row>
    <row r="8" spans="2:11" x14ac:dyDescent="0.25">
      <c r="B8" s="61"/>
      <c r="C8" s="61"/>
      <c r="D8" s="68" t="s">
        <v>1429</v>
      </c>
      <c r="E8" s="69"/>
      <c r="F8" s="72">
        <v>2</v>
      </c>
      <c r="G8" s="72">
        <v>1</v>
      </c>
      <c r="H8" s="72">
        <v>3</v>
      </c>
      <c r="J8" s="1" t="s">
        <v>1244</v>
      </c>
      <c r="K8" s="1"/>
    </row>
    <row r="9" spans="2:11" x14ac:dyDescent="0.25">
      <c r="B9" s="61"/>
      <c r="C9" s="61"/>
      <c r="D9" s="65" t="s">
        <v>101</v>
      </c>
      <c r="E9" s="45" t="s">
        <v>1248</v>
      </c>
      <c r="F9" s="70"/>
      <c r="G9" s="70">
        <v>2</v>
      </c>
      <c r="H9" s="70">
        <v>2</v>
      </c>
      <c r="J9" s="1" t="s">
        <v>480</v>
      </c>
      <c r="K9" s="1">
        <v>1</v>
      </c>
    </row>
    <row r="10" spans="2:11" x14ac:dyDescent="0.25">
      <c r="B10" s="61"/>
      <c r="C10" s="61"/>
      <c r="D10" s="61"/>
      <c r="E10" s="45" t="s">
        <v>1249</v>
      </c>
      <c r="F10" s="70"/>
      <c r="G10" s="70">
        <v>3</v>
      </c>
      <c r="H10" s="70">
        <v>3</v>
      </c>
      <c r="J10" s="1" t="s">
        <v>103</v>
      </c>
      <c r="K10" s="1">
        <v>1</v>
      </c>
    </row>
    <row r="11" spans="2:11" x14ac:dyDescent="0.25">
      <c r="B11" s="61"/>
      <c r="C11" s="61"/>
      <c r="D11" s="61"/>
      <c r="E11" s="45" t="s">
        <v>1272</v>
      </c>
      <c r="F11" s="70">
        <v>5</v>
      </c>
      <c r="G11" s="70">
        <v>3</v>
      </c>
      <c r="H11" s="70">
        <v>8</v>
      </c>
      <c r="J11" s="1" t="s">
        <v>1243</v>
      </c>
      <c r="K11" s="1"/>
    </row>
    <row r="12" spans="2:11" x14ac:dyDescent="0.25">
      <c r="B12" s="61"/>
      <c r="C12" s="61"/>
      <c r="D12" s="61"/>
      <c r="E12" s="45" t="s">
        <v>1355</v>
      </c>
      <c r="F12" s="70"/>
      <c r="G12" s="70">
        <v>3</v>
      </c>
      <c r="H12" s="70">
        <v>3</v>
      </c>
      <c r="J12" s="1" t="s">
        <v>482</v>
      </c>
      <c r="K12" s="1">
        <v>1</v>
      </c>
    </row>
    <row r="13" spans="2:11" x14ac:dyDescent="0.25">
      <c r="B13" s="61"/>
      <c r="C13" s="61"/>
      <c r="D13" s="68" t="s">
        <v>1439</v>
      </c>
      <c r="E13" s="69"/>
      <c r="F13" s="72">
        <v>5</v>
      </c>
      <c r="G13" s="72">
        <v>11</v>
      </c>
      <c r="H13" s="72">
        <v>16</v>
      </c>
      <c r="J13" s="1" t="s">
        <v>472</v>
      </c>
      <c r="K13" s="1"/>
    </row>
    <row r="14" spans="2:11" x14ac:dyDescent="0.25">
      <c r="B14" s="61"/>
      <c r="C14" s="61"/>
      <c r="D14" s="45" t="s">
        <v>116</v>
      </c>
      <c r="E14" s="45" t="s">
        <v>1388</v>
      </c>
      <c r="F14" s="70"/>
      <c r="G14" s="70">
        <v>1</v>
      </c>
      <c r="H14" s="70">
        <v>1</v>
      </c>
      <c r="J14" s="1" t="s">
        <v>480</v>
      </c>
      <c r="K14" s="1">
        <v>1</v>
      </c>
    </row>
    <row r="15" spans="2:11" x14ac:dyDescent="0.25">
      <c r="B15" s="61"/>
      <c r="C15" s="61"/>
      <c r="D15" s="68" t="s">
        <v>1459</v>
      </c>
      <c r="E15" s="69"/>
      <c r="F15" s="72"/>
      <c r="G15" s="72">
        <v>1</v>
      </c>
      <c r="H15" s="72">
        <v>1</v>
      </c>
      <c r="J15" s="1" t="s">
        <v>44</v>
      </c>
      <c r="K15" s="1">
        <v>22</v>
      </c>
    </row>
    <row r="16" spans="2:11" x14ac:dyDescent="0.25">
      <c r="B16" s="61"/>
      <c r="C16" s="61"/>
      <c r="D16" s="45" t="s">
        <v>151</v>
      </c>
      <c r="E16" s="45" t="s">
        <v>151</v>
      </c>
      <c r="F16" s="70"/>
      <c r="G16" s="70">
        <v>4</v>
      </c>
      <c r="H16" s="70">
        <v>4</v>
      </c>
    </row>
    <row r="17" spans="2:8" x14ac:dyDescent="0.25">
      <c r="B17" s="61"/>
      <c r="C17" s="61"/>
      <c r="D17" s="68" t="s">
        <v>1462</v>
      </c>
      <c r="E17" s="69"/>
      <c r="F17" s="72"/>
      <c r="G17" s="72">
        <v>4</v>
      </c>
      <c r="H17" s="72">
        <v>4</v>
      </c>
    </row>
    <row r="18" spans="2:8" x14ac:dyDescent="0.25">
      <c r="B18" s="61"/>
      <c r="C18" s="61"/>
      <c r="D18" s="45" t="s">
        <v>173</v>
      </c>
      <c r="E18" s="45" t="s">
        <v>1375</v>
      </c>
      <c r="F18" s="70">
        <v>1</v>
      </c>
      <c r="G18" s="70"/>
      <c r="H18" s="70">
        <v>1</v>
      </c>
    </row>
    <row r="19" spans="2:8" x14ac:dyDescent="0.25">
      <c r="B19" s="61"/>
      <c r="C19" s="61"/>
      <c r="D19" s="68" t="s">
        <v>1480</v>
      </c>
      <c r="E19" s="69"/>
      <c r="F19" s="72">
        <v>1</v>
      </c>
      <c r="G19" s="72"/>
      <c r="H19" s="72">
        <v>1</v>
      </c>
    </row>
    <row r="20" spans="2:8" x14ac:dyDescent="0.25">
      <c r="B20" s="61"/>
      <c r="C20" s="66" t="s">
        <v>1297</v>
      </c>
      <c r="D20" s="67"/>
      <c r="E20" s="67"/>
      <c r="F20" s="71">
        <v>8</v>
      </c>
      <c r="G20" s="71">
        <v>17</v>
      </c>
      <c r="H20" s="71">
        <v>25</v>
      </c>
    </row>
    <row r="21" spans="2:8" x14ac:dyDescent="0.25">
      <c r="B21" s="65" t="s">
        <v>1297</v>
      </c>
      <c r="C21" s="61"/>
      <c r="D21" s="61"/>
      <c r="E21" s="61"/>
      <c r="F21" s="70">
        <v>8</v>
      </c>
      <c r="G21" s="70">
        <v>17</v>
      </c>
      <c r="H21" s="70">
        <v>25</v>
      </c>
    </row>
    <row r="22" spans="2:8" x14ac:dyDescent="0.25">
      <c r="B22" s="65" t="s">
        <v>459</v>
      </c>
      <c r="C22" s="65" t="s">
        <v>459</v>
      </c>
      <c r="D22" s="65" t="s">
        <v>109</v>
      </c>
      <c r="E22" s="45" t="s">
        <v>1303</v>
      </c>
      <c r="F22" s="70"/>
      <c r="G22" s="70">
        <v>1</v>
      </c>
      <c r="H22" s="70">
        <v>1</v>
      </c>
    </row>
    <row r="23" spans="2:8" x14ac:dyDescent="0.25">
      <c r="B23" s="61"/>
      <c r="C23" s="61"/>
      <c r="D23" s="61"/>
      <c r="E23" s="45" t="s">
        <v>1315</v>
      </c>
      <c r="F23" s="70">
        <v>1</v>
      </c>
      <c r="G23" s="70"/>
      <c r="H23" s="70">
        <v>1</v>
      </c>
    </row>
    <row r="24" spans="2:8" x14ac:dyDescent="0.25">
      <c r="B24" s="61"/>
      <c r="C24" s="61"/>
      <c r="D24" s="61"/>
      <c r="E24" s="45" t="s">
        <v>1277</v>
      </c>
      <c r="F24" s="70">
        <v>1</v>
      </c>
      <c r="G24" s="70"/>
      <c r="H24" s="70">
        <v>1</v>
      </c>
    </row>
    <row r="25" spans="2:8" x14ac:dyDescent="0.25">
      <c r="B25" s="61"/>
      <c r="C25" s="61"/>
      <c r="D25" s="61"/>
      <c r="E25" s="45" t="s">
        <v>1298</v>
      </c>
      <c r="F25" s="70">
        <v>1</v>
      </c>
      <c r="G25" s="70">
        <v>1</v>
      </c>
      <c r="H25" s="70">
        <v>2</v>
      </c>
    </row>
    <row r="26" spans="2:8" x14ac:dyDescent="0.25">
      <c r="B26" s="61"/>
      <c r="C26" s="61"/>
      <c r="D26" s="68" t="s">
        <v>1426</v>
      </c>
      <c r="E26" s="69"/>
      <c r="F26" s="72">
        <v>3</v>
      </c>
      <c r="G26" s="72">
        <v>2</v>
      </c>
      <c r="H26" s="72">
        <v>5</v>
      </c>
    </row>
    <row r="27" spans="2:8" x14ac:dyDescent="0.25">
      <c r="B27" s="61"/>
      <c r="C27" s="61"/>
      <c r="D27" s="45" t="s">
        <v>163</v>
      </c>
      <c r="E27" s="45" t="s">
        <v>1345</v>
      </c>
      <c r="F27" s="70">
        <v>1</v>
      </c>
      <c r="G27" s="70"/>
      <c r="H27" s="70">
        <v>1</v>
      </c>
    </row>
    <row r="28" spans="2:8" x14ac:dyDescent="0.25">
      <c r="B28" s="61"/>
      <c r="C28" s="61"/>
      <c r="D28" s="68" t="s">
        <v>1467</v>
      </c>
      <c r="E28" s="69"/>
      <c r="F28" s="72">
        <v>1</v>
      </c>
      <c r="G28" s="72"/>
      <c r="H28" s="72">
        <v>1</v>
      </c>
    </row>
    <row r="29" spans="2:8" x14ac:dyDescent="0.25">
      <c r="B29" s="61"/>
      <c r="C29" s="61"/>
      <c r="D29" s="65" t="s">
        <v>162</v>
      </c>
      <c r="E29" s="45" t="s">
        <v>1313</v>
      </c>
      <c r="F29" s="70"/>
      <c r="G29" s="70">
        <v>1</v>
      </c>
      <c r="H29" s="70">
        <v>1</v>
      </c>
    </row>
    <row r="30" spans="2:8" x14ac:dyDescent="0.25">
      <c r="B30" s="61"/>
      <c r="C30" s="61"/>
      <c r="D30" s="61"/>
      <c r="E30" s="45" t="s">
        <v>1316</v>
      </c>
      <c r="F30" s="70"/>
      <c r="G30" s="70">
        <v>1</v>
      </c>
      <c r="H30" s="70">
        <v>1</v>
      </c>
    </row>
    <row r="31" spans="2:8" x14ac:dyDescent="0.25">
      <c r="B31" s="61"/>
      <c r="C31" s="61"/>
      <c r="D31" s="61"/>
      <c r="E31" s="45" t="s">
        <v>1257</v>
      </c>
      <c r="F31" s="70">
        <v>4</v>
      </c>
      <c r="G31" s="70"/>
      <c r="H31" s="70">
        <v>4</v>
      </c>
    </row>
    <row r="32" spans="2:8" x14ac:dyDescent="0.25">
      <c r="B32" s="61"/>
      <c r="C32" s="61"/>
      <c r="D32" s="68" t="s">
        <v>1473</v>
      </c>
      <c r="E32" s="69"/>
      <c r="F32" s="72">
        <v>4</v>
      </c>
      <c r="G32" s="72">
        <v>2</v>
      </c>
      <c r="H32" s="72">
        <v>6</v>
      </c>
    </row>
    <row r="33" spans="2:8" x14ac:dyDescent="0.25">
      <c r="B33" s="61"/>
      <c r="C33" s="61"/>
      <c r="D33" s="65" t="s">
        <v>121</v>
      </c>
      <c r="E33" s="45" t="s">
        <v>1311</v>
      </c>
      <c r="F33" s="70">
        <v>2</v>
      </c>
      <c r="G33" s="70"/>
      <c r="H33" s="70">
        <v>2</v>
      </c>
    </row>
    <row r="34" spans="2:8" x14ac:dyDescent="0.25">
      <c r="B34" s="61"/>
      <c r="C34" s="61"/>
      <c r="D34" s="61"/>
      <c r="E34" s="45" t="s">
        <v>1367</v>
      </c>
      <c r="F34" s="70">
        <v>1</v>
      </c>
      <c r="G34" s="70"/>
      <c r="H34" s="70">
        <v>1</v>
      </c>
    </row>
    <row r="35" spans="2:8" x14ac:dyDescent="0.25">
      <c r="B35" s="61"/>
      <c r="C35" s="61"/>
      <c r="D35" s="61"/>
      <c r="E35" s="45" t="s">
        <v>1289</v>
      </c>
      <c r="F35" s="70"/>
      <c r="G35" s="70">
        <v>1</v>
      </c>
      <c r="H35" s="70">
        <v>1</v>
      </c>
    </row>
    <row r="36" spans="2:8" x14ac:dyDescent="0.25">
      <c r="B36" s="61"/>
      <c r="C36" s="61"/>
      <c r="D36" s="61"/>
      <c r="E36" s="45" t="s">
        <v>1282</v>
      </c>
      <c r="F36" s="70"/>
      <c r="G36" s="70">
        <v>1</v>
      </c>
      <c r="H36" s="70">
        <v>1</v>
      </c>
    </row>
    <row r="37" spans="2:8" x14ac:dyDescent="0.25">
      <c r="B37" s="61"/>
      <c r="C37" s="61"/>
      <c r="D37" s="61"/>
      <c r="E37" s="45" t="s">
        <v>1359</v>
      </c>
      <c r="F37" s="70">
        <v>1</v>
      </c>
      <c r="G37" s="70"/>
      <c r="H37" s="70">
        <v>1</v>
      </c>
    </row>
    <row r="38" spans="2:8" x14ac:dyDescent="0.25">
      <c r="B38" s="61"/>
      <c r="C38" s="61"/>
      <c r="D38" s="61"/>
      <c r="E38" s="45" t="s">
        <v>1333</v>
      </c>
      <c r="F38" s="70"/>
      <c r="G38" s="70">
        <v>1</v>
      </c>
      <c r="H38" s="70">
        <v>1</v>
      </c>
    </row>
    <row r="39" spans="2:8" x14ac:dyDescent="0.25">
      <c r="B39" s="61"/>
      <c r="C39" s="61"/>
      <c r="D39" s="61"/>
      <c r="E39" s="45" t="s">
        <v>1268</v>
      </c>
      <c r="F39" s="70">
        <v>1</v>
      </c>
      <c r="G39" s="70"/>
      <c r="H39" s="70">
        <v>1</v>
      </c>
    </row>
    <row r="40" spans="2:8" x14ac:dyDescent="0.25">
      <c r="B40" s="61"/>
      <c r="C40" s="61"/>
      <c r="D40" s="61"/>
      <c r="E40" s="45" t="s">
        <v>1280</v>
      </c>
      <c r="F40" s="70">
        <v>1</v>
      </c>
      <c r="G40" s="70"/>
      <c r="H40" s="70">
        <v>1</v>
      </c>
    </row>
    <row r="41" spans="2:8" x14ac:dyDescent="0.25">
      <c r="B41" s="61"/>
      <c r="C41" s="61"/>
      <c r="D41" s="68" t="s">
        <v>1504</v>
      </c>
      <c r="E41" s="69"/>
      <c r="F41" s="72">
        <v>6</v>
      </c>
      <c r="G41" s="72">
        <v>3</v>
      </c>
      <c r="H41" s="72">
        <v>9</v>
      </c>
    </row>
    <row r="42" spans="2:8" x14ac:dyDescent="0.25">
      <c r="B42" s="61"/>
      <c r="C42" s="61"/>
      <c r="D42" s="65" t="s">
        <v>143</v>
      </c>
      <c r="E42" s="45" t="s">
        <v>1317</v>
      </c>
      <c r="F42" s="70">
        <v>1</v>
      </c>
      <c r="G42" s="70"/>
      <c r="H42" s="70">
        <v>1</v>
      </c>
    </row>
    <row r="43" spans="2:8" x14ac:dyDescent="0.25">
      <c r="B43" s="61"/>
      <c r="C43" s="61"/>
      <c r="D43" s="61"/>
      <c r="E43" s="45" t="s">
        <v>1290</v>
      </c>
      <c r="F43" s="70"/>
      <c r="G43" s="70">
        <v>1</v>
      </c>
      <c r="H43" s="70">
        <v>1</v>
      </c>
    </row>
    <row r="44" spans="2:8" x14ac:dyDescent="0.25">
      <c r="B44" s="61"/>
      <c r="C44" s="61"/>
      <c r="D44" s="68" t="s">
        <v>1516</v>
      </c>
      <c r="E44" s="69"/>
      <c r="F44" s="72">
        <v>1</v>
      </c>
      <c r="G44" s="72">
        <v>1</v>
      </c>
      <c r="H44" s="72">
        <v>2</v>
      </c>
    </row>
    <row r="45" spans="2:8" x14ac:dyDescent="0.25">
      <c r="B45" s="61"/>
      <c r="C45" s="61"/>
      <c r="D45" s="45" t="s">
        <v>144</v>
      </c>
      <c r="E45" s="45" t="s">
        <v>1360</v>
      </c>
      <c r="F45" s="70"/>
      <c r="G45" s="70">
        <v>2</v>
      </c>
      <c r="H45" s="70">
        <v>2</v>
      </c>
    </row>
    <row r="46" spans="2:8" x14ac:dyDescent="0.25">
      <c r="B46" s="61"/>
      <c r="C46" s="61"/>
      <c r="D46" s="68" t="s">
        <v>1520</v>
      </c>
      <c r="E46" s="69"/>
      <c r="F46" s="72"/>
      <c r="G46" s="72">
        <v>2</v>
      </c>
      <c r="H46" s="72">
        <v>2</v>
      </c>
    </row>
    <row r="47" spans="2:8" x14ac:dyDescent="0.25">
      <c r="B47" s="61"/>
      <c r="C47" s="66" t="s">
        <v>1296</v>
      </c>
      <c r="D47" s="67"/>
      <c r="E47" s="67"/>
      <c r="F47" s="71">
        <v>15</v>
      </c>
      <c r="G47" s="71">
        <v>10</v>
      </c>
      <c r="H47" s="71">
        <v>25</v>
      </c>
    </row>
    <row r="48" spans="2:8" x14ac:dyDescent="0.25">
      <c r="B48" s="65" t="s">
        <v>1296</v>
      </c>
      <c r="C48" s="61"/>
      <c r="D48" s="61"/>
      <c r="E48" s="61"/>
      <c r="F48" s="70">
        <v>15</v>
      </c>
      <c r="G48" s="70">
        <v>10</v>
      </c>
      <c r="H48" s="70">
        <v>25</v>
      </c>
    </row>
    <row r="49" spans="2:8" x14ac:dyDescent="0.25">
      <c r="B49" s="65" t="s">
        <v>1096</v>
      </c>
      <c r="C49" s="65" t="s">
        <v>1096</v>
      </c>
      <c r="D49" s="65" t="s">
        <v>101</v>
      </c>
      <c r="E49" s="45" t="s">
        <v>1272</v>
      </c>
      <c r="F49" s="70">
        <v>3</v>
      </c>
      <c r="G49" s="70">
        <v>2</v>
      </c>
      <c r="H49" s="70">
        <v>5</v>
      </c>
    </row>
    <row r="50" spans="2:8" x14ac:dyDescent="0.25">
      <c r="B50" s="61"/>
      <c r="C50" s="61"/>
      <c r="D50" s="61"/>
      <c r="E50" s="45" t="s">
        <v>1260</v>
      </c>
      <c r="F50" s="70">
        <v>7</v>
      </c>
      <c r="G50" s="70">
        <v>1</v>
      </c>
      <c r="H50" s="70">
        <v>8</v>
      </c>
    </row>
    <row r="51" spans="2:8" x14ac:dyDescent="0.25">
      <c r="B51" s="61"/>
      <c r="C51" s="61"/>
      <c r="D51" s="61"/>
      <c r="E51" s="45" t="s">
        <v>1355</v>
      </c>
      <c r="F51" s="70"/>
      <c r="G51" s="70">
        <v>2</v>
      </c>
      <c r="H51" s="70">
        <v>2</v>
      </c>
    </row>
    <row r="52" spans="2:8" x14ac:dyDescent="0.25">
      <c r="B52" s="61"/>
      <c r="C52" s="61"/>
      <c r="D52" s="61"/>
      <c r="E52" s="45" t="s">
        <v>1253</v>
      </c>
      <c r="F52" s="70">
        <v>2</v>
      </c>
      <c r="G52" s="70"/>
      <c r="H52" s="70">
        <v>2</v>
      </c>
    </row>
    <row r="53" spans="2:8" x14ac:dyDescent="0.25">
      <c r="B53" s="61"/>
      <c r="C53" s="61"/>
      <c r="D53" s="68" t="s">
        <v>1439</v>
      </c>
      <c r="E53" s="69"/>
      <c r="F53" s="72">
        <v>12</v>
      </c>
      <c r="G53" s="72">
        <v>5</v>
      </c>
      <c r="H53" s="72">
        <v>17</v>
      </c>
    </row>
    <row r="54" spans="2:8" x14ac:dyDescent="0.25">
      <c r="B54" s="61"/>
      <c r="C54" s="61"/>
      <c r="D54" s="65" t="s">
        <v>116</v>
      </c>
      <c r="E54" s="45" t="s">
        <v>1391</v>
      </c>
      <c r="F54" s="70">
        <v>1</v>
      </c>
      <c r="G54" s="70"/>
      <c r="H54" s="70">
        <v>1</v>
      </c>
    </row>
    <row r="55" spans="2:8" x14ac:dyDescent="0.25">
      <c r="B55" s="61"/>
      <c r="C55" s="61"/>
      <c r="D55" s="61"/>
      <c r="E55" s="45" t="s">
        <v>1352</v>
      </c>
      <c r="F55" s="70">
        <v>2</v>
      </c>
      <c r="G55" s="70"/>
      <c r="H55" s="70">
        <v>2</v>
      </c>
    </row>
    <row r="56" spans="2:8" x14ac:dyDescent="0.25">
      <c r="B56" s="61"/>
      <c r="C56" s="61"/>
      <c r="D56" s="61"/>
      <c r="E56" s="45" t="s">
        <v>1304</v>
      </c>
      <c r="F56" s="70">
        <v>1</v>
      </c>
      <c r="G56" s="70">
        <v>2</v>
      </c>
      <c r="H56" s="70">
        <v>3</v>
      </c>
    </row>
    <row r="57" spans="2:8" x14ac:dyDescent="0.25">
      <c r="B57" s="61"/>
      <c r="C57" s="61"/>
      <c r="D57" s="61"/>
      <c r="E57" s="45" t="s">
        <v>1385</v>
      </c>
      <c r="F57" s="70">
        <v>1</v>
      </c>
      <c r="G57" s="70"/>
      <c r="H57" s="70">
        <v>1</v>
      </c>
    </row>
    <row r="58" spans="2:8" x14ac:dyDescent="0.25">
      <c r="B58" s="61"/>
      <c r="C58" s="61"/>
      <c r="D58" s="68" t="s">
        <v>1459</v>
      </c>
      <c r="E58" s="69"/>
      <c r="F58" s="72">
        <v>5</v>
      </c>
      <c r="G58" s="72">
        <v>2</v>
      </c>
      <c r="H58" s="72">
        <v>7</v>
      </c>
    </row>
    <row r="59" spans="2:8" x14ac:dyDescent="0.25">
      <c r="B59" s="61"/>
      <c r="C59" s="61"/>
      <c r="D59" s="45" t="s">
        <v>173</v>
      </c>
      <c r="E59" s="45" t="s">
        <v>1375</v>
      </c>
      <c r="F59" s="70"/>
      <c r="G59" s="70">
        <v>1</v>
      </c>
      <c r="H59" s="70">
        <v>1</v>
      </c>
    </row>
    <row r="60" spans="2:8" x14ac:dyDescent="0.25">
      <c r="B60" s="61"/>
      <c r="C60" s="61"/>
      <c r="D60" s="68" t="s">
        <v>1480</v>
      </c>
      <c r="E60" s="69"/>
      <c r="F60" s="72"/>
      <c r="G60" s="72">
        <v>1</v>
      </c>
      <c r="H60" s="72">
        <v>1</v>
      </c>
    </row>
    <row r="61" spans="2:8" x14ac:dyDescent="0.25">
      <c r="B61" s="61"/>
      <c r="C61" s="66" t="s">
        <v>1408</v>
      </c>
      <c r="D61" s="67"/>
      <c r="E61" s="67"/>
      <c r="F61" s="71">
        <v>17</v>
      </c>
      <c r="G61" s="71">
        <v>8</v>
      </c>
      <c r="H61" s="71">
        <v>25</v>
      </c>
    </row>
    <row r="62" spans="2:8" x14ac:dyDescent="0.25">
      <c r="B62" s="65" t="s">
        <v>1408</v>
      </c>
      <c r="C62" s="61"/>
      <c r="D62" s="61"/>
      <c r="E62" s="61"/>
      <c r="F62" s="70">
        <v>17</v>
      </c>
      <c r="G62" s="70">
        <v>8</v>
      </c>
      <c r="H62" s="70">
        <v>25</v>
      </c>
    </row>
    <row r="63" spans="2:8" x14ac:dyDescent="0.25">
      <c r="B63" s="65" t="s">
        <v>480</v>
      </c>
      <c r="C63" s="65" t="s">
        <v>486</v>
      </c>
      <c r="D63" s="45" t="s">
        <v>139</v>
      </c>
      <c r="E63" s="45" t="s">
        <v>1264</v>
      </c>
      <c r="F63" s="70">
        <v>1</v>
      </c>
      <c r="G63" s="70"/>
      <c r="H63" s="70">
        <v>1</v>
      </c>
    </row>
    <row r="64" spans="2:8" x14ac:dyDescent="0.25">
      <c r="B64" s="61"/>
      <c r="C64" s="61"/>
      <c r="D64" s="68" t="s">
        <v>1444</v>
      </c>
      <c r="E64" s="69"/>
      <c r="F64" s="72">
        <v>1</v>
      </c>
      <c r="G64" s="72"/>
      <c r="H64" s="72">
        <v>1</v>
      </c>
    </row>
    <row r="65" spans="2:8" x14ac:dyDescent="0.25">
      <c r="B65" s="61"/>
      <c r="C65" s="61"/>
      <c r="D65" s="45" t="s">
        <v>115</v>
      </c>
      <c r="E65" s="45" t="s">
        <v>1281</v>
      </c>
      <c r="F65" s="70">
        <v>1</v>
      </c>
      <c r="G65" s="70">
        <v>1</v>
      </c>
      <c r="H65" s="70">
        <v>2</v>
      </c>
    </row>
    <row r="66" spans="2:8" x14ac:dyDescent="0.25">
      <c r="B66" s="61"/>
      <c r="C66" s="61"/>
      <c r="D66" s="68" t="s">
        <v>1493</v>
      </c>
      <c r="E66" s="69"/>
      <c r="F66" s="72">
        <v>1</v>
      </c>
      <c r="G66" s="72">
        <v>1</v>
      </c>
      <c r="H66" s="72">
        <v>2</v>
      </c>
    </row>
    <row r="67" spans="2:8" x14ac:dyDescent="0.25">
      <c r="B67" s="61"/>
      <c r="C67" s="66" t="s">
        <v>1523</v>
      </c>
      <c r="D67" s="67"/>
      <c r="E67" s="67"/>
      <c r="F67" s="71">
        <v>2</v>
      </c>
      <c r="G67" s="71">
        <v>1</v>
      </c>
      <c r="H67" s="71">
        <v>3</v>
      </c>
    </row>
    <row r="68" spans="2:8" x14ac:dyDescent="0.25">
      <c r="B68" s="61"/>
      <c r="C68" s="65" t="s">
        <v>99</v>
      </c>
      <c r="D68" s="45" t="s">
        <v>174</v>
      </c>
      <c r="E68" s="45" t="s">
        <v>1322</v>
      </c>
      <c r="F68" s="70"/>
      <c r="G68" s="70">
        <v>1</v>
      </c>
      <c r="H68" s="70">
        <v>1</v>
      </c>
    </row>
    <row r="69" spans="2:8" x14ac:dyDescent="0.25">
      <c r="B69" s="61"/>
      <c r="C69" s="61"/>
      <c r="D69" s="68" t="s">
        <v>1482</v>
      </c>
      <c r="E69" s="69"/>
      <c r="F69" s="72"/>
      <c r="G69" s="72">
        <v>1</v>
      </c>
      <c r="H69" s="72">
        <v>1</v>
      </c>
    </row>
    <row r="70" spans="2:8" x14ac:dyDescent="0.25">
      <c r="B70" s="61"/>
      <c r="C70" s="61"/>
      <c r="D70" s="45" t="s">
        <v>115</v>
      </c>
      <c r="E70" s="45" t="s">
        <v>1281</v>
      </c>
      <c r="F70" s="70">
        <v>2</v>
      </c>
      <c r="G70" s="70">
        <v>1</v>
      </c>
      <c r="H70" s="70">
        <v>3</v>
      </c>
    </row>
    <row r="71" spans="2:8" x14ac:dyDescent="0.25">
      <c r="B71" s="61"/>
      <c r="C71" s="61"/>
      <c r="D71" s="68" t="s">
        <v>1493</v>
      </c>
      <c r="E71" s="69"/>
      <c r="F71" s="72">
        <v>2</v>
      </c>
      <c r="G71" s="72">
        <v>1</v>
      </c>
      <c r="H71" s="72">
        <v>3</v>
      </c>
    </row>
    <row r="72" spans="2:8" x14ac:dyDescent="0.25">
      <c r="B72" s="61"/>
      <c r="C72" s="61"/>
      <c r="D72" s="45" t="s">
        <v>144</v>
      </c>
      <c r="E72" s="45" t="s">
        <v>1363</v>
      </c>
      <c r="F72" s="70">
        <v>1</v>
      </c>
      <c r="G72" s="70"/>
      <c r="H72" s="70">
        <v>1</v>
      </c>
    </row>
    <row r="73" spans="2:8" x14ac:dyDescent="0.25">
      <c r="B73" s="61"/>
      <c r="C73" s="61"/>
      <c r="D73" s="68" t="s">
        <v>1520</v>
      </c>
      <c r="E73" s="69"/>
      <c r="F73" s="72">
        <v>1</v>
      </c>
      <c r="G73" s="72"/>
      <c r="H73" s="72">
        <v>1</v>
      </c>
    </row>
    <row r="74" spans="2:8" x14ac:dyDescent="0.25">
      <c r="B74" s="61"/>
      <c r="C74" s="66" t="s">
        <v>1413</v>
      </c>
      <c r="D74" s="67"/>
      <c r="E74" s="67"/>
      <c r="F74" s="71">
        <v>3</v>
      </c>
      <c r="G74" s="71">
        <v>2</v>
      </c>
      <c r="H74" s="71">
        <v>5</v>
      </c>
    </row>
    <row r="75" spans="2:8" x14ac:dyDescent="0.25">
      <c r="B75" s="61"/>
      <c r="C75" s="65" t="s">
        <v>30</v>
      </c>
      <c r="D75" s="45" t="s">
        <v>143</v>
      </c>
      <c r="E75" s="45" t="s">
        <v>1365</v>
      </c>
      <c r="F75" s="70">
        <v>1</v>
      </c>
      <c r="G75" s="70"/>
      <c r="H75" s="70">
        <v>1</v>
      </c>
    </row>
    <row r="76" spans="2:8" x14ac:dyDescent="0.25">
      <c r="B76" s="61"/>
      <c r="C76" s="61"/>
      <c r="D76" s="68" t="s">
        <v>1516</v>
      </c>
      <c r="E76" s="69"/>
      <c r="F76" s="72">
        <v>1</v>
      </c>
      <c r="G76" s="72"/>
      <c r="H76" s="72">
        <v>1</v>
      </c>
    </row>
    <row r="77" spans="2:8" x14ac:dyDescent="0.25">
      <c r="B77" s="61"/>
      <c r="C77" s="66" t="s">
        <v>1524</v>
      </c>
      <c r="D77" s="67"/>
      <c r="E77" s="67"/>
      <c r="F77" s="71">
        <v>1</v>
      </c>
      <c r="G77" s="71"/>
      <c r="H77" s="71">
        <v>1</v>
      </c>
    </row>
    <row r="78" spans="2:8" x14ac:dyDescent="0.25">
      <c r="B78" s="61"/>
      <c r="C78" s="65" t="s">
        <v>166</v>
      </c>
      <c r="D78" s="45" t="s">
        <v>1238</v>
      </c>
      <c r="E78" s="45" t="s">
        <v>1238</v>
      </c>
      <c r="F78" s="70">
        <v>2</v>
      </c>
      <c r="G78" s="70"/>
      <c r="H78" s="70">
        <v>2</v>
      </c>
    </row>
    <row r="79" spans="2:8" x14ac:dyDescent="0.25">
      <c r="B79" s="61"/>
      <c r="C79" s="61"/>
      <c r="D79" s="68" t="s">
        <v>1418</v>
      </c>
      <c r="E79" s="69"/>
      <c r="F79" s="72">
        <v>2</v>
      </c>
      <c r="G79" s="72"/>
      <c r="H79" s="72">
        <v>2</v>
      </c>
    </row>
    <row r="80" spans="2:8" x14ac:dyDescent="0.25">
      <c r="B80" s="61"/>
      <c r="C80" s="66" t="s">
        <v>1525</v>
      </c>
      <c r="D80" s="67"/>
      <c r="E80" s="67"/>
      <c r="F80" s="71">
        <v>2</v>
      </c>
      <c r="G80" s="71"/>
      <c r="H80" s="71">
        <v>2</v>
      </c>
    </row>
    <row r="81" spans="2:8" x14ac:dyDescent="0.25">
      <c r="B81" s="61"/>
      <c r="C81" s="65" t="s">
        <v>125</v>
      </c>
      <c r="D81" s="45" t="s">
        <v>1238</v>
      </c>
      <c r="E81" s="45" t="s">
        <v>1238</v>
      </c>
      <c r="F81" s="70">
        <v>1</v>
      </c>
      <c r="G81" s="70"/>
      <c r="H81" s="70">
        <v>1</v>
      </c>
    </row>
    <row r="82" spans="2:8" x14ac:dyDescent="0.25">
      <c r="B82" s="61"/>
      <c r="C82" s="61"/>
      <c r="D82" s="68" t="s">
        <v>1418</v>
      </c>
      <c r="E82" s="69"/>
      <c r="F82" s="72">
        <v>1</v>
      </c>
      <c r="G82" s="72"/>
      <c r="H82" s="72">
        <v>1</v>
      </c>
    </row>
    <row r="83" spans="2:8" x14ac:dyDescent="0.25">
      <c r="B83" s="61"/>
      <c r="C83" s="61"/>
      <c r="D83" s="45" t="s">
        <v>163</v>
      </c>
      <c r="E83" s="45" t="s">
        <v>1353</v>
      </c>
      <c r="F83" s="70">
        <v>1</v>
      </c>
      <c r="G83" s="70"/>
      <c r="H83" s="70">
        <v>1</v>
      </c>
    </row>
    <row r="84" spans="2:8" x14ac:dyDescent="0.25">
      <c r="B84" s="61"/>
      <c r="C84" s="61"/>
      <c r="D84" s="68" t="s">
        <v>1467</v>
      </c>
      <c r="E84" s="69"/>
      <c r="F84" s="72">
        <v>1</v>
      </c>
      <c r="G84" s="72"/>
      <c r="H84" s="72">
        <v>1</v>
      </c>
    </row>
    <row r="85" spans="2:8" x14ac:dyDescent="0.25">
      <c r="B85" s="61"/>
      <c r="C85" s="66" t="s">
        <v>1526</v>
      </c>
      <c r="D85" s="67"/>
      <c r="E85" s="67"/>
      <c r="F85" s="71">
        <v>2</v>
      </c>
      <c r="G85" s="71"/>
      <c r="H85" s="71">
        <v>2</v>
      </c>
    </row>
    <row r="86" spans="2:8" x14ac:dyDescent="0.25">
      <c r="B86" s="61"/>
      <c r="C86" s="65" t="s">
        <v>478</v>
      </c>
      <c r="D86" s="45" t="s">
        <v>1238</v>
      </c>
      <c r="E86" s="45" t="s">
        <v>1238</v>
      </c>
      <c r="F86" s="70">
        <v>1</v>
      </c>
      <c r="G86" s="70">
        <v>2</v>
      </c>
      <c r="H86" s="70">
        <v>3</v>
      </c>
    </row>
    <row r="87" spans="2:8" x14ac:dyDescent="0.25">
      <c r="B87" s="61"/>
      <c r="C87" s="61"/>
      <c r="D87" s="68" t="s">
        <v>1418</v>
      </c>
      <c r="E87" s="69"/>
      <c r="F87" s="72">
        <v>1</v>
      </c>
      <c r="G87" s="72">
        <v>2</v>
      </c>
      <c r="H87" s="72">
        <v>3</v>
      </c>
    </row>
    <row r="88" spans="2:8" x14ac:dyDescent="0.25">
      <c r="B88" s="61"/>
      <c r="C88" s="61"/>
      <c r="D88" s="45" t="s">
        <v>121</v>
      </c>
      <c r="E88" s="45" t="s">
        <v>1287</v>
      </c>
      <c r="F88" s="70"/>
      <c r="G88" s="70">
        <v>1</v>
      </c>
      <c r="H88" s="70">
        <v>1</v>
      </c>
    </row>
    <row r="89" spans="2:8" x14ac:dyDescent="0.25">
      <c r="B89" s="61"/>
      <c r="C89" s="61"/>
      <c r="D89" s="68" t="s">
        <v>1504</v>
      </c>
      <c r="E89" s="69"/>
      <c r="F89" s="72"/>
      <c r="G89" s="72">
        <v>1</v>
      </c>
      <c r="H89" s="72">
        <v>1</v>
      </c>
    </row>
    <row r="90" spans="2:8" x14ac:dyDescent="0.25">
      <c r="B90" s="61"/>
      <c r="C90" s="66" t="s">
        <v>1410</v>
      </c>
      <c r="D90" s="67"/>
      <c r="E90" s="67"/>
      <c r="F90" s="71">
        <v>1</v>
      </c>
      <c r="G90" s="71">
        <v>3</v>
      </c>
      <c r="H90" s="71">
        <v>4</v>
      </c>
    </row>
    <row r="91" spans="2:8" x14ac:dyDescent="0.25">
      <c r="B91" s="61"/>
      <c r="C91" s="65" t="s">
        <v>153</v>
      </c>
      <c r="D91" s="45" t="s">
        <v>154</v>
      </c>
      <c r="E91" s="45" t="s">
        <v>1383</v>
      </c>
      <c r="F91" s="70">
        <v>1</v>
      </c>
      <c r="G91" s="70"/>
      <c r="H91" s="70">
        <v>1</v>
      </c>
    </row>
    <row r="92" spans="2:8" x14ac:dyDescent="0.25">
      <c r="B92" s="61"/>
      <c r="C92" s="61"/>
      <c r="D92" s="68" t="s">
        <v>1461</v>
      </c>
      <c r="E92" s="69"/>
      <c r="F92" s="72">
        <v>1</v>
      </c>
      <c r="G92" s="72"/>
      <c r="H92" s="72">
        <v>1</v>
      </c>
    </row>
    <row r="93" spans="2:8" x14ac:dyDescent="0.25">
      <c r="B93" s="61"/>
      <c r="C93" s="61"/>
      <c r="D93" s="45" t="s">
        <v>136</v>
      </c>
      <c r="E93" s="45" t="s">
        <v>1368</v>
      </c>
      <c r="F93" s="70"/>
      <c r="G93" s="70">
        <v>1</v>
      </c>
      <c r="H93" s="70">
        <v>1</v>
      </c>
    </row>
    <row r="94" spans="2:8" x14ac:dyDescent="0.25">
      <c r="B94" s="61"/>
      <c r="C94" s="61"/>
      <c r="D94" s="68" t="s">
        <v>1487</v>
      </c>
      <c r="E94" s="69"/>
      <c r="F94" s="72"/>
      <c r="G94" s="72">
        <v>1</v>
      </c>
      <c r="H94" s="72">
        <v>1</v>
      </c>
    </row>
    <row r="95" spans="2:8" x14ac:dyDescent="0.25">
      <c r="B95" s="61"/>
      <c r="C95" s="66" t="s">
        <v>1409</v>
      </c>
      <c r="D95" s="67"/>
      <c r="E95" s="67"/>
      <c r="F95" s="71">
        <v>1</v>
      </c>
      <c r="G95" s="71">
        <v>1</v>
      </c>
      <c r="H95" s="71">
        <v>2</v>
      </c>
    </row>
    <row r="96" spans="2:8" x14ac:dyDescent="0.25">
      <c r="B96" s="61"/>
      <c r="C96" s="65" t="s">
        <v>459</v>
      </c>
      <c r="D96" s="45" t="s">
        <v>109</v>
      </c>
      <c r="E96" s="45" t="s">
        <v>1277</v>
      </c>
      <c r="F96" s="70"/>
      <c r="G96" s="70">
        <v>1</v>
      </c>
      <c r="H96" s="70">
        <v>1</v>
      </c>
    </row>
    <row r="97" spans="2:8" x14ac:dyDescent="0.25">
      <c r="B97" s="61"/>
      <c r="C97" s="61"/>
      <c r="D97" s="68" t="s">
        <v>1426</v>
      </c>
      <c r="E97" s="69"/>
      <c r="F97" s="72"/>
      <c r="G97" s="72">
        <v>1</v>
      </c>
      <c r="H97" s="72">
        <v>1</v>
      </c>
    </row>
    <row r="98" spans="2:8" x14ac:dyDescent="0.25">
      <c r="B98" s="61"/>
      <c r="C98" s="66" t="s">
        <v>1296</v>
      </c>
      <c r="D98" s="67"/>
      <c r="E98" s="67"/>
      <c r="F98" s="71"/>
      <c r="G98" s="71">
        <v>1</v>
      </c>
      <c r="H98" s="71">
        <v>1</v>
      </c>
    </row>
    <row r="99" spans="2:8" x14ac:dyDescent="0.25">
      <c r="B99" s="65" t="s">
        <v>1415</v>
      </c>
      <c r="C99" s="61"/>
      <c r="D99" s="61"/>
      <c r="E99" s="61"/>
      <c r="F99" s="70">
        <v>12</v>
      </c>
      <c r="G99" s="70">
        <v>8</v>
      </c>
      <c r="H99" s="70">
        <v>20</v>
      </c>
    </row>
    <row r="100" spans="2:8" x14ac:dyDescent="0.25">
      <c r="B100" s="65" t="s">
        <v>482</v>
      </c>
      <c r="C100" s="65" t="s">
        <v>482</v>
      </c>
      <c r="D100" s="65" t="s">
        <v>116</v>
      </c>
      <c r="E100" s="45" t="s">
        <v>1390</v>
      </c>
      <c r="F100" s="70">
        <v>2</v>
      </c>
      <c r="G100" s="70"/>
      <c r="H100" s="70">
        <v>2</v>
      </c>
    </row>
    <row r="101" spans="2:8" x14ac:dyDescent="0.25">
      <c r="B101" s="61"/>
      <c r="C101" s="61"/>
      <c r="D101" s="61"/>
      <c r="E101" s="45" t="s">
        <v>1402</v>
      </c>
      <c r="F101" s="70">
        <v>1</v>
      </c>
      <c r="G101" s="70"/>
      <c r="H101" s="70">
        <v>1</v>
      </c>
    </row>
    <row r="102" spans="2:8" x14ac:dyDescent="0.25">
      <c r="B102" s="61"/>
      <c r="C102" s="61"/>
      <c r="D102" s="61"/>
      <c r="E102" s="45" t="s">
        <v>1279</v>
      </c>
      <c r="F102" s="70">
        <v>1</v>
      </c>
      <c r="G102" s="70"/>
      <c r="H102" s="70">
        <v>1</v>
      </c>
    </row>
    <row r="103" spans="2:8" x14ac:dyDescent="0.25">
      <c r="B103" s="61"/>
      <c r="C103" s="61"/>
      <c r="D103" s="61"/>
      <c r="E103" s="45" t="s">
        <v>1370</v>
      </c>
      <c r="F103" s="70"/>
      <c r="G103" s="70">
        <v>1</v>
      </c>
      <c r="H103" s="70">
        <v>1</v>
      </c>
    </row>
    <row r="104" spans="2:8" x14ac:dyDescent="0.25">
      <c r="B104" s="61"/>
      <c r="C104" s="61"/>
      <c r="D104" s="61"/>
      <c r="E104" s="45" t="s">
        <v>1372</v>
      </c>
      <c r="F104" s="70">
        <v>2</v>
      </c>
      <c r="G104" s="70"/>
      <c r="H104" s="70">
        <v>2</v>
      </c>
    </row>
    <row r="105" spans="2:8" x14ac:dyDescent="0.25">
      <c r="B105" s="61"/>
      <c r="C105" s="61"/>
      <c r="D105" s="68" t="s">
        <v>1459</v>
      </c>
      <c r="E105" s="69"/>
      <c r="F105" s="72">
        <v>6</v>
      </c>
      <c r="G105" s="72">
        <v>1</v>
      </c>
      <c r="H105" s="72">
        <v>7</v>
      </c>
    </row>
    <row r="106" spans="2:8" x14ac:dyDescent="0.25">
      <c r="B106" s="61"/>
      <c r="C106" s="61"/>
      <c r="D106" s="45" t="s">
        <v>173</v>
      </c>
      <c r="E106" s="45" t="s">
        <v>1375</v>
      </c>
      <c r="F106" s="70">
        <v>1</v>
      </c>
      <c r="G106" s="70"/>
      <c r="H106" s="70">
        <v>1</v>
      </c>
    </row>
    <row r="107" spans="2:8" x14ac:dyDescent="0.25">
      <c r="B107" s="61"/>
      <c r="C107" s="61"/>
      <c r="D107" s="68" t="s">
        <v>1480</v>
      </c>
      <c r="E107" s="69"/>
      <c r="F107" s="72">
        <v>1</v>
      </c>
      <c r="G107" s="72"/>
      <c r="H107" s="72">
        <v>1</v>
      </c>
    </row>
    <row r="108" spans="2:8" x14ac:dyDescent="0.25">
      <c r="B108" s="61"/>
      <c r="C108" s="61"/>
      <c r="D108" s="45" t="s">
        <v>165</v>
      </c>
      <c r="E108" s="45" t="s">
        <v>1373</v>
      </c>
      <c r="F108" s="70">
        <v>1</v>
      </c>
      <c r="G108" s="70"/>
      <c r="H108" s="70">
        <v>1</v>
      </c>
    </row>
    <row r="109" spans="2:8" x14ac:dyDescent="0.25">
      <c r="B109" s="61"/>
      <c r="C109" s="61"/>
      <c r="D109" s="68" t="s">
        <v>1489</v>
      </c>
      <c r="E109" s="69"/>
      <c r="F109" s="72">
        <v>1</v>
      </c>
      <c r="G109" s="72"/>
      <c r="H109" s="72">
        <v>1</v>
      </c>
    </row>
    <row r="110" spans="2:8" x14ac:dyDescent="0.25">
      <c r="B110" s="61"/>
      <c r="C110" s="61"/>
      <c r="D110" s="45" t="s">
        <v>155</v>
      </c>
      <c r="E110" s="45" t="s">
        <v>1247</v>
      </c>
      <c r="F110" s="70">
        <v>1</v>
      </c>
      <c r="G110" s="70"/>
      <c r="H110" s="70">
        <v>1</v>
      </c>
    </row>
    <row r="111" spans="2:8" x14ac:dyDescent="0.25">
      <c r="B111" s="61"/>
      <c r="C111" s="61"/>
      <c r="D111" s="68" t="s">
        <v>1511</v>
      </c>
      <c r="E111" s="69"/>
      <c r="F111" s="72">
        <v>1</v>
      </c>
      <c r="G111" s="72"/>
      <c r="H111" s="72">
        <v>1</v>
      </c>
    </row>
    <row r="112" spans="2:8" x14ac:dyDescent="0.25">
      <c r="B112" s="61"/>
      <c r="C112" s="66" t="s">
        <v>1412</v>
      </c>
      <c r="D112" s="67"/>
      <c r="E112" s="67"/>
      <c r="F112" s="71">
        <v>9</v>
      </c>
      <c r="G112" s="71">
        <v>1</v>
      </c>
      <c r="H112" s="71">
        <v>10</v>
      </c>
    </row>
    <row r="113" spans="2:8" x14ac:dyDescent="0.25">
      <c r="B113" s="61"/>
      <c r="C113" s="65" t="s">
        <v>99</v>
      </c>
      <c r="D113" s="45" t="s">
        <v>174</v>
      </c>
      <c r="E113" s="45" t="s">
        <v>1322</v>
      </c>
      <c r="F113" s="70">
        <v>1</v>
      </c>
      <c r="G113" s="70">
        <v>2</v>
      </c>
      <c r="H113" s="70">
        <v>3</v>
      </c>
    </row>
    <row r="114" spans="2:8" x14ac:dyDescent="0.25">
      <c r="B114" s="61"/>
      <c r="C114" s="61"/>
      <c r="D114" s="68" t="s">
        <v>1482</v>
      </c>
      <c r="E114" s="69"/>
      <c r="F114" s="72">
        <v>1</v>
      </c>
      <c r="G114" s="72">
        <v>2</v>
      </c>
      <c r="H114" s="72">
        <v>3</v>
      </c>
    </row>
    <row r="115" spans="2:8" x14ac:dyDescent="0.25">
      <c r="B115" s="61"/>
      <c r="C115" s="66" t="s">
        <v>1413</v>
      </c>
      <c r="D115" s="67"/>
      <c r="E115" s="67"/>
      <c r="F115" s="71">
        <v>1</v>
      </c>
      <c r="G115" s="71">
        <v>2</v>
      </c>
      <c r="H115" s="71">
        <v>3</v>
      </c>
    </row>
    <row r="116" spans="2:8" x14ac:dyDescent="0.25">
      <c r="B116" s="61"/>
      <c r="C116" s="65" t="s">
        <v>468</v>
      </c>
      <c r="D116" s="65" t="s">
        <v>101</v>
      </c>
      <c r="E116" s="45" t="s">
        <v>1295</v>
      </c>
      <c r="F116" s="70"/>
      <c r="G116" s="70">
        <v>1</v>
      </c>
      <c r="H116" s="70">
        <v>1</v>
      </c>
    </row>
    <row r="117" spans="2:8" x14ac:dyDescent="0.25">
      <c r="B117" s="61"/>
      <c r="C117" s="61"/>
      <c r="D117" s="61"/>
      <c r="E117" s="45" t="s">
        <v>1399</v>
      </c>
      <c r="F117" s="70"/>
      <c r="G117" s="70">
        <v>1</v>
      </c>
      <c r="H117" s="70">
        <v>1</v>
      </c>
    </row>
    <row r="118" spans="2:8" x14ac:dyDescent="0.25">
      <c r="B118" s="61"/>
      <c r="C118" s="61"/>
      <c r="D118" s="68" t="s">
        <v>1439</v>
      </c>
      <c r="E118" s="69"/>
      <c r="F118" s="72"/>
      <c r="G118" s="72">
        <v>2</v>
      </c>
      <c r="H118" s="72">
        <v>2</v>
      </c>
    </row>
    <row r="119" spans="2:8" x14ac:dyDescent="0.25">
      <c r="B119" s="61"/>
      <c r="C119" s="61"/>
      <c r="D119" s="45" t="s">
        <v>151</v>
      </c>
      <c r="E119" s="45" t="s">
        <v>151</v>
      </c>
      <c r="F119" s="70">
        <v>1</v>
      </c>
      <c r="G119" s="70"/>
      <c r="H119" s="70">
        <v>1</v>
      </c>
    </row>
    <row r="120" spans="2:8" x14ac:dyDescent="0.25">
      <c r="B120" s="61"/>
      <c r="C120" s="61"/>
      <c r="D120" s="68" t="s">
        <v>1462</v>
      </c>
      <c r="E120" s="69"/>
      <c r="F120" s="72">
        <v>1</v>
      </c>
      <c r="G120" s="72"/>
      <c r="H120" s="72">
        <v>1</v>
      </c>
    </row>
    <row r="121" spans="2:8" x14ac:dyDescent="0.25">
      <c r="B121" s="61"/>
      <c r="C121" s="66" t="s">
        <v>1527</v>
      </c>
      <c r="D121" s="67"/>
      <c r="E121" s="67"/>
      <c r="F121" s="71">
        <v>1</v>
      </c>
      <c r="G121" s="71">
        <v>2</v>
      </c>
      <c r="H121" s="71">
        <v>3</v>
      </c>
    </row>
    <row r="122" spans="2:8" x14ac:dyDescent="0.25">
      <c r="B122" s="61"/>
      <c r="C122" s="65" t="s">
        <v>127</v>
      </c>
      <c r="D122" s="45" t="s">
        <v>179</v>
      </c>
      <c r="E122" s="45" t="s">
        <v>1393</v>
      </c>
      <c r="F122" s="70">
        <v>1</v>
      </c>
      <c r="G122" s="70"/>
      <c r="H122" s="70">
        <v>1</v>
      </c>
    </row>
    <row r="123" spans="2:8" x14ac:dyDescent="0.25">
      <c r="B123" s="61"/>
      <c r="C123" s="61"/>
      <c r="D123" s="68" t="s">
        <v>1441</v>
      </c>
      <c r="E123" s="69"/>
      <c r="F123" s="72">
        <v>1</v>
      </c>
      <c r="G123" s="72"/>
      <c r="H123" s="72">
        <v>1</v>
      </c>
    </row>
    <row r="124" spans="2:8" x14ac:dyDescent="0.25">
      <c r="B124" s="61"/>
      <c r="C124" s="61"/>
      <c r="D124" s="45" t="s">
        <v>116</v>
      </c>
      <c r="E124" s="45" t="s">
        <v>1380</v>
      </c>
      <c r="F124" s="70">
        <v>1</v>
      </c>
      <c r="G124" s="70"/>
      <c r="H124" s="70">
        <v>1</v>
      </c>
    </row>
    <row r="125" spans="2:8" x14ac:dyDescent="0.25">
      <c r="B125" s="61"/>
      <c r="C125" s="61"/>
      <c r="D125" s="68" t="s">
        <v>1459</v>
      </c>
      <c r="E125" s="69"/>
      <c r="F125" s="72">
        <v>1</v>
      </c>
      <c r="G125" s="72"/>
      <c r="H125" s="72">
        <v>1</v>
      </c>
    </row>
    <row r="126" spans="2:8" x14ac:dyDescent="0.25">
      <c r="B126" s="61"/>
      <c r="C126" s="61"/>
      <c r="D126" s="45" t="s">
        <v>155</v>
      </c>
      <c r="E126" s="45" t="s">
        <v>1247</v>
      </c>
      <c r="F126" s="70">
        <v>1</v>
      </c>
      <c r="G126" s="70"/>
      <c r="H126" s="70">
        <v>1</v>
      </c>
    </row>
    <row r="127" spans="2:8" x14ac:dyDescent="0.25">
      <c r="B127" s="61"/>
      <c r="C127" s="61"/>
      <c r="D127" s="68" t="s">
        <v>1511</v>
      </c>
      <c r="E127" s="69"/>
      <c r="F127" s="72">
        <v>1</v>
      </c>
      <c r="G127" s="72"/>
      <c r="H127" s="72">
        <v>1</v>
      </c>
    </row>
    <row r="128" spans="2:8" x14ac:dyDescent="0.25">
      <c r="B128" s="61"/>
      <c r="C128" s="61"/>
      <c r="D128" s="45" t="s">
        <v>176</v>
      </c>
      <c r="E128" s="45" t="s">
        <v>1400</v>
      </c>
      <c r="F128" s="70">
        <v>1</v>
      </c>
      <c r="G128" s="70"/>
      <c r="H128" s="70">
        <v>1</v>
      </c>
    </row>
    <row r="129" spans="2:8" x14ac:dyDescent="0.25">
      <c r="B129" s="61"/>
      <c r="C129" s="61"/>
      <c r="D129" s="68" t="s">
        <v>1522</v>
      </c>
      <c r="E129" s="69"/>
      <c r="F129" s="72">
        <v>1</v>
      </c>
      <c r="G129" s="72"/>
      <c r="H129" s="72">
        <v>1</v>
      </c>
    </row>
    <row r="130" spans="2:8" x14ac:dyDescent="0.25">
      <c r="B130" s="61"/>
      <c r="C130" s="66" t="s">
        <v>1528</v>
      </c>
      <c r="D130" s="67"/>
      <c r="E130" s="67"/>
      <c r="F130" s="71">
        <v>4</v>
      </c>
      <c r="G130" s="71"/>
      <c r="H130" s="71">
        <v>4</v>
      </c>
    </row>
    <row r="131" spans="2:8" x14ac:dyDescent="0.25">
      <c r="B131" s="61"/>
      <c r="C131" s="65" t="s">
        <v>457</v>
      </c>
      <c r="D131" s="45" t="s">
        <v>151</v>
      </c>
      <c r="E131" s="45" t="s">
        <v>151</v>
      </c>
      <c r="F131" s="70"/>
      <c r="G131" s="70">
        <v>1</v>
      </c>
      <c r="H131" s="70">
        <v>1</v>
      </c>
    </row>
    <row r="132" spans="2:8" x14ac:dyDescent="0.25">
      <c r="B132" s="61"/>
      <c r="C132" s="61"/>
      <c r="D132" s="68" t="s">
        <v>1462</v>
      </c>
      <c r="E132" s="69"/>
      <c r="F132" s="72"/>
      <c r="G132" s="72">
        <v>1</v>
      </c>
      <c r="H132" s="72">
        <v>1</v>
      </c>
    </row>
    <row r="133" spans="2:8" x14ac:dyDescent="0.25">
      <c r="B133" s="61"/>
      <c r="C133" s="66" t="s">
        <v>1297</v>
      </c>
      <c r="D133" s="67"/>
      <c r="E133" s="67"/>
      <c r="F133" s="71"/>
      <c r="G133" s="71">
        <v>1</v>
      </c>
      <c r="H133" s="71">
        <v>1</v>
      </c>
    </row>
    <row r="134" spans="2:8" x14ac:dyDescent="0.25">
      <c r="B134" s="61"/>
      <c r="C134" s="65" t="s">
        <v>1105</v>
      </c>
      <c r="D134" s="65" t="s">
        <v>116</v>
      </c>
      <c r="E134" s="45" t="s">
        <v>1352</v>
      </c>
      <c r="F134" s="70">
        <v>1</v>
      </c>
      <c r="G134" s="70"/>
      <c r="H134" s="70">
        <v>1</v>
      </c>
    </row>
    <row r="135" spans="2:8" x14ac:dyDescent="0.25">
      <c r="B135" s="61"/>
      <c r="C135" s="61"/>
      <c r="D135" s="61"/>
      <c r="E135" s="45" t="s">
        <v>1275</v>
      </c>
      <c r="F135" s="70">
        <v>1</v>
      </c>
      <c r="G135" s="70"/>
      <c r="H135" s="70">
        <v>1</v>
      </c>
    </row>
    <row r="136" spans="2:8" x14ac:dyDescent="0.25">
      <c r="B136" s="61"/>
      <c r="C136" s="61"/>
      <c r="D136" s="68" t="s">
        <v>1459</v>
      </c>
      <c r="E136" s="69"/>
      <c r="F136" s="72">
        <v>2</v>
      </c>
      <c r="G136" s="72"/>
      <c r="H136" s="72">
        <v>2</v>
      </c>
    </row>
    <row r="137" spans="2:8" x14ac:dyDescent="0.25">
      <c r="B137" s="61"/>
      <c r="C137" s="66" t="s">
        <v>1529</v>
      </c>
      <c r="D137" s="67"/>
      <c r="E137" s="67"/>
      <c r="F137" s="71">
        <v>2</v>
      </c>
      <c r="G137" s="71"/>
      <c r="H137" s="71">
        <v>2</v>
      </c>
    </row>
    <row r="138" spans="2:8" x14ac:dyDescent="0.25">
      <c r="B138" s="61"/>
      <c r="C138" s="65" t="s">
        <v>103</v>
      </c>
      <c r="D138" s="45" t="s">
        <v>115</v>
      </c>
      <c r="E138" s="45" t="s">
        <v>1281</v>
      </c>
      <c r="F138" s="70"/>
      <c r="G138" s="70">
        <v>1</v>
      </c>
      <c r="H138" s="70">
        <v>1</v>
      </c>
    </row>
    <row r="139" spans="2:8" x14ac:dyDescent="0.25">
      <c r="B139" s="61"/>
      <c r="C139" s="61"/>
      <c r="D139" s="68" t="s">
        <v>1493</v>
      </c>
      <c r="E139" s="69"/>
      <c r="F139" s="72"/>
      <c r="G139" s="72">
        <v>1</v>
      </c>
      <c r="H139" s="72">
        <v>1</v>
      </c>
    </row>
    <row r="140" spans="2:8" x14ac:dyDescent="0.25">
      <c r="B140" s="61"/>
      <c r="C140" s="61"/>
      <c r="D140" s="45" t="s">
        <v>143</v>
      </c>
      <c r="E140" s="45" t="s">
        <v>1398</v>
      </c>
      <c r="F140" s="70">
        <v>1</v>
      </c>
      <c r="G140" s="70"/>
      <c r="H140" s="70">
        <v>1</v>
      </c>
    </row>
    <row r="141" spans="2:8" x14ac:dyDescent="0.25">
      <c r="B141" s="61"/>
      <c r="C141" s="61"/>
      <c r="D141" s="68" t="s">
        <v>1516</v>
      </c>
      <c r="E141" s="69"/>
      <c r="F141" s="72">
        <v>1</v>
      </c>
      <c r="G141" s="72"/>
      <c r="H141" s="72">
        <v>1</v>
      </c>
    </row>
    <row r="142" spans="2:8" x14ac:dyDescent="0.25">
      <c r="B142" s="61"/>
      <c r="C142" s="66" t="s">
        <v>1411</v>
      </c>
      <c r="D142" s="67"/>
      <c r="E142" s="67"/>
      <c r="F142" s="71">
        <v>1</v>
      </c>
      <c r="G142" s="71">
        <v>1</v>
      </c>
      <c r="H142" s="71">
        <v>2</v>
      </c>
    </row>
    <row r="143" spans="2:8" x14ac:dyDescent="0.25">
      <c r="B143" s="65" t="s">
        <v>1412</v>
      </c>
      <c r="C143" s="61"/>
      <c r="D143" s="61"/>
      <c r="E143" s="61"/>
      <c r="F143" s="70">
        <v>18</v>
      </c>
      <c r="G143" s="70">
        <v>7</v>
      </c>
      <c r="H143" s="70">
        <v>25</v>
      </c>
    </row>
    <row r="144" spans="2:8" x14ac:dyDescent="0.25">
      <c r="B144" s="65" t="s">
        <v>132</v>
      </c>
      <c r="C144" s="65" t="s">
        <v>132</v>
      </c>
      <c r="D144" s="65" t="s">
        <v>101</v>
      </c>
      <c r="E144" s="45" t="s">
        <v>1248</v>
      </c>
      <c r="F144" s="70">
        <v>3</v>
      </c>
      <c r="G144" s="70">
        <v>1</v>
      </c>
      <c r="H144" s="70">
        <v>4</v>
      </c>
    </row>
    <row r="145" spans="2:8" x14ac:dyDescent="0.25">
      <c r="B145" s="61"/>
      <c r="C145" s="61"/>
      <c r="D145" s="61"/>
      <c r="E145" s="45" t="s">
        <v>1272</v>
      </c>
      <c r="F145" s="70">
        <v>3</v>
      </c>
      <c r="G145" s="70">
        <v>4</v>
      </c>
      <c r="H145" s="70">
        <v>7</v>
      </c>
    </row>
    <row r="146" spans="2:8" x14ac:dyDescent="0.25">
      <c r="B146" s="61"/>
      <c r="C146" s="61"/>
      <c r="D146" s="61"/>
      <c r="E146" s="45" t="s">
        <v>1355</v>
      </c>
      <c r="F146" s="70">
        <v>1</v>
      </c>
      <c r="G146" s="70"/>
      <c r="H146" s="70">
        <v>1</v>
      </c>
    </row>
    <row r="147" spans="2:8" x14ac:dyDescent="0.25">
      <c r="B147" s="61"/>
      <c r="C147" s="61"/>
      <c r="D147" s="61"/>
      <c r="E147" s="45" t="s">
        <v>1254</v>
      </c>
      <c r="F147" s="70">
        <v>3</v>
      </c>
      <c r="G147" s="70"/>
      <c r="H147" s="70">
        <v>3</v>
      </c>
    </row>
    <row r="148" spans="2:8" x14ac:dyDescent="0.25">
      <c r="B148" s="61"/>
      <c r="C148" s="61"/>
      <c r="D148" s="61"/>
      <c r="E148" s="45" t="s">
        <v>1253</v>
      </c>
      <c r="F148" s="70">
        <v>1</v>
      </c>
      <c r="G148" s="70"/>
      <c r="H148" s="70">
        <v>1</v>
      </c>
    </row>
    <row r="149" spans="2:8" x14ac:dyDescent="0.25">
      <c r="B149" s="61"/>
      <c r="C149" s="61"/>
      <c r="D149" s="68" t="s">
        <v>1439</v>
      </c>
      <c r="E149" s="69"/>
      <c r="F149" s="72">
        <v>11</v>
      </c>
      <c r="G149" s="72">
        <v>5</v>
      </c>
      <c r="H149" s="72">
        <v>16</v>
      </c>
    </row>
    <row r="150" spans="2:8" x14ac:dyDescent="0.25">
      <c r="B150" s="61"/>
      <c r="C150" s="61"/>
      <c r="D150" s="65" t="s">
        <v>116</v>
      </c>
      <c r="E150" s="45" t="s">
        <v>1247</v>
      </c>
      <c r="F150" s="70">
        <v>2</v>
      </c>
      <c r="G150" s="70"/>
      <c r="H150" s="70">
        <v>2</v>
      </c>
    </row>
    <row r="151" spans="2:8" x14ac:dyDescent="0.25">
      <c r="B151" s="61"/>
      <c r="C151" s="61"/>
      <c r="D151" s="61"/>
      <c r="E151" s="45" t="s">
        <v>1354</v>
      </c>
      <c r="F151" s="70"/>
      <c r="G151" s="70">
        <v>1</v>
      </c>
      <c r="H151" s="70">
        <v>1</v>
      </c>
    </row>
    <row r="152" spans="2:8" x14ac:dyDescent="0.25">
      <c r="B152" s="61"/>
      <c r="C152" s="61"/>
      <c r="D152" s="61"/>
      <c r="E152" s="45" t="s">
        <v>1388</v>
      </c>
      <c r="F152" s="70">
        <v>1</v>
      </c>
      <c r="G152" s="70"/>
      <c r="H152" s="70">
        <v>1</v>
      </c>
    </row>
    <row r="153" spans="2:8" x14ac:dyDescent="0.25">
      <c r="B153" s="61"/>
      <c r="C153" s="61"/>
      <c r="D153" s="68" t="s">
        <v>1459</v>
      </c>
      <c r="E153" s="69"/>
      <c r="F153" s="72">
        <v>3</v>
      </c>
      <c r="G153" s="72">
        <v>1</v>
      </c>
      <c r="H153" s="72">
        <v>4</v>
      </c>
    </row>
    <row r="154" spans="2:8" x14ac:dyDescent="0.25">
      <c r="B154" s="61"/>
      <c r="C154" s="61"/>
      <c r="D154" s="45" t="s">
        <v>144</v>
      </c>
      <c r="E154" s="45" t="s">
        <v>1363</v>
      </c>
      <c r="F154" s="70">
        <v>1</v>
      </c>
      <c r="G154" s="70"/>
      <c r="H154" s="70">
        <v>1</v>
      </c>
    </row>
    <row r="155" spans="2:8" x14ac:dyDescent="0.25">
      <c r="B155" s="61"/>
      <c r="C155" s="61"/>
      <c r="D155" s="68" t="s">
        <v>1520</v>
      </c>
      <c r="E155" s="69"/>
      <c r="F155" s="72">
        <v>1</v>
      </c>
      <c r="G155" s="72"/>
      <c r="H155" s="72">
        <v>1</v>
      </c>
    </row>
    <row r="156" spans="2:8" x14ac:dyDescent="0.25">
      <c r="B156" s="61"/>
      <c r="C156" s="66" t="s">
        <v>1414</v>
      </c>
      <c r="D156" s="67"/>
      <c r="E156" s="67"/>
      <c r="F156" s="71">
        <v>15</v>
      </c>
      <c r="G156" s="71">
        <v>6</v>
      </c>
      <c r="H156" s="71">
        <v>21</v>
      </c>
    </row>
    <row r="157" spans="2:8" x14ac:dyDescent="0.25">
      <c r="B157" s="65" t="s">
        <v>1414</v>
      </c>
      <c r="C157" s="61"/>
      <c r="D157" s="61"/>
      <c r="E157" s="61"/>
      <c r="F157" s="70">
        <v>15</v>
      </c>
      <c r="G157" s="70">
        <v>6</v>
      </c>
      <c r="H157" s="70">
        <v>21</v>
      </c>
    </row>
    <row r="158" spans="2:8" x14ac:dyDescent="0.25">
      <c r="B158" s="65" t="s">
        <v>478</v>
      </c>
      <c r="C158" s="65" t="s">
        <v>478</v>
      </c>
      <c r="D158" s="65" t="s">
        <v>109</v>
      </c>
      <c r="E158" s="45" t="s">
        <v>1305</v>
      </c>
      <c r="F158" s="70">
        <v>1</v>
      </c>
      <c r="G158" s="70"/>
      <c r="H158" s="70">
        <v>1</v>
      </c>
    </row>
    <row r="159" spans="2:8" x14ac:dyDescent="0.25">
      <c r="B159" s="61"/>
      <c r="C159" s="61"/>
      <c r="D159" s="61"/>
      <c r="E159" s="45" t="s">
        <v>1325</v>
      </c>
      <c r="F159" s="70">
        <v>3</v>
      </c>
      <c r="G159" s="70"/>
      <c r="H159" s="70">
        <v>3</v>
      </c>
    </row>
    <row r="160" spans="2:8" x14ac:dyDescent="0.25">
      <c r="B160" s="61"/>
      <c r="C160" s="61"/>
      <c r="D160" s="68" t="s">
        <v>1426</v>
      </c>
      <c r="E160" s="69"/>
      <c r="F160" s="72">
        <v>4</v>
      </c>
      <c r="G160" s="72"/>
      <c r="H160" s="72">
        <v>4</v>
      </c>
    </row>
    <row r="161" spans="2:8" x14ac:dyDescent="0.25">
      <c r="B161" s="61"/>
      <c r="C161" s="61"/>
      <c r="D161" s="65" t="s">
        <v>163</v>
      </c>
      <c r="E161" s="45" t="s">
        <v>1273</v>
      </c>
      <c r="F161" s="70">
        <v>2</v>
      </c>
      <c r="G161" s="70"/>
      <c r="H161" s="70">
        <v>2</v>
      </c>
    </row>
    <row r="162" spans="2:8" x14ac:dyDescent="0.25">
      <c r="B162" s="61"/>
      <c r="C162" s="61"/>
      <c r="D162" s="61"/>
      <c r="E162" s="45" t="s">
        <v>1318</v>
      </c>
      <c r="F162" s="70">
        <v>1</v>
      </c>
      <c r="G162" s="70">
        <v>1</v>
      </c>
      <c r="H162" s="70">
        <v>2</v>
      </c>
    </row>
    <row r="163" spans="2:8" x14ac:dyDescent="0.25">
      <c r="B163" s="61"/>
      <c r="C163" s="61"/>
      <c r="D163" s="68" t="s">
        <v>1467</v>
      </c>
      <c r="E163" s="69"/>
      <c r="F163" s="72">
        <v>3</v>
      </c>
      <c r="G163" s="72">
        <v>1</v>
      </c>
      <c r="H163" s="72">
        <v>4</v>
      </c>
    </row>
    <row r="164" spans="2:8" x14ac:dyDescent="0.25">
      <c r="B164" s="61"/>
      <c r="C164" s="61"/>
      <c r="D164" s="45" t="s">
        <v>162</v>
      </c>
      <c r="E164" s="45" t="s">
        <v>1313</v>
      </c>
      <c r="F164" s="70">
        <v>3</v>
      </c>
      <c r="G164" s="70">
        <v>1</v>
      </c>
      <c r="H164" s="70">
        <v>4</v>
      </c>
    </row>
    <row r="165" spans="2:8" x14ac:dyDescent="0.25">
      <c r="B165" s="61"/>
      <c r="C165" s="61"/>
      <c r="D165" s="68" t="s">
        <v>1473</v>
      </c>
      <c r="E165" s="69"/>
      <c r="F165" s="72">
        <v>3</v>
      </c>
      <c r="G165" s="72">
        <v>1</v>
      </c>
      <c r="H165" s="72">
        <v>4</v>
      </c>
    </row>
    <row r="166" spans="2:8" x14ac:dyDescent="0.25">
      <c r="B166" s="61"/>
      <c r="C166" s="61"/>
      <c r="D166" s="65" t="s">
        <v>129</v>
      </c>
      <c r="E166" s="45" t="s">
        <v>1291</v>
      </c>
      <c r="F166" s="70">
        <v>1</v>
      </c>
      <c r="G166" s="70"/>
      <c r="H166" s="70">
        <v>1</v>
      </c>
    </row>
    <row r="167" spans="2:8" x14ac:dyDescent="0.25">
      <c r="B167" s="61"/>
      <c r="C167" s="61"/>
      <c r="D167" s="61"/>
      <c r="E167" s="45" t="s">
        <v>1338</v>
      </c>
      <c r="F167" s="70">
        <v>2</v>
      </c>
      <c r="G167" s="70">
        <v>2</v>
      </c>
      <c r="H167" s="70">
        <v>4</v>
      </c>
    </row>
    <row r="168" spans="2:8" x14ac:dyDescent="0.25">
      <c r="B168" s="61"/>
      <c r="C168" s="61"/>
      <c r="D168" s="61"/>
      <c r="E168" s="45" t="s">
        <v>1330</v>
      </c>
      <c r="F168" s="70">
        <v>3</v>
      </c>
      <c r="G168" s="70"/>
      <c r="H168" s="70">
        <v>3</v>
      </c>
    </row>
    <row r="169" spans="2:8" x14ac:dyDescent="0.25">
      <c r="B169" s="61"/>
      <c r="C169" s="61"/>
      <c r="D169" s="68" t="s">
        <v>1478</v>
      </c>
      <c r="E169" s="69"/>
      <c r="F169" s="72">
        <v>6</v>
      </c>
      <c r="G169" s="72">
        <v>2</v>
      </c>
      <c r="H169" s="72">
        <v>8</v>
      </c>
    </row>
    <row r="170" spans="2:8" x14ac:dyDescent="0.25">
      <c r="B170" s="61"/>
      <c r="C170" s="61"/>
      <c r="D170" s="65" t="s">
        <v>121</v>
      </c>
      <c r="E170" s="45" t="s">
        <v>1311</v>
      </c>
      <c r="F170" s="70">
        <v>1</v>
      </c>
      <c r="G170" s="70"/>
      <c r="H170" s="70">
        <v>1</v>
      </c>
    </row>
    <row r="171" spans="2:8" x14ac:dyDescent="0.25">
      <c r="B171" s="61"/>
      <c r="C171" s="61"/>
      <c r="D171" s="61"/>
      <c r="E171" s="45" t="s">
        <v>1357</v>
      </c>
      <c r="F171" s="70">
        <v>1</v>
      </c>
      <c r="G171" s="70"/>
      <c r="H171" s="70">
        <v>1</v>
      </c>
    </row>
    <row r="172" spans="2:8" x14ac:dyDescent="0.25">
      <c r="B172" s="61"/>
      <c r="C172" s="61"/>
      <c r="D172" s="61"/>
      <c r="E172" s="45" t="s">
        <v>1367</v>
      </c>
      <c r="F172" s="70"/>
      <c r="G172" s="70">
        <v>1</v>
      </c>
      <c r="H172" s="70">
        <v>1</v>
      </c>
    </row>
    <row r="173" spans="2:8" x14ac:dyDescent="0.25">
      <c r="B173" s="61"/>
      <c r="C173" s="61"/>
      <c r="D173" s="61"/>
      <c r="E173" s="45" t="s">
        <v>1333</v>
      </c>
      <c r="F173" s="70">
        <v>1</v>
      </c>
      <c r="G173" s="70"/>
      <c r="H173" s="70">
        <v>1</v>
      </c>
    </row>
    <row r="174" spans="2:8" x14ac:dyDescent="0.25">
      <c r="B174" s="61"/>
      <c r="C174" s="61"/>
      <c r="D174" s="61"/>
      <c r="E174" s="45" t="s">
        <v>1268</v>
      </c>
      <c r="F174" s="70">
        <v>1</v>
      </c>
      <c r="G174" s="70"/>
      <c r="H174" s="70">
        <v>1</v>
      </c>
    </row>
    <row r="175" spans="2:8" x14ac:dyDescent="0.25">
      <c r="B175" s="61"/>
      <c r="C175" s="61"/>
      <c r="D175" s="68" t="s">
        <v>1504</v>
      </c>
      <c r="E175" s="69"/>
      <c r="F175" s="72">
        <v>4</v>
      </c>
      <c r="G175" s="72">
        <v>1</v>
      </c>
      <c r="H175" s="72">
        <v>5</v>
      </c>
    </row>
    <row r="176" spans="2:8" x14ac:dyDescent="0.25">
      <c r="B176" s="61"/>
      <c r="C176" s="66" t="s">
        <v>1410</v>
      </c>
      <c r="D176" s="67"/>
      <c r="E176" s="67"/>
      <c r="F176" s="71">
        <v>20</v>
      </c>
      <c r="G176" s="71">
        <v>5</v>
      </c>
      <c r="H176" s="71">
        <v>25</v>
      </c>
    </row>
    <row r="177" spans="2:8" x14ac:dyDescent="0.25">
      <c r="B177" s="65" t="s">
        <v>1410</v>
      </c>
      <c r="C177" s="61"/>
      <c r="D177" s="61"/>
      <c r="E177" s="61"/>
      <c r="F177" s="70">
        <v>20</v>
      </c>
      <c r="G177" s="70">
        <v>5</v>
      </c>
      <c r="H177" s="70">
        <v>25</v>
      </c>
    </row>
    <row r="178" spans="2:8" x14ac:dyDescent="0.25">
      <c r="B178" s="65" t="s">
        <v>153</v>
      </c>
      <c r="C178" s="65" t="s">
        <v>153</v>
      </c>
      <c r="D178" s="45" t="s">
        <v>154</v>
      </c>
      <c r="E178" s="45" t="s">
        <v>1383</v>
      </c>
      <c r="F178" s="70">
        <v>1</v>
      </c>
      <c r="G178" s="70"/>
      <c r="H178" s="70">
        <v>1</v>
      </c>
    </row>
    <row r="179" spans="2:8" x14ac:dyDescent="0.25">
      <c r="B179" s="61"/>
      <c r="C179" s="61"/>
      <c r="D179" s="68" t="s">
        <v>1461</v>
      </c>
      <c r="E179" s="69"/>
      <c r="F179" s="72">
        <v>1</v>
      </c>
      <c r="G179" s="72"/>
      <c r="H179" s="72">
        <v>1</v>
      </c>
    </row>
    <row r="180" spans="2:8" x14ac:dyDescent="0.25">
      <c r="B180" s="61"/>
      <c r="C180" s="61"/>
      <c r="D180" s="65" t="s">
        <v>136</v>
      </c>
      <c r="E180" s="45" t="s">
        <v>1334</v>
      </c>
      <c r="F180" s="70">
        <v>14</v>
      </c>
      <c r="G180" s="70"/>
      <c r="H180" s="70">
        <v>14</v>
      </c>
    </row>
    <row r="181" spans="2:8" x14ac:dyDescent="0.25">
      <c r="B181" s="61"/>
      <c r="C181" s="61"/>
      <c r="D181" s="61"/>
      <c r="E181" s="45" t="s">
        <v>1327</v>
      </c>
      <c r="F181" s="70">
        <v>6</v>
      </c>
      <c r="G181" s="70">
        <v>1</v>
      </c>
      <c r="H181" s="70">
        <v>7</v>
      </c>
    </row>
    <row r="182" spans="2:8" x14ac:dyDescent="0.25">
      <c r="B182" s="61"/>
      <c r="C182" s="61"/>
      <c r="D182" s="61"/>
      <c r="E182" s="45" t="s">
        <v>1336</v>
      </c>
      <c r="F182" s="70">
        <v>2</v>
      </c>
      <c r="G182" s="70">
        <v>1</v>
      </c>
      <c r="H182" s="70">
        <v>3</v>
      </c>
    </row>
    <row r="183" spans="2:8" x14ac:dyDescent="0.25">
      <c r="B183" s="61"/>
      <c r="C183" s="61"/>
      <c r="D183" s="68" t="s">
        <v>1487</v>
      </c>
      <c r="E183" s="69"/>
      <c r="F183" s="72">
        <v>22</v>
      </c>
      <c r="G183" s="72">
        <v>2</v>
      </c>
      <c r="H183" s="72">
        <v>24</v>
      </c>
    </row>
    <row r="184" spans="2:8" x14ac:dyDescent="0.25">
      <c r="B184" s="61"/>
      <c r="C184" s="66" t="s">
        <v>1409</v>
      </c>
      <c r="D184" s="67"/>
      <c r="E184" s="67"/>
      <c r="F184" s="71">
        <v>23</v>
      </c>
      <c r="G184" s="71">
        <v>2</v>
      </c>
      <c r="H184" s="71">
        <v>25</v>
      </c>
    </row>
    <row r="185" spans="2:8" x14ac:dyDescent="0.25">
      <c r="B185" s="65" t="s">
        <v>1409</v>
      </c>
      <c r="C185" s="61"/>
      <c r="D185" s="61"/>
      <c r="E185" s="61"/>
      <c r="F185" s="70">
        <v>23</v>
      </c>
      <c r="G185" s="70">
        <v>2</v>
      </c>
      <c r="H185" s="70">
        <v>25</v>
      </c>
    </row>
    <row r="186" spans="2:8" x14ac:dyDescent="0.25">
      <c r="B186" s="65" t="s">
        <v>103</v>
      </c>
      <c r="C186" s="65" t="s">
        <v>1108</v>
      </c>
      <c r="D186" s="45" t="s">
        <v>116</v>
      </c>
      <c r="E186" s="45" t="s">
        <v>1304</v>
      </c>
      <c r="F186" s="70">
        <v>1</v>
      </c>
      <c r="G186" s="70"/>
      <c r="H186" s="70">
        <v>1</v>
      </c>
    </row>
    <row r="187" spans="2:8" x14ac:dyDescent="0.25">
      <c r="B187" s="61"/>
      <c r="C187" s="61"/>
      <c r="D187" s="68" t="s">
        <v>1459</v>
      </c>
      <c r="E187" s="69"/>
      <c r="F187" s="72">
        <v>1</v>
      </c>
      <c r="G187" s="72"/>
      <c r="H187" s="72">
        <v>1</v>
      </c>
    </row>
    <row r="188" spans="2:8" x14ac:dyDescent="0.25">
      <c r="B188" s="61"/>
      <c r="C188" s="66" t="s">
        <v>1530</v>
      </c>
      <c r="D188" s="67"/>
      <c r="E188" s="67"/>
      <c r="F188" s="71">
        <v>1</v>
      </c>
      <c r="G188" s="71"/>
      <c r="H188" s="71">
        <v>1</v>
      </c>
    </row>
    <row r="189" spans="2:8" x14ac:dyDescent="0.25">
      <c r="B189" s="61"/>
      <c r="C189" s="65" t="s">
        <v>99</v>
      </c>
      <c r="D189" s="45" t="s">
        <v>174</v>
      </c>
      <c r="E189" s="45" t="s">
        <v>1322</v>
      </c>
      <c r="F189" s="70">
        <v>1</v>
      </c>
      <c r="G189" s="70"/>
      <c r="H189" s="70">
        <v>1</v>
      </c>
    </row>
    <row r="190" spans="2:8" x14ac:dyDescent="0.25">
      <c r="B190" s="61"/>
      <c r="C190" s="61"/>
      <c r="D190" s="68" t="s">
        <v>1482</v>
      </c>
      <c r="E190" s="69"/>
      <c r="F190" s="72">
        <v>1</v>
      </c>
      <c r="G190" s="72"/>
      <c r="H190" s="72">
        <v>1</v>
      </c>
    </row>
    <row r="191" spans="2:8" x14ac:dyDescent="0.25">
      <c r="B191" s="61"/>
      <c r="C191" s="66" t="s">
        <v>1413</v>
      </c>
      <c r="D191" s="67"/>
      <c r="E191" s="67"/>
      <c r="F191" s="71">
        <v>1</v>
      </c>
      <c r="G191" s="71"/>
      <c r="H191" s="71">
        <v>1</v>
      </c>
    </row>
    <row r="192" spans="2:8" x14ac:dyDescent="0.25">
      <c r="B192" s="61"/>
      <c r="C192" s="65" t="s">
        <v>103</v>
      </c>
      <c r="D192" s="65" t="s">
        <v>109</v>
      </c>
      <c r="E192" s="45" t="s">
        <v>1305</v>
      </c>
      <c r="F192" s="70">
        <v>3</v>
      </c>
      <c r="G192" s="70"/>
      <c r="H192" s="70">
        <v>3</v>
      </c>
    </row>
    <row r="193" spans="2:8" x14ac:dyDescent="0.25">
      <c r="B193" s="61"/>
      <c r="C193" s="61"/>
      <c r="D193" s="61"/>
      <c r="E193" s="45" t="s">
        <v>1320</v>
      </c>
      <c r="F193" s="70">
        <v>1</v>
      </c>
      <c r="G193" s="70"/>
      <c r="H193" s="70">
        <v>1</v>
      </c>
    </row>
    <row r="194" spans="2:8" x14ac:dyDescent="0.25">
      <c r="B194" s="61"/>
      <c r="C194" s="61"/>
      <c r="D194" s="61"/>
      <c r="E194" s="45" t="s">
        <v>1303</v>
      </c>
      <c r="F194" s="70">
        <v>1</v>
      </c>
      <c r="G194" s="70"/>
      <c r="H194" s="70">
        <v>1</v>
      </c>
    </row>
    <row r="195" spans="2:8" x14ac:dyDescent="0.25">
      <c r="B195" s="61"/>
      <c r="C195" s="61"/>
      <c r="D195" s="61"/>
      <c r="E195" s="45" t="s">
        <v>1315</v>
      </c>
      <c r="F195" s="70">
        <v>2</v>
      </c>
      <c r="G195" s="70"/>
      <c r="H195" s="70">
        <v>2</v>
      </c>
    </row>
    <row r="196" spans="2:8" x14ac:dyDescent="0.25">
      <c r="B196" s="61"/>
      <c r="C196" s="61"/>
      <c r="D196" s="61"/>
      <c r="E196" s="45" t="s">
        <v>1277</v>
      </c>
      <c r="F196" s="70">
        <v>3</v>
      </c>
      <c r="G196" s="70">
        <v>1</v>
      </c>
      <c r="H196" s="70">
        <v>4</v>
      </c>
    </row>
    <row r="197" spans="2:8" x14ac:dyDescent="0.25">
      <c r="B197" s="61"/>
      <c r="C197" s="61"/>
      <c r="D197" s="61"/>
      <c r="E197" s="45" t="s">
        <v>1325</v>
      </c>
      <c r="F197" s="70">
        <v>1</v>
      </c>
      <c r="G197" s="70"/>
      <c r="H197" s="70">
        <v>1</v>
      </c>
    </row>
    <row r="198" spans="2:8" x14ac:dyDescent="0.25">
      <c r="B198" s="61"/>
      <c r="C198" s="61"/>
      <c r="D198" s="61"/>
      <c r="E198" s="45" t="s">
        <v>1298</v>
      </c>
      <c r="F198" s="70">
        <v>2</v>
      </c>
      <c r="G198" s="70">
        <v>1</v>
      </c>
      <c r="H198" s="70">
        <v>3</v>
      </c>
    </row>
    <row r="199" spans="2:8" x14ac:dyDescent="0.25">
      <c r="B199" s="61"/>
      <c r="C199" s="61"/>
      <c r="D199" s="68" t="s">
        <v>1426</v>
      </c>
      <c r="E199" s="69"/>
      <c r="F199" s="72">
        <v>13</v>
      </c>
      <c r="G199" s="72">
        <v>2</v>
      </c>
      <c r="H199" s="72">
        <v>15</v>
      </c>
    </row>
    <row r="200" spans="2:8" x14ac:dyDescent="0.25">
      <c r="B200" s="61"/>
      <c r="C200" s="61"/>
      <c r="D200" s="45" t="s">
        <v>123</v>
      </c>
      <c r="E200" s="45" t="s">
        <v>1276</v>
      </c>
      <c r="F200" s="70">
        <v>1</v>
      </c>
      <c r="G200" s="70"/>
      <c r="H200" s="70">
        <v>1</v>
      </c>
    </row>
    <row r="201" spans="2:8" x14ac:dyDescent="0.25">
      <c r="B201" s="61"/>
      <c r="C201" s="61"/>
      <c r="D201" s="68" t="s">
        <v>1429</v>
      </c>
      <c r="E201" s="69"/>
      <c r="F201" s="72">
        <v>1</v>
      </c>
      <c r="G201" s="72"/>
      <c r="H201" s="72">
        <v>1</v>
      </c>
    </row>
    <row r="202" spans="2:8" x14ac:dyDescent="0.25">
      <c r="B202" s="61"/>
      <c r="C202" s="61"/>
      <c r="D202" s="45" t="s">
        <v>163</v>
      </c>
      <c r="E202" s="45" t="s">
        <v>1273</v>
      </c>
      <c r="F202" s="70">
        <v>1</v>
      </c>
      <c r="G202" s="70"/>
      <c r="H202" s="70">
        <v>1</v>
      </c>
    </row>
    <row r="203" spans="2:8" x14ac:dyDescent="0.25">
      <c r="B203" s="61"/>
      <c r="C203" s="61"/>
      <c r="D203" s="68" t="s">
        <v>1467</v>
      </c>
      <c r="E203" s="69"/>
      <c r="F203" s="72">
        <v>1</v>
      </c>
      <c r="G203" s="72"/>
      <c r="H203" s="72">
        <v>1</v>
      </c>
    </row>
    <row r="204" spans="2:8" x14ac:dyDescent="0.25">
      <c r="B204" s="61"/>
      <c r="C204" s="61"/>
      <c r="D204" s="65" t="s">
        <v>162</v>
      </c>
      <c r="E204" s="45" t="s">
        <v>1301</v>
      </c>
      <c r="F204" s="70">
        <v>1</v>
      </c>
      <c r="G204" s="70"/>
      <c r="H204" s="70">
        <v>1</v>
      </c>
    </row>
    <row r="205" spans="2:8" x14ac:dyDescent="0.25">
      <c r="B205" s="61"/>
      <c r="C205" s="61"/>
      <c r="D205" s="61"/>
      <c r="E205" s="45" t="s">
        <v>1307</v>
      </c>
      <c r="F205" s="70">
        <v>1</v>
      </c>
      <c r="G205" s="70"/>
      <c r="H205" s="70">
        <v>1</v>
      </c>
    </row>
    <row r="206" spans="2:8" x14ac:dyDescent="0.25">
      <c r="B206" s="61"/>
      <c r="C206" s="61"/>
      <c r="D206" s="61"/>
      <c r="E206" s="45" t="s">
        <v>1257</v>
      </c>
      <c r="F206" s="70">
        <v>3</v>
      </c>
      <c r="G206" s="70"/>
      <c r="H206" s="70">
        <v>3</v>
      </c>
    </row>
    <row r="207" spans="2:8" x14ac:dyDescent="0.25">
      <c r="B207" s="61"/>
      <c r="C207" s="61"/>
      <c r="D207" s="68" t="s">
        <v>1473</v>
      </c>
      <c r="E207" s="69"/>
      <c r="F207" s="72">
        <v>5</v>
      </c>
      <c r="G207" s="72"/>
      <c r="H207" s="72">
        <v>5</v>
      </c>
    </row>
    <row r="208" spans="2:8" x14ac:dyDescent="0.25">
      <c r="B208" s="61"/>
      <c r="C208" s="61"/>
      <c r="D208" s="45" t="s">
        <v>121</v>
      </c>
      <c r="E208" s="45" t="s">
        <v>1289</v>
      </c>
      <c r="F208" s="70">
        <v>1</v>
      </c>
      <c r="G208" s="70"/>
      <c r="H208" s="70">
        <v>1</v>
      </c>
    </row>
    <row r="209" spans="2:8" x14ac:dyDescent="0.25">
      <c r="B209" s="61"/>
      <c r="C209" s="61"/>
      <c r="D209" s="68" t="s">
        <v>1504</v>
      </c>
      <c r="E209" s="69"/>
      <c r="F209" s="72">
        <v>1</v>
      </c>
      <c r="G209" s="72"/>
      <c r="H209" s="72">
        <v>1</v>
      </c>
    </row>
    <row r="210" spans="2:8" x14ac:dyDescent="0.25">
      <c r="B210" s="61"/>
      <c r="C210" s="66" t="s">
        <v>1411</v>
      </c>
      <c r="D210" s="67"/>
      <c r="E210" s="67"/>
      <c r="F210" s="71">
        <v>21</v>
      </c>
      <c r="G210" s="71">
        <v>2</v>
      </c>
      <c r="H210" s="71">
        <v>23</v>
      </c>
    </row>
    <row r="211" spans="2:8" x14ac:dyDescent="0.25">
      <c r="B211" s="65" t="s">
        <v>1411</v>
      </c>
      <c r="C211" s="61"/>
      <c r="D211" s="61"/>
      <c r="E211" s="61"/>
      <c r="F211" s="70">
        <v>23</v>
      </c>
      <c r="G211" s="70">
        <v>2</v>
      </c>
      <c r="H211" s="70">
        <v>25</v>
      </c>
    </row>
    <row r="212" spans="2:8" x14ac:dyDescent="0.25">
      <c r="B212" s="65" t="s">
        <v>99</v>
      </c>
      <c r="C212" s="65" t="s">
        <v>99</v>
      </c>
      <c r="D212" s="45" t="s">
        <v>139</v>
      </c>
      <c r="E212" s="45" t="s">
        <v>1405</v>
      </c>
      <c r="F212" s="70">
        <v>1</v>
      </c>
      <c r="G212" s="70"/>
      <c r="H212" s="70">
        <v>1</v>
      </c>
    </row>
    <row r="213" spans="2:8" x14ac:dyDescent="0.25">
      <c r="B213" s="61"/>
      <c r="C213" s="61"/>
      <c r="D213" s="68" t="s">
        <v>1444</v>
      </c>
      <c r="E213" s="69"/>
      <c r="F213" s="72">
        <v>1</v>
      </c>
      <c r="G213" s="72"/>
      <c r="H213" s="72">
        <v>1</v>
      </c>
    </row>
    <row r="214" spans="2:8" x14ac:dyDescent="0.25">
      <c r="B214" s="61"/>
      <c r="C214" s="61"/>
      <c r="D214" s="65" t="s">
        <v>163</v>
      </c>
      <c r="E214" s="45" t="s">
        <v>1273</v>
      </c>
      <c r="F214" s="70">
        <v>4</v>
      </c>
      <c r="G214" s="70"/>
      <c r="H214" s="70">
        <v>4</v>
      </c>
    </row>
    <row r="215" spans="2:8" x14ac:dyDescent="0.25">
      <c r="B215" s="61"/>
      <c r="C215" s="61"/>
      <c r="D215" s="61"/>
      <c r="E215" s="45" t="s">
        <v>1353</v>
      </c>
      <c r="F215" s="70">
        <v>1</v>
      </c>
      <c r="G215" s="70"/>
      <c r="H215" s="70">
        <v>1</v>
      </c>
    </row>
    <row r="216" spans="2:8" x14ac:dyDescent="0.25">
      <c r="B216" s="61"/>
      <c r="C216" s="61"/>
      <c r="D216" s="68" t="s">
        <v>1467</v>
      </c>
      <c r="E216" s="69"/>
      <c r="F216" s="72">
        <v>5</v>
      </c>
      <c r="G216" s="72"/>
      <c r="H216" s="72">
        <v>5</v>
      </c>
    </row>
    <row r="217" spans="2:8" x14ac:dyDescent="0.25">
      <c r="B217" s="61"/>
      <c r="C217" s="61"/>
      <c r="D217" s="45" t="s">
        <v>252</v>
      </c>
      <c r="E217" s="45" t="s">
        <v>1318</v>
      </c>
      <c r="F217" s="70">
        <v>1</v>
      </c>
      <c r="G217" s="70"/>
      <c r="H217" s="70">
        <v>1</v>
      </c>
    </row>
    <row r="218" spans="2:8" x14ac:dyDescent="0.25">
      <c r="B218" s="61"/>
      <c r="C218" s="61"/>
      <c r="D218" s="68" t="s">
        <v>1474</v>
      </c>
      <c r="E218" s="69"/>
      <c r="F218" s="72">
        <v>1</v>
      </c>
      <c r="G218" s="72"/>
      <c r="H218" s="72">
        <v>1</v>
      </c>
    </row>
    <row r="219" spans="2:8" x14ac:dyDescent="0.25">
      <c r="B219" s="61"/>
      <c r="C219" s="61"/>
      <c r="D219" s="45" t="s">
        <v>128</v>
      </c>
      <c r="E219" s="45" t="s">
        <v>1407</v>
      </c>
      <c r="F219" s="70">
        <v>1</v>
      </c>
      <c r="G219" s="70"/>
      <c r="H219" s="70">
        <v>1</v>
      </c>
    </row>
    <row r="220" spans="2:8" x14ac:dyDescent="0.25">
      <c r="B220" s="61"/>
      <c r="C220" s="61"/>
      <c r="D220" s="68" t="s">
        <v>1491</v>
      </c>
      <c r="E220" s="69"/>
      <c r="F220" s="72">
        <v>1</v>
      </c>
      <c r="G220" s="72"/>
      <c r="H220" s="72">
        <v>1</v>
      </c>
    </row>
    <row r="221" spans="2:8" x14ac:dyDescent="0.25">
      <c r="B221" s="61"/>
      <c r="C221" s="61"/>
      <c r="D221" s="65" t="s">
        <v>106</v>
      </c>
      <c r="E221" s="45" t="s">
        <v>1348</v>
      </c>
      <c r="F221" s="70">
        <v>1</v>
      </c>
      <c r="G221" s="70"/>
      <c r="H221" s="70">
        <v>1</v>
      </c>
    </row>
    <row r="222" spans="2:8" x14ac:dyDescent="0.25">
      <c r="B222" s="61"/>
      <c r="C222" s="61"/>
      <c r="D222" s="61"/>
      <c r="E222" s="45" t="s">
        <v>1346</v>
      </c>
      <c r="F222" s="70">
        <v>2</v>
      </c>
      <c r="G222" s="70"/>
      <c r="H222" s="70">
        <v>2</v>
      </c>
    </row>
    <row r="223" spans="2:8" x14ac:dyDescent="0.25">
      <c r="B223" s="61"/>
      <c r="C223" s="61"/>
      <c r="D223" s="61"/>
      <c r="E223" s="45" t="s">
        <v>1403</v>
      </c>
      <c r="F223" s="70">
        <v>3</v>
      </c>
      <c r="G223" s="70"/>
      <c r="H223" s="70">
        <v>3</v>
      </c>
    </row>
    <row r="224" spans="2:8" x14ac:dyDescent="0.25">
      <c r="B224" s="61"/>
      <c r="C224" s="61"/>
      <c r="D224" s="61"/>
      <c r="E224" s="45" t="s">
        <v>1395</v>
      </c>
      <c r="F224" s="70">
        <v>1</v>
      </c>
      <c r="G224" s="70">
        <v>1</v>
      </c>
      <c r="H224" s="70">
        <v>2</v>
      </c>
    </row>
    <row r="225" spans="2:8" x14ac:dyDescent="0.25">
      <c r="B225" s="61"/>
      <c r="C225" s="61"/>
      <c r="D225" s="61"/>
      <c r="E225" s="45" t="s">
        <v>1378</v>
      </c>
      <c r="F225" s="70">
        <v>7</v>
      </c>
      <c r="G225" s="70"/>
      <c r="H225" s="70">
        <v>7</v>
      </c>
    </row>
    <row r="226" spans="2:8" x14ac:dyDescent="0.25">
      <c r="B226" s="61"/>
      <c r="C226" s="61"/>
      <c r="D226" s="68" t="s">
        <v>1510</v>
      </c>
      <c r="E226" s="69"/>
      <c r="F226" s="72">
        <v>14</v>
      </c>
      <c r="G226" s="72">
        <v>1</v>
      </c>
      <c r="H226" s="72">
        <v>15</v>
      </c>
    </row>
    <row r="227" spans="2:8" x14ac:dyDescent="0.25">
      <c r="B227" s="61"/>
      <c r="C227" s="61"/>
      <c r="D227" s="45" t="s">
        <v>144</v>
      </c>
      <c r="E227" s="45" t="s">
        <v>1396</v>
      </c>
      <c r="F227" s="70">
        <v>1</v>
      </c>
      <c r="G227" s="70"/>
      <c r="H227" s="70">
        <v>1</v>
      </c>
    </row>
    <row r="228" spans="2:8" x14ac:dyDescent="0.25">
      <c r="B228" s="61"/>
      <c r="C228" s="61"/>
      <c r="D228" s="68" t="s">
        <v>1520</v>
      </c>
      <c r="E228" s="69"/>
      <c r="F228" s="72">
        <v>1</v>
      </c>
      <c r="G228" s="72"/>
      <c r="H228" s="72">
        <v>1</v>
      </c>
    </row>
    <row r="229" spans="2:8" x14ac:dyDescent="0.25">
      <c r="B229" s="61"/>
      <c r="C229" s="66" t="s">
        <v>1413</v>
      </c>
      <c r="D229" s="67"/>
      <c r="E229" s="67"/>
      <c r="F229" s="71">
        <v>23</v>
      </c>
      <c r="G229" s="71">
        <v>1</v>
      </c>
      <c r="H229" s="71">
        <v>24</v>
      </c>
    </row>
    <row r="230" spans="2:8" x14ac:dyDescent="0.25">
      <c r="B230" s="65" t="s">
        <v>1413</v>
      </c>
      <c r="C230" s="61"/>
      <c r="D230" s="61"/>
      <c r="E230" s="61"/>
      <c r="F230" s="70">
        <v>23</v>
      </c>
      <c r="G230" s="70">
        <v>1</v>
      </c>
      <c r="H230" s="70">
        <v>24</v>
      </c>
    </row>
    <row r="231" spans="2:8" x14ac:dyDescent="0.25">
      <c r="B231" s="65" t="s">
        <v>44</v>
      </c>
      <c r="C231" s="61"/>
      <c r="D231" s="61"/>
      <c r="E231" s="61"/>
      <c r="F231" s="70">
        <v>174</v>
      </c>
      <c r="G231" s="70">
        <v>66</v>
      </c>
      <c r="H231" s="70">
        <v>240</v>
      </c>
    </row>
  </sheetData>
  <mergeCells count="159">
    <mergeCell ref="D221:D225"/>
    <mergeCell ref="D226:E226"/>
    <mergeCell ref="D228:E228"/>
    <mergeCell ref="D213:E213"/>
    <mergeCell ref="D214:D215"/>
    <mergeCell ref="D216:E216"/>
    <mergeCell ref="D218:E218"/>
    <mergeCell ref="D220:E220"/>
    <mergeCell ref="D201:E201"/>
    <mergeCell ref="D203:E203"/>
    <mergeCell ref="D204:D206"/>
    <mergeCell ref="D207:E207"/>
    <mergeCell ref="D209:E209"/>
    <mergeCell ref="D183:E183"/>
    <mergeCell ref="D187:E187"/>
    <mergeCell ref="D190:E190"/>
    <mergeCell ref="D192:D198"/>
    <mergeCell ref="D199:E199"/>
    <mergeCell ref="D136:E136"/>
    <mergeCell ref="D139:E139"/>
    <mergeCell ref="D141:E141"/>
    <mergeCell ref="D144:D148"/>
    <mergeCell ref="D149:E149"/>
    <mergeCell ref="D125:E125"/>
    <mergeCell ref="D127:E127"/>
    <mergeCell ref="D129:E129"/>
    <mergeCell ref="D132:E132"/>
    <mergeCell ref="D134:D135"/>
    <mergeCell ref="D114:E114"/>
    <mergeCell ref="D116:D117"/>
    <mergeCell ref="D118:E118"/>
    <mergeCell ref="D120:E120"/>
    <mergeCell ref="D123:E123"/>
    <mergeCell ref="D94:E94"/>
    <mergeCell ref="D97:E97"/>
    <mergeCell ref="D100:D104"/>
    <mergeCell ref="D105:E105"/>
    <mergeCell ref="D107:E107"/>
    <mergeCell ref="D82:E82"/>
    <mergeCell ref="D84:E84"/>
    <mergeCell ref="D87:E87"/>
    <mergeCell ref="D89:E89"/>
    <mergeCell ref="D92:E92"/>
    <mergeCell ref="D69:E69"/>
    <mergeCell ref="D71:E71"/>
    <mergeCell ref="D73:E73"/>
    <mergeCell ref="D76:E76"/>
    <mergeCell ref="D79:E79"/>
    <mergeCell ref="D42:D43"/>
    <mergeCell ref="D44:E44"/>
    <mergeCell ref="D46:E46"/>
    <mergeCell ref="D49:D52"/>
    <mergeCell ref="D53:E53"/>
    <mergeCell ref="C212:C228"/>
    <mergeCell ref="C229:E229"/>
    <mergeCell ref="D6:D7"/>
    <mergeCell ref="D8:E8"/>
    <mergeCell ref="D9:D12"/>
    <mergeCell ref="D13:E13"/>
    <mergeCell ref="D15:E15"/>
    <mergeCell ref="D17:E17"/>
    <mergeCell ref="D19:E19"/>
    <mergeCell ref="D22:D25"/>
    <mergeCell ref="D26:E26"/>
    <mergeCell ref="D28:E28"/>
    <mergeCell ref="D29:D31"/>
    <mergeCell ref="D32:E32"/>
    <mergeCell ref="D33:D40"/>
    <mergeCell ref="D41:E41"/>
    <mergeCell ref="C142:E142"/>
    <mergeCell ref="C144:C155"/>
    <mergeCell ref="C156:E156"/>
    <mergeCell ref="C158:C175"/>
    <mergeCell ref="C176:E176"/>
    <mergeCell ref="D150:D152"/>
    <mergeCell ref="D153:E153"/>
    <mergeCell ref="D155:E155"/>
    <mergeCell ref="D158:D159"/>
    <mergeCell ref="D160:E160"/>
    <mergeCell ref="D161:D162"/>
    <mergeCell ref="D163:E163"/>
    <mergeCell ref="D165:E165"/>
    <mergeCell ref="D166:D168"/>
    <mergeCell ref="D169:E169"/>
    <mergeCell ref="D170:D174"/>
    <mergeCell ref="C95:E95"/>
    <mergeCell ref="C96:C97"/>
    <mergeCell ref="C98:E98"/>
    <mergeCell ref="C100:C111"/>
    <mergeCell ref="C112:E112"/>
    <mergeCell ref="D109:E109"/>
    <mergeCell ref="D111:E111"/>
    <mergeCell ref="B211:E211"/>
    <mergeCell ref="B212:B229"/>
    <mergeCell ref="B230:E230"/>
    <mergeCell ref="B231:E231"/>
    <mergeCell ref="C6:C19"/>
    <mergeCell ref="C20:E20"/>
    <mergeCell ref="C22:C46"/>
    <mergeCell ref="C47:E47"/>
    <mergeCell ref="C49:C60"/>
    <mergeCell ref="C61:E61"/>
    <mergeCell ref="C63:C66"/>
    <mergeCell ref="C67:E67"/>
    <mergeCell ref="C68:C73"/>
    <mergeCell ref="C74:E74"/>
    <mergeCell ref="C75:C76"/>
    <mergeCell ref="C77:E77"/>
    <mergeCell ref="B158:B176"/>
    <mergeCell ref="B177:E177"/>
    <mergeCell ref="B178:B184"/>
    <mergeCell ref="B185:E185"/>
    <mergeCell ref="B186:B210"/>
    <mergeCell ref="C178:C183"/>
    <mergeCell ref="C184:E184"/>
    <mergeCell ref="C186:C187"/>
    <mergeCell ref="C188:E188"/>
    <mergeCell ref="C189:C190"/>
    <mergeCell ref="C191:E191"/>
    <mergeCell ref="C192:C209"/>
    <mergeCell ref="C210:E210"/>
    <mergeCell ref="D175:E175"/>
    <mergeCell ref="D179:E179"/>
    <mergeCell ref="D180:D182"/>
    <mergeCell ref="B99:E99"/>
    <mergeCell ref="B100:B142"/>
    <mergeCell ref="B143:E143"/>
    <mergeCell ref="B144:B156"/>
    <mergeCell ref="B157:E157"/>
    <mergeCell ref="C113:C114"/>
    <mergeCell ref="C115:E115"/>
    <mergeCell ref="C116:C120"/>
    <mergeCell ref="C121:E121"/>
    <mergeCell ref="C122:C129"/>
    <mergeCell ref="C130:E130"/>
    <mergeCell ref="C131:C132"/>
    <mergeCell ref="C133:E133"/>
    <mergeCell ref="C134:C136"/>
    <mergeCell ref="C137:E137"/>
    <mergeCell ref="C138:C141"/>
    <mergeCell ref="B6:B20"/>
    <mergeCell ref="B21:E21"/>
    <mergeCell ref="B22:B47"/>
    <mergeCell ref="B48:E48"/>
    <mergeCell ref="B49:B61"/>
    <mergeCell ref="B62:E62"/>
    <mergeCell ref="B63:B98"/>
    <mergeCell ref="C78:C79"/>
    <mergeCell ref="C80:E80"/>
    <mergeCell ref="C81:C84"/>
    <mergeCell ref="C85:E85"/>
    <mergeCell ref="C86:C89"/>
    <mergeCell ref="C90:E90"/>
    <mergeCell ref="C91:C94"/>
    <mergeCell ref="D54:D57"/>
    <mergeCell ref="D58:E58"/>
    <mergeCell ref="D60:E60"/>
    <mergeCell ref="D64:E64"/>
    <mergeCell ref="D66:E66"/>
  </mergeCells>
  <pageMargins left="0.7" right="0.7" top="0.75" bottom="0.75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V38"/>
  <sheetViews>
    <sheetView showGridLines="0" workbookViewId="0">
      <selection activeCell="B2" sqref="B2"/>
    </sheetView>
  </sheetViews>
  <sheetFormatPr defaultRowHeight="15" x14ac:dyDescent="0.25"/>
  <cols>
    <col min="1" max="1" width="39.5703125" bestFit="1" customWidth="1"/>
    <col min="2" max="2" width="22.42578125" bestFit="1" customWidth="1"/>
    <col min="3" max="3" width="15.85546875" bestFit="1" customWidth="1"/>
    <col min="4" max="4" width="14.42578125" bestFit="1" customWidth="1"/>
    <col min="5" max="5" width="26.85546875" bestFit="1" customWidth="1"/>
    <col min="6" max="6" width="22.42578125" bestFit="1" customWidth="1"/>
    <col min="7" max="7" width="17.85546875" bestFit="1" customWidth="1"/>
    <col min="8" max="8" width="18" bestFit="1" customWidth="1"/>
    <col min="9" max="9" width="12" bestFit="1" customWidth="1"/>
    <col min="10" max="10" width="18.42578125" bestFit="1" customWidth="1"/>
    <col min="11" max="11" width="18.85546875" bestFit="1" customWidth="1"/>
    <col min="12" max="12" width="9.7109375" bestFit="1" customWidth="1"/>
    <col min="13" max="13" width="19" bestFit="1" customWidth="1"/>
    <col min="14" max="14" width="22.7109375" bestFit="1" customWidth="1"/>
    <col min="15" max="15" width="10.28515625" bestFit="1" customWidth="1"/>
    <col min="16" max="16" width="22.5703125" bestFit="1" customWidth="1"/>
    <col min="17" max="17" width="20.7109375" bestFit="1" customWidth="1"/>
    <col min="18" max="18" width="20.28515625" bestFit="1" customWidth="1"/>
    <col min="19" max="19" width="21.42578125" bestFit="1" customWidth="1"/>
    <col min="20" max="20" width="9.85546875" bestFit="1" customWidth="1"/>
    <col min="21" max="21" width="19.5703125" bestFit="1" customWidth="1"/>
    <col min="22" max="22" width="23.5703125" bestFit="1" customWidth="1"/>
    <col min="23" max="23" width="33.28515625" bestFit="1" customWidth="1"/>
    <col min="24" max="24" width="19.7109375" bestFit="1" customWidth="1"/>
    <col min="25" max="25" width="16" bestFit="1" customWidth="1"/>
    <col min="26" max="26" width="33.28515625" bestFit="1" customWidth="1"/>
    <col min="27" max="27" width="20.140625" bestFit="1" customWidth="1"/>
    <col min="28" max="28" width="20.42578125" bestFit="1" customWidth="1"/>
    <col min="29" max="29" width="16.140625" bestFit="1" customWidth="1"/>
    <col min="30" max="30" width="30.42578125" bestFit="1" customWidth="1"/>
    <col min="31" max="31" width="15.42578125" bestFit="1" customWidth="1"/>
    <col min="32" max="32" width="11.7109375" bestFit="1" customWidth="1"/>
    <col min="33" max="34" width="15.42578125" bestFit="1" customWidth="1"/>
    <col min="35" max="35" width="8.140625" bestFit="1" customWidth="1"/>
    <col min="36" max="37" width="10.7109375" bestFit="1" customWidth="1"/>
    <col min="38" max="38" width="15.42578125" bestFit="1" customWidth="1"/>
    <col min="39" max="39" width="26.7109375" bestFit="1" customWidth="1"/>
    <col min="40" max="40" width="32" bestFit="1" customWidth="1"/>
    <col min="41" max="41" width="11.7109375" bestFit="1" customWidth="1"/>
    <col min="42" max="42" width="17.85546875" bestFit="1" customWidth="1"/>
    <col min="43" max="43" width="16.140625" bestFit="1" customWidth="1"/>
    <col min="44" max="44" width="7.140625" bestFit="1" customWidth="1"/>
    <col min="45" max="45" width="17.28515625" bestFit="1" customWidth="1"/>
    <col min="46" max="46" width="15.85546875" bestFit="1" customWidth="1"/>
    <col min="47" max="47" width="10" bestFit="1" customWidth="1"/>
    <col min="48" max="48" width="10.7109375" bestFit="1" customWidth="1"/>
    <col min="49" max="49" width="11.7109375" bestFit="1" customWidth="1"/>
    <col min="50" max="50" width="17.85546875" bestFit="1" customWidth="1"/>
    <col min="51" max="51" width="15.140625" bestFit="1" customWidth="1"/>
    <col min="52" max="52" width="26.28515625" bestFit="1" customWidth="1"/>
    <col min="53" max="53" width="9.7109375" bestFit="1" customWidth="1"/>
    <col min="54" max="54" width="24.140625" bestFit="1" customWidth="1"/>
    <col min="55" max="55" width="10" bestFit="1" customWidth="1"/>
    <col min="56" max="56" width="16.140625" bestFit="1" customWidth="1"/>
    <col min="57" max="57" width="17.85546875" bestFit="1" customWidth="1"/>
    <col min="58" max="58" width="19.5703125" bestFit="1" customWidth="1"/>
    <col min="59" max="59" width="11.7109375" bestFit="1" customWidth="1"/>
    <col min="60" max="60" width="16.140625" bestFit="1" customWidth="1"/>
    <col min="61" max="61" width="17.85546875" bestFit="1" customWidth="1"/>
    <col min="62" max="62" width="16.140625" bestFit="1" customWidth="1"/>
    <col min="63" max="63" width="12.7109375" bestFit="1" customWidth="1"/>
    <col min="64" max="64" width="10.7109375" bestFit="1" customWidth="1"/>
    <col min="65" max="65" width="21.28515625" bestFit="1" customWidth="1"/>
    <col min="66" max="66" width="9.7109375" bestFit="1" customWidth="1"/>
    <col min="67" max="67" width="10" bestFit="1" customWidth="1"/>
    <col min="68" max="68" width="17.85546875" bestFit="1" customWidth="1"/>
    <col min="69" max="69" width="15.140625" bestFit="1" customWidth="1"/>
    <col min="70" max="70" width="10.7109375" bestFit="1" customWidth="1"/>
    <col min="71" max="71" width="15.85546875" bestFit="1" customWidth="1"/>
    <col min="72" max="72" width="5.85546875" bestFit="1" customWidth="1"/>
    <col min="73" max="73" width="26.28515625" bestFit="1" customWidth="1"/>
    <col min="74" max="74" width="10.7109375" bestFit="1" customWidth="1"/>
  </cols>
  <sheetData>
    <row r="1" spans="1:48" x14ac:dyDescent="0.25">
      <c r="A1" s="3" t="s">
        <v>4</v>
      </c>
      <c r="B1" s="1" t="s">
        <v>470</v>
      </c>
    </row>
    <row r="2" spans="1:48" x14ac:dyDescent="0.25">
      <c r="A2" s="3" t="s">
        <v>45</v>
      </c>
      <c r="B2" s="1" t="s">
        <v>47</v>
      </c>
    </row>
    <row r="4" spans="1:48" x14ac:dyDescent="0.25">
      <c r="A4" s="3" t="s">
        <v>75</v>
      </c>
      <c r="B4" s="3" t="s">
        <v>94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 t="s">
        <v>119</v>
      </c>
      <c r="C5" s="1"/>
      <c r="D5" s="1"/>
      <c r="E5" s="1" t="s">
        <v>110</v>
      </c>
      <c r="F5" s="1"/>
      <c r="G5" s="1"/>
      <c r="H5" s="1"/>
      <c r="I5" s="1"/>
      <c r="J5" s="1"/>
      <c r="K5" s="1"/>
      <c r="L5" s="1" t="s">
        <v>108</v>
      </c>
      <c r="M5" s="1"/>
      <c r="N5" s="1"/>
      <c r="O5" s="1"/>
      <c r="P5" s="1" t="s">
        <v>135</v>
      </c>
      <c r="Q5" s="1"/>
      <c r="R5" s="1"/>
      <c r="S5" s="1"/>
      <c r="T5" s="1" t="s">
        <v>102</v>
      </c>
      <c r="U5" s="1" t="s">
        <v>118</v>
      </c>
      <c r="V5" s="1"/>
      <c r="W5" s="1" t="s">
        <v>138</v>
      </c>
      <c r="X5" s="1"/>
      <c r="Y5" s="1"/>
      <c r="Z5" s="1"/>
      <c r="AA5" s="1"/>
      <c r="AB5" s="1" t="s">
        <v>169</v>
      </c>
      <c r="AC5" s="1"/>
      <c r="AD5" s="1" t="s">
        <v>188</v>
      </c>
      <c r="AE5" s="1" t="s">
        <v>122</v>
      </c>
      <c r="AF5" s="1"/>
      <c r="AG5" s="1" t="s">
        <v>133</v>
      </c>
      <c r="AH5" s="1" t="s">
        <v>148</v>
      </c>
      <c r="AI5" s="1" t="s">
        <v>168</v>
      </c>
      <c r="AJ5" s="1"/>
      <c r="AK5" s="1" t="s">
        <v>140</v>
      </c>
      <c r="AL5" s="1" t="s">
        <v>147</v>
      </c>
      <c r="AM5" s="1" t="s">
        <v>189</v>
      </c>
      <c r="AN5" s="1"/>
      <c r="AO5" s="1" t="s">
        <v>141</v>
      </c>
      <c r="AP5" s="1"/>
      <c r="AQ5" s="1" t="s">
        <v>253</v>
      </c>
      <c r="AR5" s="1" t="s">
        <v>191</v>
      </c>
      <c r="AS5" s="1" t="s">
        <v>159</v>
      </c>
      <c r="AT5" s="1"/>
      <c r="AU5" s="1" t="s">
        <v>1239</v>
      </c>
      <c r="AV5" s="1" t="s">
        <v>44</v>
      </c>
    </row>
    <row r="6" spans="1:48" x14ac:dyDescent="0.25">
      <c r="A6" s="3" t="s">
        <v>90</v>
      </c>
      <c r="B6" s="1" t="s">
        <v>1251</v>
      </c>
      <c r="C6" s="1" t="s">
        <v>1245</v>
      </c>
      <c r="D6" s="1" t="s">
        <v>1387</v>
      </c>
      <c r="E6" s="1" t="s">
        <v>1294</v>
      </c>
      <c r="F6" s="1" t="s">
        <v>1261</v>
      </c>
      <c r="G6" s="1" t="s">
        <v>1306</v>
      </c>
      <c r="H6" s="1" t="s">
        <v>1266</v>
      </c>
      <c r="I6" s="1" t="s">
        <v>1326</v>
      </c>
      <c r="J6" s="1" t="s">
        <v>1278</v>
      </c>
      <c r="K6" s="1" t="s">
        <v>1321</v>
      </c>
      <c r="L6" s="1" t="s">
        <v>1349</v>
      </c>
      <c r="M6" s="1" t="s">
        <v>1379</v>
      </c>
      <c r="N6" s="1" t="s">
        <v>1404</v>
      </c>
      <c r="O6" s="1" t="s">
        <v>1347</v>
      </c>
      <c r="P6" s="1" t="s">
        <v>1344</v>
      </c>
      <c r="Q6" s="1" t="s">
        <v>1293</v>
      </c>
      <c r="R6" s="1" t="s">
        <v>1362</v>
      </c>
      <c r="S6" s="1" t="s">
        <v>1340</v>
      </c>
      <c r="T6" s="1" t="s">
        <v>469</v>
      </c>
      <c r="U6" s="1" t="s">
        <v>1271</v>
      </c>
      <c r="V6" s="1" t="s">
        <v>1285</v>
      </c>
      <c r="W6" s="1" t="s">
        <v>1329</v>
      </c>
      <c r="X6" s="1" t="s">
        <v>1337</v>
      </c>
      <c r="Y6" s="1" t="s">
        <v>1369</v>
      </c>
      <c r="Z6" s="1" t="s">
        <v>1366</v>
      </c>
      <c r="AA6" s="1" t="s">
        <v>1335</v>
      </c>
      <c r="AB6" s="1" t="s">
        <v>1274</v>
      </c>
      <c r="AC6" s="1" t="s">
        <v>1319</v>
      </c>
      <c r="AD6" s="1" t="s">
        <v>1376</v>
      </c>
      <c r="AE6" s="1" t="s">
        <v>1270</v>
      </c>
      <c r="AF6" s="1" t="s">
        <v>1288</v>
      </c>
      <c r="AG6" s="1" t="s">
        <v>1270</v>
      </c>
      <c r="AH6" s="1" t="s">
        <v>1270</v>
      </c>
      <c r="AI6" s="1" t="s">
        <v>1258</v>
      </c>
      <c r="AJ6" s="1" t="s">
        <v>1314</v>
      </c>
      <c r="AK6" s="1" t="s">
        <v>1283</v>
      </c>
      <c r="AL6" s="1" t="s">
        <v>1270</v>
      </c>
      <c r="AM6" s="1" t="s">
        <v>1324</v>
      </c>
      <c r="AN6" s="1" t="s">
        <v>1381</v>
      </c>
      <c r="AO6" s="1" t="s">
        <v>1288</v>
      </c>
      <c r="AP6" s="1" t="s">
        <v>1306</v>
      </c>
      <c r="AQ6" s="1" t="s">
        <v>1319</v>
      </c>
      <c r="AR6" s="1" t="s">
        <v>1401</v>
      </c>
      <c r="AS6" s="1" t="s">
        <v>1406</v>
      </c>
      <c r="AT6" s="1" t="s">
        <v>1245</v>
      </c>
      <c r="AU6" s="1" t="s">
        <v>1242</v>
      </c>
      <c r="AV6" s="1"/>
    </row>
    <row r="7" spans="1:48" x14ac:dyDescent="0.25">
      <c r="A7" s="1" t="s">
        <v>100</v>
      </c>
      <c r="B7" s="1">
        <v>62</v>
      </c>
      <c r="C7" s="1">
        <v>6</v>
      </c>
      <c r="D7" s="1">
        <v>5</v>
      </c>
      <c r="E7" s="1">
        <v>1</v>
      </c>
      <c r="F7" s="1">
        <v>23</v>
      </c>
      <c r="G7" s="1">
        <v>4</v>
      </c>
      <c r="H7" s="1">
        <v>1</v>
      </c>
      <c r="I7" s="1">
        <v>1</v>
      </c>
      <c r="J7" s="1">
        <v>2</v>
      </c>
      <c r="K7" s="1">
        <v>2</v>
      </c>
      <c r="L7" s="1">
        <v>3</v>
      </c>
      <c r="M7" s="1">
        <v>2</v>
      </c>
      <c r="N7" s="1">
        <v>1</v>
      </c>
      <c r="O7" s="1">
        <v>1</v>
      </c>
      <c r="P7" s="1">
        <v>3</v>
      </c>
      <c r="Q7" s="1">
        <v>1</v>
      </c>
      <c r="R7" s="1">
        <v>2</v>
      </c>
      <c r="S7" s="1">
        <v>1</v>
      </c>
      <c r="T7" s="1">
        <v>119</v>
      </c>
      <c r="U7" s="1">
        <v>16</v>
      </c>
      <c r="V7" s="1">
        <v>8</v>
      </c>
      <c r="W7" s="1">
        <v>3</v>
      </c>
      <c r="X7" s="1">
        <v>5</v>
      </c>
      <c r="Y7" s="1">
        <v>2</v>
      </c>
      <c r="Z7" s="1">
        <v>4</v>
      </c>
      <c r="AA7" s="1">
        <v>6</v>
      </c>
      <c r="AB7" s="1">
        <v>9</v>
      </c>
      <c r="AC7" s="1">
        <v>4</v>
      </c>
      <c r="AD7" s="1">
        <v>15</v>
      </c>
      <c r="AE7" s="1">
        <v>13</v>
      </c>
      <c r="AF7" s="1">
        <v>2</v>
      </c>
      <c r="AG7" s="1">
        <v>10</v>
      </c>
      <c r="AH7" s="1">
        <v>2</v>
      </c>
      <c r="AI7" s="1">
        <v>2</v>
      </c>
      <c r="AJ7" s="1">
        <v>1</v>
      </c>
      <c r="AK7" s="1">
        <v>16</v>
      </c>
      <c r="AL7" s="1">
        <v>6</v>
      </c>
      <c r="AM7" s="1">
        <v>2</v>
      </c>
      <c r="AN7" s="1">
        <v>2</v>
      </c>
      <c r="AO7" s="1">
        <v>2</v>
      </c>
      <c r="AP7" s="1">
        <v>9</v>
      </c>
      <c r="AQ7" s="1">
        <v>4</v>
      </c>
      <c r="AR7" s="1">
        <v>5</v>
      </c>
      <c r="AS7" s="1">
        <v>1</v>
      </c>
      <c r="AT7" s="1"/>
      <c r="AU7" s="1">
        <v>2</v>
      </c>
      <c r="AV7" s="1">
        <v>391</v>
      </c>
    </row>
    <row r="8" spans="1:48" x14ac:dyDescent="0.25">
      <c r="A8" s="1" t="s">
        <v>457</v>
      </c>
      <c r="B8" s="1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63</v>
      </c>
      <c r="U8" s="1"/>
      <c r="V8" s="1"/>
      <c r="W8" s="1"/>
      <c r="X8" s="1"/>
      <c r="Y8" s="1"/>
      <c r="Z8" s="1"/>
      <c r="AA8" s="1"/>
      <c r="AB8" s="1"/>
      <c r="AC8" s="1"/>
      <c r="AD8" s="1">
        <v>4</v>
      </c>
      <c r="AE8" s="1"/>
      <c r="AF8" s="1"/>
      <c r="AG8" s="1">
        <v>10</v>
      </c>
      <c r="AH8" s="1"/>
      <c r="AI8" s="1"/>
      <c r="AJ8" s="1"/>
      <c r="AK8" s="1">
        <v>9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>
        <v>104</v>
      </c>
    </row>
    <row r="9" spans="1:48" x14ac:dyDescent="0.25">
      <c r="A9" s="1" t="s">
        <v>482</v>
      </c>
      <c r="B9" s="1">
        <v>20</v>
      </c>
      <c r="C9" s="1">
        <v>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10</v>
      </c>
      <c r="U9" s="1"/>
      <c r="V9" s="1">
        <v>8</v>
      </c>
      <c r="W9" s="1"/>
      <c r="X9" s="1"/>
      <c r="Y9" s="1"/>
      <c r="Z9" s="1"/>
      <c r="AA9" s="1"/>
      <c r="AB9" s="1"/>
      <c r="AC9" s="1"/>
      <c r="AD9" s="1">
        <v>4</v>
      </c>
      <c r="AE9" s="1"/>
      <c r="AF9" s="1"/>
      <c r="AG9" s="1"/>
      <c r="AH9" s="1"/>
      <c r="AI9" s="1"/>
      <c r="AJ9" s="1"/>
      <c r="AK9" s="1">
        <v>7</v>
      </c>
      <c r="AL9" s="1"/>
      <c r="AM9" s="1">
        <v>2</v>
      </c>
      <c r="AN9" s="1">
        <v>2</v>
      </c>
      <c r="AO9" s="1"/>
      <c r="AP9" s="1"/>
      <c r="AQ9" s="1"/>
      <c r="AR9" s="1">
        <v>5</v>
      </c>
      <c r="AS9" s="1">
        <v>1</v>
      </c>
      <c r="AT9" s="1"/>
      <c r="AU9" s="1"/>
      <c r="AV9" s="1">
        <v>61</v>
      </c>
    </row>
    <row r="10" spans="1:48" x14ac:dyDescent="0.25">
      <c r="A10" s="1" t="s">
        <v>1096</v>
      </c>
      <c r="B10" s="1">
        <v>17</v>
      </c>
      <c r="C10" s="1"/>
      <c r="D10" s="1">
        <v>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19</v>
      </c>
      <c r="U10" s="1"/>
      <c r="V10" s="1"/>
      <c r="W10" s="1"/>
      <c r="X10" s="1"/>
      <c r="Y10" s="1"/>
      <c r="Z10" s="1"/>
      <c r="AA10" s="1"/>
      <c r="AB10" s="1"/>
      <c r="AC10" s="1"/>
      <c r="AD10" s="1">
        <v>7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>
        <v>48</v>
      </c>
    </row>
    <row r="11" spans="1:48" x14ac:dyDescent="0.25">
      <c r="A11" s="1" t="s">
        <v>480</v>
      </c>
      <c r="B11" s="1"/>
      <c r="C11" s="1"/>
      <c r="D11" s="1"/>
      <c r="E11" s="1"/>
      <c r="F11" s="1">
        <v>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16</v>
      </c>
      <c r="V11" s="1"/>
      <c r="W11" s="1"/>
      <c r="X11" s="1"/>
      <c r="Y11" s="1">
        <v>2</v>
      </c>
      <c r="Z11" s="1"/>
      <c r="AA11" s="1"/>
      <c r="AB11" s="1">
        <v>2</v>
      </c>
      <c r="AC11" s="1"/>
      <c r="AD11" s="1"/>
      <c r="AE11" s="1">
        <v>3</v>
      </c>
      <c r="AF11" s="1"/>
      <c r="AG11" s="1"/>
      <c r="AH11" s="1"/>
      <c r="AI11" s="1"/>
      <c r="AJ11" s="1"/>
      <c r="AK11" s="1"/>
      <c r="AL11" s="1">
        <v>4</v>
      </c>
      <c r="AM11" s="1"/>
      <c r="AN11" s="1"/>
      <c r="AO11" s="1"/>
      <c r="AP11" s="1">
        <v>9</v>
      </c>
      <c r="AQ11" s="1"/>
      <c r="AR11" s="1"/>
      <c r="AS11" s="1"/>
      <c r="AT11" s="1"/>
      <c r="AU11" s="1">
        <v>2</v>
      </c>
      <c r="AV11" s="1">
        <v>42</v>
      </c>
    </row>
    <row r="12" spans="1:48" x14ac:dyDescent="0.25">
      <c r="A12" s="1" t="s">
        <v>132</v>
      </c>
      <c r="B12" s="1">
        <v>6</v>
      </c>
      <c r="C12" s="1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27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>
        <v>37</v>
      </c>
    </row>
    <row r="13" spans="1:48" x14ac:dyDescent="0.25">
      <c r="A13" s="1" t="s">
        <v>459</v>
      </c>
      <c r="B13" s="1"/>
      <c r="C13" s="1"/>
      <c r="D13" s="1"/>
      <c r="E13" s="1">
        <v>1</v>
      </c>
      <c r="F13" s="1">
        <v>6</v>
      </c>
      <c r="G13" s="1">
        <v>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>
        <v>1</v>
      </c>
      <c r="AD13" s="1"/>
      <c r="AE13" s="1">
        <v>7</v>
      </c>
      <c r="AF13" s="1">
        <v>1</v>
      </c>
      <c r="AG13" s="1"/>
      <c r="AH13" s="1">
        <v>2</v>
      </c>
      <c r="AI13" s="1"/>
      <c r="AJ13" s="1"/>
      <c r="AK13" s="1"/>
      <c r="AL13" s="1">
        <v>2</v>
      </c>
      <c r="AM13" s="1"/>
      <c r="AN13" s="1"/>
      <c r="AO13" s="1"/>
      <c r="AP13" s="1"/>
      <c r="AQ13" s="1"/>
      <c r="AR13" s="1"/>
      <c r="AS13" s="1"/>
      <c r="AT13" s="1"/>
      <c r="AU13" s="1"/>
      <c r="AV13" s="1">
        <v>22</v>
      </c>
    </row>
    <row r="14" spans="1:48" x14ac:dyDescent="0.25">
      <c r="A14" s="1" t="s">
        <v>103</v>
      </c>
      <c r="B14" s="1">
        <v>1</v>
      </c>
      <c r="C14" s="1"/>
      <c r="D14" s="1"/>
      <c r="E14" s="1"/>
      <c r="F14" s="1">
        <v>13</v>
      </c>
      <c r="G14" s="1"/>
      <c r="H14" s="1">
        <v>1</v>
      </c>
      <c r="I14" s="1"/>
      <c r="J14" s="1">
        <v>2</v>
      </c>
      <c r="K14" s="1">
        <v>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>
        <v>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>
        <v>21</v>
      </c>
    </row>
    <row r="15" spans="1:48" x14ac:dyDescent="0.25">
      <c r="A15" s="1" t="s">
        <v>99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>
        <v>3</v>
      </c>
      <c r="M15" s="1">
        <v>2</v>
      </c>
      <c r="N15" s="1">
        <v>1</v>
      </c>
      <c r="O15" s="1">
        <v>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>
        <v>6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>
        <v>2</v>
      </c>
      <c r="AP15" s="1"/>
      <c r="AQ15" s="1">
        <v>4</v>
      </c>
      <c r="AR15" s="1"/>
      <c r="AS15" s="1"/>
      <c r="AT15" s="1"/>
      <c r="AU15" s="1"/>
      <c r="AV15" s="1">
        <v>19</v>
      </c>
    </row>
    <row r="16" spans="1:48" x14ac:dyDescent="0.25">
      <c r="A16" s="1" t="s">
        <v>478</v>
      </c>
      <c r="B16" s="1"/>
      <c r="C16" s="1"/>
      <c r="D16" s="1"/>
      <c r="E16" s="1"/>
      <c r="F16" s="1"/>
      <c r="G16" s="1">
        <v>2</v>
      </c>
      <c r="H16" s="1"/>
      <c r="I16" s="1">
        <v>1</v>
      </c>
      <c r="J16" s="1"/>
      <c r="K16" s="1"/>
      <c r="L16" s="1"/>
      <c r="M16" s="1"/>
      <c r="N16" s="1"/>
      <c r="O16" s="1"/>
      <c r="P16" s="1">
        <v>3</v>
      </c>
      <c r="Q16" s="1">
        <v>1</v>
      </c>
      <c r="R16" s="1">
        <v>2</v>
      </c>
      <c r="S16" s="1">
        <v>1</v>
      </c>
      <c r="T16" s="1"/>
      <c r="U16" s="1"/>
      <c r="V16" s="1"/>
      <c r="W16" s="1"/>
      <c r="X16" s="1"/>
      <c r="Y16" s="1"/>
      <c r="Z16" s="1"/>
      <c r="AA16" s="1"/>
      <c r="AB16" s="1">
        <v>1</v>
      </c>
      <c r="AC16" s="1">
        <v>3</v>
      </c>
      <c r="AD16" s="1"/>
      <c r="AE16" s="1">
        <v>3</v>
      </c>
      <c r="AF16" s="1">
        <v>1</v>
      </c>
      <c r="AG16" s="1"/>
      <c r="AH16" s="1"/>
      <c r="AI16" s="1"/>
      <c r="AJ16" s="1">
        <v>1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>
        <v>19</v>
      </c>
    </row>
    <row r="17" spans="1:48" x14ac:dyDescent="0.25">
      <c r="A17" s="1" t="s">
        <v>153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>
        <v>3</v>
      </c>
      <c r="X17" s="1">
        <v>5</v>
      </c>
      <c r="Y17" s="1"/>
      <c r="Z17" s="1">
        <v>4</v>
      </c>
      <c r="AA17" s="1">
        <v>6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>
        <v>18</v>
      </c>
    </row>
    <row r="18" spans="1:48" x14ac:dyDescent="0.25">
      <c r="A18" s="1" t="s">
        <v>471</v>
      </c>
      <c r="B18" s="1">
        <v>2</v>
      </c>
      <c r="C18" s="1"/>
      <c r="D18" s="1"/>
      <c r="E18" s="1"/>
      <c r="F18" s="1"/>
      <c r="G18" s="1"/>
      <c r="H18" s="1"/>
      <c r="I18" s="1"/>
      <c r="J18" s="1"/>
      <c r="K18" s="1"/>
      <c r="L18" s="1">
        <v>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>
        <v>2</v>
      </c>
      <c r="X18" s="1"/>
      <c r="Y18" s="1"/>
      <c r="Z18" s="1"/>
      <c r="AA18" s="1"/>
      <c r="AB18" s="1"/>
      <c r="AC18" s="1"/>
      <c r="AD18" s="1"/>
      <c r="AE18" s="1">
        <v>1</v>
      </c>
      <c r="AF18" s="1"/>
      <c r="AG18" s="1"/>
      <c r="AH18" s="1"/>
      <c r="AI18" s="1">
        <v>2</v>
      </c>
      <c r="AJ18" s="1"/>
      <c r="AK18" s="1"/>
      <c r="AL18" s="1"/>
      <c r="AM18" s="1">
        <v>1</v>
      </c>
      <c r="AN18" s="1"/>
      <c r="AO18" s="1"/>
      <c r="AP18" s="1"/>
      <c r="AQ18" s="1"/>
      <c r="AR18" s="1"/>
      <c r="AS18" s="1"/>
      <c r="AT18" s="1"/>
      <c r="AU18" s="1"/>
      <c r="AV18" s="1">
        <v>9</v>
      </c>
    </row>
    <row r="19" spans="1:48" x14ac:dyDescent="0.25">
      <c r="A19" s="1" t="s">
        <v>153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>
        <v>2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>
        <v>2</v>
      </c>
    </row>
    <row r="20" spans="1:48" x14ac:dyDescent="0.25">
      <c r="A20" s="1" t="s">
        <v>459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>
        <v>2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>
        <v>2</v>
      </c>
    </row>
    <row r="21" spans="1:48" x14ac:dyDescent="0.25">
      <c r="A21" s="1" t="s">
        <v>478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v>1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>
        <v>1</v>
      </c>
    </row>
    <row r="22" spans="1:48" x14ac:dyDescent="0.25">
      <c r="A22" s="1" t="s">
        <v>482</v>
      </c>
      <c r="B22" s="1">
        <v>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>
        <v>1</v>
      </c>
    </row>
    <row r="23" spans="1:48" x14ac:dyDescent="0.25">
      <c r="A23" s="1" t="s">
        <v>1096</v>
      </c>
      <c r="B23" s="1">
        <v>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>
        <v>1</v>
      </c>
    </row>
    <row r="24" spans="1:48" x14ac:dyDescent="0.25">
      <c r="A24" s="1" t="s">
        <v>480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>
        <v>1</v>
      </c>
      <c r="AN24" s="1"/>
      <c r="AO24" s="1"/>
      <c r="AP24" s="1"/>
      <c r="AQ24" s="1"/>
      <c r="AR24" s="1"/>
      <c r="AS24" s="1"/>
      <c r="AT24" s="1"/>
      <c r="AU24" s="1"/>
      <c r="AV24" s="1">
        <v>1</v>
      </c>
    </row>
    <row r="25" spans="1:48" x14ac:dyDescent="0.25">
      <c r="A25" s="1" t="s">
        <v>99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>
        <v>1</v>
      </c>
    </row>
    <row r="26" spans="1:48" x14ac:dyDescent="0.25">
      <c r="A26" s="1" t="s">
        <v>1243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1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>
        <v>2</v>
      </c>
      <c r="AG26" s="1"/>
      <c r="AH26" s="1"/>
      <c r="AI26" s="1"/>
      <c r="AJ26" s="1">
        <v>1</v>
      </c>
      <c r="AK26" s="1"/>
      <c r="AL26" s="1"/>
      <c r="AM26" s="1"/>
      <c r="AN26" s="1"/>
      <c r="AO26" s="1"/>
      <c r="AP26" s="1"/>
      <c r="AQ26" s="1"/>
      <c r="AR26" s="1"/>
      <c r="AS26" s="1"/>
      <c r="AT26" s="1">
        <v>1</v>
      </c>
      <c r="AU26" s="1"/>
      <c r="AV26" s="1">
        <v>5</v>
      </c>
    </row>
    <row r="27" spans="1:48" x14ac:dyDescent="0.25">
      <c r="A27" s="1" t="s">
        <v>478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>
        <v>1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>
        <v>1</v>
      </c>
    </row>
    <row r="28" spans="1:48" x14ac:dyDescent="0.25">
      <c r="A28" s="1" t="s">
        <v>103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>
        <v>1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>
        <v>1</v>
      </c>
    </row>
    <row r="29" spans="1:48" x14ac:dyDescent="0.25">
      <c r="A29" s="1" t="s">
        <v>482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>
        <v>1</v>
      </c>
      <c r="AU29" s="1"/>
      <c r="AV29" s="1">
        <v>1</v>
      </c>
    </row>
    <row r="30" spans="1:48" x14ac:dyDescent="0.25">
      <c r="A30" s="1" t="s">
        <v>457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v>1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>
        <v>1</v>
      </c>
    </row>
    <row r="31" spans="1:48" x14ac:dyDescent="0.25">
      <c r="A31" s="1" t="s">
        <v>459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>
        <v>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>
        <v>1</v>
      </c>
    </row>
    <row r="32" spans="1:48" x14ac:dyDescent="0.25">
      <c r="A32" s="1" t="s">
        <v>1244</v>
      </c>
      <c r="B32" s="1"/>
      <c r="C32" s="1"/>
      <c r="D32" s="1"/>
      <c r="E32" s="1"/>
      <c r="F32" s="1"/>
      <c r="G32" s="1"/>
      <c r="H32" s="1"/>
      <c r="I32" s="1"/>
      <c r="J32" s="1">
        <v>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>
        <v>1</v>
      </c>
    </row>
    <row r="33" spans="1:48" x14ac:dyDescent="0.25">
      <c r="A33" s="1" t="s">
        <v>103</v>
      </c>
      <c r="B33" s="1"/>
      <c r="C33" s="1"/>
      <c r="D33" s="1"/>
      <c r="E33" s="1"/>
      <c r="F33" s="1"/>
      <c r="G33" s="1"/>
      <c r="H33" s="1"/>
      <c r="I33" s="1"/>
      <c r="J33" s="1">
        <v>1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>
        <v>1</v>
      </c>
    </row>
    <row r="34" spans="1:48" x14ac:dyDescent="0.25">
      <c r="A34" s="1" t="s">
        <v>1263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>
        <v>1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>
        <v>1</v>
      </c>
    </row>
    <row r="35" spans="1:48" x14ac:dyDescent="0.25">
      <c r="A35" s="1" t="s">
        <v>459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>
        <v>1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>
        <v>1</v>
      </c>
    </row>
    <row r="36" spans="1:48" x14ac:dyDescent="0.25">
      <c r="A36" s="1" t="s">
        <v>472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1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>
        <v>1</v>
      </c>
    </row>
    <row r="37" spans="1:48" x14ac:dyDescent="0.25">
      <c r="A37" s="1" t="s">
        <v>153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1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>
        <v>1</v>
      </c>
    </row>
    <row r="38" spans="1:48" x14ac:dyDescent="0.25">
      <c r="A38" s="1" t="s">
        <v>44</v>
      </c>
      <c r="B38" s="1">
        <v>64</v>
      </c>
      <c r="C38" s="1">
        <v>6</v>
      </c>
      <c r="D38" s="1">
        <v>5</v>
      </c>
      <c r="E38" s="1">
        <v>1</v>
      </c>
      <c r="F38" s="1">
        <v>23</v>
      </c>
      <c r="G38" s="1">
        <v>4</v>
      </c>
      <c r="H38" s="1">
        <v>1</v>
      </c>
      <c r="I38" s="1">
        <v>1</v>
      </c>
      <c r="J38" s="1">
        <v>3</v>
      </c>
      <c r="K38" s="1">
        <v>2</v>
      </c>
      <c r="L38" s="1">
        <v>4</v>
      </c>
      <c r="M38" s="1">
        <v>2</v>
      </c>
      <c r="N38" s="1">
        <v>1</v>
      </c>
      <c r="O38" s="1">
        <v>1</v>
      </c>
      <c r="P38" s="1">
        <v>3</v>
      </c>
      <c r="Q38" s="1">
        <v>1</v>
      </c>
      <c r="R38" s="1">
        <v>2</v>
      </c>
      <c r="S38" s="1">
        <v>1</v>
      </c>
      <c r="T38" s="1">
        <v>120</v>
      </c>
      <c r="U38" s="1">
        <v>16</v>
      </c>
      <c r="V38" s="1">
        <v>8</v>
      </c>
      <c r="W38" s="1">
        <v>6</v>
      </c>
      <c r="X38" s="1">
        <v>5</v>
      </c>
      <c r="Y38" s="1">
        <v>2</v>
      </c>
      <c r="Z38" s="1">
        <v>4</v>
      </c>
      <c r="AA38" s="1">
        <v>6</v>
      </c>
      <c r="AB38" s="1">
        <v>9</v>
      </c>
      <c r="AC38" s="1">
        <v>4</v>
      </c>
      <c r="AD38" s="1">
        <v>15</v>
      </c>
      <c r="AE38" s="1">
        <v>14</v>
      </c>
      <c r="AF38" s="1">
        <v>4</v>
      </c>
      <c r="AG38" s="1">
        <v>10</v>
      </c>
      <c r="AH38" s="1">
        <v>2</v>
      </c>
      <c r="AI38" s="1">
        <v>4</v>
      </c>
      <c r="AJ38" s="1">
        <v>3</v>
      </c>
      <c r="AK38" s="1">
        <v>16</v>
      </c>
      <c r="AL38" s="1">
        <v>6</v>
      </c>
      <c r="AM38" s="1">
        <v>3</v>
      </c>
      <c r="AN38" s="1">
        <v>2</v>
      </c>
      <c r="AO38" s="1">
        <v>2</v>
      </c>
      <c r="AP38" s="1">
        <v>9</v>
      </c>
      <c r="AQ38" s="1">
        <v>4</v>
      </c>
      <c r="AR38" s="1">
        <v>5</v>
      </c>
      <c r="AS38" s="1">
        <v>1</v>
      </c>
      <c r="AT38" s="1">
        <v>1</v>
      </c>
      <c r="AU38" s="1">
        <v>2</v>
      </c>
      <c r="AV38" s="1">
        <v>408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7"/>
  <sheetViews>
    <sheetView topLeftCell="A139" workbookViewId="0">
      <selection activeCell="A167" sqref="A167"/>
    </sheetView>
  </sheetViews>
  <sheetFormatPr defaultRowHeight="15" x14ac:dyDescent="0.25"/>
  <cols>
    <col min="1" max="1" width="5.7109375" bestFit="1" customWidth="1"/>
    <col min="2" max="2" width="44" bestFit="1" customWidth="1"/>
    <col min="3" max="3" width="12.85546875" bestFit="1" customWidth="1"/>
    <col min="4" max="4" width="11.5703125" bestFit="1" customWidth="1"/>
    <col min="5" max="5" width="9.28515625" bestFit="1" customWidth="1"/>
    <col min="6" max="7" width="16.7109375" bestFit="1" customWidth="1"/>
    <col min="8" max="8" width="11.5703125" bestFit="1" customWidth="1"/>
  </cols>
  <sheetData>
    <row r="1" spans="1:8" x14ac:dyDescent="0.25">
      <c r="A1" s="22" t="s">
        <v>201</v>
      </c>
      <c r="B1" s="23" t="s">
        <v>202</v>
      </c>
      <c r="C1" s="24" t="s">
        <v>203</v>
      </c>
      <c r="D1" s="25" t="s">
        <v>204</v>
      </c>
      <c r="E1" s="25" t="s">
        <v>205</v>
      </c>
      <c r="F1" s="25" t="s">
        <v>206</v>
      </c>
      <c r="G1" s="23" t="s">
        <v>200</v>
      </c>
      <c r="H1" s="25" t="s">
        <v>207</v>
      </c>
    </row>
    <row r="2" spans="1:8" x14ac:dyDescent="0.25">
      <c r="A2" s="26">
        <v>1</v>
      </c>
      <c r="B2" s="26" t="s">
        <v>208</v>
      </c>
      <c r="C2" s="26" t="s">
        <v>209</v>
      </c>
      <c r="D2" s="26" t="s">
        <v>96</v>
      </c>
      <c r="E2" s="26" t="s">
        <v>210</v>
      </c>
      <c r="F2" s="26" t="s">
        <v>206</v>
      </c>
      <c r="G2" s="26" t="s">
        <v>206</v>
      </c>
      <c r="H2" s="1" t="s">
        <v>209</v>
      </c>
    </row>
    <row r="3" spans="1:8" x14ac:dyDescent="0.25">
      <c r="A3" s="26">
        <f t="shared" ref="A3:A66" si="0">A2+1</f>
        <v>2</v>
      </c>
      <c r="B3" s="26" t="s">
        <v>109</v>
      </c>
      <c r="C3" s="26" t="s">
        <v>110</v>
      </c>
      <c r="D3" s="26" t="s">
        <v>96</v>
      </c>
      <c r="E3" s="26" t="s">
        <v>210</v>
      </c>
      <c r="F3" s="26" t="s">
        <v>206</v>
      </c>
      <c r="G3" s="26" t="s">
        <v>211</v>
      </c>
      <c r="H3" s="1" t="s">
        <v>110</v>
      </c>
    </row>
    <row r="4" spans="1:8" x14ac:dyDescent="0.25">
      <c r="A4" s="26">
        <f t="shared" si="0"/>
        <v>3</v>
      </c>
      <c r="B4" s="26" t="s">
        <v>212</v>
      </c>
      <c r="C4" s="26" t="s">
        <v>213</v>
      </c>
      <c r="D4" s="26" t="s">
        <v>95</v>
      </c>
      <c r="E4" s="26" t="s">
        <v>210</v>
      </c>
      <c r="F4" s="26" t="s">
        <v>214</v>
      </c>
      <c r="G4" s="26" t="s">
        <v>214</v>
      </c>
      <c r="H4" s="1" t="s">
        <v>214</v>
      </c>
    </row>
    <row r="5" spans="1:8" x14ac:dyDescent="0.25">
      <c r="A5" s="26">
        <f t="shared" si="0"/>
        <v>4</v>
      </c>
      <c r="B5" s="26" t="s">
        <v>215</v>
      </c>
      <c r="C5" s="26" t="s">
        <v>216</v>
      </c>
      <c r="D5" s="26" t="s">
        <v>93</v>
      </c>
      <c r="E5" s="26" t="s">
        <v>210</v>
      </c>
      <c r="F5" s="26" t="s">
        <v>214</v>
      </c>
      <c r="G5" s="26" t="s">
        <v>214</v>
      </c>
      <c r="H5" s="1" t="s">
        <v>214</v>
      </c>
    </row>
    <row r="6" spans="1:8" x14ac:dyDescent="0.25">
      <c r="A6" s="26">
        <f t="shared" si="0"/>
        <v>5</v>
      </c>
      <c r="B6" s="26" t="s">
        <v>123</v>
      </c>
      <c r="C6" s="26" t="s">
        <v>133</v>
      </c>
      <c r="D6" s="26" t="s">
        <v>93</v>
      </c>
      <c r="E6" s="26" t="s">
        <v>210</v>
      </c>
      <c r="F6" s="26" t="s">
        <v>214</v>
      </c>
      <c r="G6" s="26" t="s">
        <v>214</v>
      </c>
      <c r="H6" s="1" t="s">
        <v>133</v>
      </c>
    </row>
    <row r="7" spans="1:8" x14ac:dyDescent="0.25">
      <c r="A7" s="26">
        <f t="shared" si="0"/>
        <v>6</v>
      </c>
      <c r="B7" s="26" t="s">
        <v>217</v>
      </c>
      <c r="C7" s="26" t="s">
        <v>218</v>
      </c>
      <c r="D7" s="26" t="s">
        <v>93</v>
      </c>
      <c r="E7" s="26" t="s">
        <v>210</v>
      </c>
      <c r="F7" s="26" t="s">
        <v>214</v>
      </c>
      <c r="G7" s="26" t="s">
        <v>214</v>
      </c>
      <c r="H7" s="1" t="s">
        <v>218</v>
      </c>
    </row>
    <row r="8" spans="1:8" x14ac:dyDescent="0.25">
      <c r="A8" s="26">
        <f t="shared" si="0"/>
        <v>7</v>
      </c>
      <c r="B8" s="26" t="s">
        <v>101</v>
      </c>
      <c r="C8" s="26" t="s">
        <v>102</v>
      </c>
      <c r="D8" s="26" t="s">
        <v>95</v>
      </c>
      <c r="E8" s="26" t="s">
        <v>210</v>
      </c>
      <c r="F8" s="26" t="s">
        <v>206</v>
      </c>
      <c r="G8" s="26" t="s">
        <v>206</v>
      </c>
      <c r="H8" s="1" t="s">
        <v>102</v>
      </c>
    </row>
    <row r="9" spans="1:8" x14ac:dyDescent="0.25">
      <c r="A9" s="26">
        <f t="shared" si="0"/>
        <v>8</v>
      </c>
      <c r="B9" s="26" t="s">
        <v>178</v>
      </c>
      <c r="C9" s="26" t="s">
        <v>193</v>
      </c>
      <c r="D9" s="26" t="s">
        <v>93</v>
      </c>
      <c r="E9" s="26" t="s">
        <v>210</v>
      </c>
      <c r="F9" s="26" t="s">
        <v>206</v>
      </c>
      <c r="G9" s="26" t="s">
        <v>206</v>
      </c>
      <c r="H9" s="1" t="s">
        <v>193</v>
      </c>
    </row>
    <row r="10" spans="1:8" x14ac:dyDescent="0.25">
      <c r="A10" s="26">
        <f t="shared" si="0"/>
        <v>9</v>
      </c>
      <c r="B10" s="26" t="s">
        <v>113</v>
      </c>
      <c r="C10" s="26" t="s">
        <v>114</v>
      </c>
      <c r="D10" s="26" t="s">
        <v>93</v>
      </c>
      <c r="E10" s="26" t="s">
        <v>210</v>
      </c>
      <c r="F10" s="26" t="s">
        <v>206</v>
      </c>
      <c r="G10" s="26" t="s">
        <v>206</v>
      </c>
      <c r="H10" s="1" t="s">
        <v>114</v>
      </c>
    </row>
    <row r="11" spans="1:8" x14ac:dyDescent="0.25">
      <c r="A11" s="26">
        <f t="shared" si="0"/>
        <v>10</v>
      </c>
      <c r="B11" s="26" t="s">
        <v>219</v>
      </c>
      <c r="C11" s="26" t="s">
        <v>220</v>
      </c>
      <c r="D11" s="26" t="s">
        <v>96</v>
      </c>
      <c r="E11" s="26" t="s">
        <v>210</v>
      </c>
      <c r="F11" s="26" t="s">
        <v>206</v>
      </c>
      <c r="G11" s="26" t="s">
        <v>221</v>
      </c>
      <c r="H11" s="1" t="s">
        <v>221</v>
      </c>
    </row>
    <row r="12" spans="1:8" x14ac:dyDescent="0.25">
      <c r="A12" s="26">
        <f t="shared" si="0"/>
        <v>11</v>
      </c>
      <c r="B12" s="26" t="s">
        <v>222</v>
      </c>
      <c r="C12" s="26" t="s">
        <v>223</v>
      </c>
      <c r="D12" s="26" t="s">
        <v>95</v>
      </c>
      <c r="E12" s="26" t="s">
        <v>210</v>
      </c>
      <c r="F12" s="26" t="s">
        <v>214</v>
      </c>
      <c r="G12" s="26" t="s">
        <v>214</v>
      </c>
      <c r="H12" s="1" t="s">
        <v>214</v>
      </c>
    </row>
    <row r="13" spans="1:8" x14ac:dyDescent="0.25">
      <c r="A13" s="26">
        <f t="shared" si="0"/>
        <v>12</v>
      </c>
      <c r="B13" s="26" t="s">
        <v>224</v>
      </c>
      <c r="C13" s="26" t="s">
        <v>225</v>
      </c>
      <c r="D13" s="26" t="s">
        <v>226</v>
      </c>
      <c r="E13" s="26" t="s">
        <v>210</v>
      </c>
      <c r="F13" s="26" t="s">
        <v>214</v>
      </c>
      <c r="G13" s="26" t="s">
        <v>214</v>
      </c>
      <c r="H13" s="1" t="s">
        <v>227</v>
      </c>
    </row>
    <row r="14" spans="1:8" x14ac:dyDescent="0.25">
      <c r="A14" s="26">
        <f t="shared" si="0"/>
        <v>13</v>
      </c>
      <c r="B14" s="26" t="s">
        <v>228</v>
      </c>
      <c r="C14" s="26" t="s">
        <v>229</v>
      </c>
      <c r="D14" s="26" t="s">
        <v>95</v>
      </c>
      <c r="E14" s="26" t="s">
        <v>210</v>
      </c>
      <c r="F14" s="26" t="s">
        <v>214</v>
      </c>
      <c r="G14" s="26" t="s">
        <v>230</v>
      </c>
      <c r="H14" s="1" t="s">
        <v>229</v>
      </c>
    </row>
    <row r="15" spans="1:8" x14ac:dyDescent="0.25">
      <c r="A15" s="26">
        <f t="shared" si="0"/>
        <v>14</v>
      </c>
      <c r="B15" s="26" t="s">
        <v>231</v>
      </c>
      <c r="C15" s="26" t="s">
        <v>232</v>
      </c>
      <c r="D15" s="26" t="s">
        <v>95</v>
      </c>
      <c r="E15" s="26" t="s">
        <v>210</v>
      </c>
      <c r="F15" s="26" t="s">
        <v>214</v>
      </c>
      <c r="G15" s="26" t="s">
        <v>230</v>
      </c>
      <c r="H15" s="1" t="s">
        <v>232</v>
      </c>
    </row>
    <row r="16" spans="1:8" x14ac:dyDescent="0.25">
      <c r="A16" s="26">
        <f t="shared" si="0"/>
        <v>15</v>
      </c>
      <c r="B16" s="26" t="s">
        <v>233</v>
      </c>
      <c r="C16" s="26" t="s">
        <v>234</v>
      </c>
      <c r="D16" s="26" t="s">
        <v>95</v>
      </c>
      <c r="E16" s="26" t="s">
        <v>210</v>
      </c>
      <c r="F16" s="26" t="s">
        <v>214</v>
      </c>
      <c r="G16" s="26" t="s">
        <v>230</v>
      </c>
      <c r="H16" s="1" t="s">
        <v>234</v>
      </c>
    </row>
    <row r="17" spans="1:8" x14ac:dyDescent="0.25">
      <c r="A17" s="26">
        <f t="shared" si="0"/>
        <v>16</v>
      </c>
      <c r="B17" s="26" t="s">
        <v>235</v>
      </c>
      <c r="C17" s="26" t="s">
        <v>236</v>
      </c>
      <c r="D17" s="26" t="s">
        <v>96</v>
      </c>
      <c r="E17" s="26" t="s">
        <v>210</v>
      </c>
      <c r="F17" s="26" t="s">
        <v>214</v>
      </c>
      <c r="G17" s="26" t="s">
        <v>221</v>
      </c>
      <c r="H17" s="1" t="s">
        <v>221</v>
      </c>
    </row>
    <row r="18" spans="1:8" x14ac:dyDescent="0.25">
      <c r="A18" s="26">
        <f t="shared" si="0"/>
        <v>17</v>
      </c>
      <c r="B18" s="26" t="s">
        <v>180</v>
      </c>
      <c r="C18" s="26" t="s">
        <v>180</v>
      </c>
      <c r="D18" s="26" t="s">
        <v>95</v>
      </c>
      <c r="E18" s="26" t="s">
        <v>210</v>
      </c>
      <c r="F18" s="26" t="s">
        <v>214</v>
      </c>
      <c r="G18" s="26" t="s">
        <v>214</v>
      </c>
      <c r="H18" s="1" t="s">
        <v>214</v>
      </c>
    </row>
    <row r="19" spans="1:8" x14ac:dyDescent="0.25">
      <c r="A19" s="26">
        <f t="shared" si="0"/>
        <v>18</v>
      </c>
      <c r="B19" s="26" t="s">
        <v>237</v>
      </c>
      <c r="C19" s="26" t="s">
        <v>238</v>
      </c>
      <c r="D19" s="26" t="s">
        <v>95</v>
      </c>
      <c r="E19" s="26" t="s">
        <v>210</v>
      </c>
      <c r="F19" s="26" t="s">
        <v>214</v>
      </c>
      <c r="G19" s="26" t="s">
        <v>214</v>
      </c>
      <c r="H19" s="1" t="s">
        <v>238</v>
      </c>
    </row>
    <row r="20" spans="1:8" x14ac:dyDescent="0.25">
      <c r="A20" s="26">
        <f t="shared" si="0"/>
        <v>19</v>
      </c>
      <c r="B20" s="26" t="s">
        <v>239</v>
      </c>
      <c r="C20" s="26" t="s">
        <v>240</v>
      </c>
      <c r="D20" s="26" t="s">
        <v>226</v>
      </c>
      <c r="E20" s="26" t="s">
        <v>210</v>
      </c>
      <c r="F20" s="26" t="s">
        <v>214</v>
      </c>
      <c r="G20" s="26" t="s">
        <v>214</v>
      </c>
      <c r="H20" s="1" t="s">
        <v>240</v>
      </c>
    </row>
    <row r="21" spans="1:8" x14ac:dyDescent="0.25">
      <c r="A21" s="26">
        <f t="shared" si="0"/>
        <v>20</v>
      </c>
      <c r="B21" s="26" t="s">
        <v>241</v>
      </c>
      <c r="C21" s="26" t="s">
        <v>242</v>
      </c>
      <c r="D21" s="26" t="s">
        <v>95</v>
      </c>
      <c r="E21" s="26" t="s">
        <v>210</v>
      </c>
      <c r="F21" s="26" t="s">
        <v>214</v>
      </c>
      <c r="G21" s="26" t="s">
        <v>214</v>
      </c>
      <c r="H21" s="1" t="s">
        <v>214</v>
      </c>
    </row>
    <row r="22" spans="1:8" x14ac:dyDescent="0.25">
      <c r="A22" s="26">
        <f t="shared" si="0"/>
        <v>21</v>
      </c>
      <c r="B22" s="26" t="s">
        <v>243</v>
      </c>
      <c r="C22" s="26" t="s">
        <v>243</v>
      </c>
      <c r="D22" s="26" t="s">
        <v>95</v>
      </c>
      <c r="E22" s="26" t="s">
        <v>210</v>
      </c>
      <c r="F22" s="26" t="s">
        <v>214</v>
      </c>
      <c r="G22" s="26" t="s">
        <v>214</v>
      </c>
      <c r="H22" s="1" t="s">
        <v>214</v>
      </c>
    </row>
    <row r="23" spans="1:8" x14ac:dyDescent="0.25">
      <c r="A23" s="26">
        <f t="shared" si="0"/>
        <v>22</v>
      </c>
      <c r="B23" s="26" t="s">
        <v>244</v>
      </c>
      <c r="C23" s="26" t="s">
        <v>245</v>
      </c>
      <c r="D23" s="26" t="s">
        <v>95</v>
      </c>
      <c r="E23" s="26" t="s">
        <v>210</v>
      </c>
      <c r="F23" s="26" t="s">
        <v>214</v>
      </c>
      <c r="G23" s="26" t="s">
        <v>214</v>
      </c>
      <c r="H23" s="1" t="s">
        <v>214</v>
      </c>
    </row>
    <row r="24" spans="1:8" x14ac:dyDescent="0.25">
      <c r="A24" s="26">
        <f t="shared" si="0"/>
        <v>23</v>
      </c>
      <c r="B24" s="26" t="s">
        <v>154</v>
      </c>
      <c r="C24" s="26" t="s">
        <v>158</v>
      </c>
      <c r="D24" s="26" t="s">
        <v>96</v>
      </c>
      <c r="E24" s="26" t="s">
        <v>210</v>
      </c>
      <c r="F24" s="26" t="s">
        <v>214</v>
      </c>
      <c r="G24" s="26" t="s">
        <v>214</v>
      </c>
      <c r="H24" s="1" t="s">
        <v>214</v>
      </c>
    </row>
    <row r="25" spans="1:8" x14ac:dyDescent="0.25">
      <c r="A25" s="26">
        <f t="shared" si="0"/>
        <v>24</v>
      </c>
      <c r="B25" s="26" t="s">
        <v>246</v>
      </c>
      <c r="C25" s="26" t="s">
        <v>247</v>
      </c>
      <c r="D25" s="26" t="s">
        <v>95</v>
      </c>
      <c r="E25" s="26" t="s">
        <v>210</v>
      </c>
      <c r="F25" s="26" t="s">
        <v>214</v>
      </c>
      <c r="G25" s="26" t="s">
        <v>214</v>
      </c>
      <c r="H25" s="1" t="s">
        <v>214</v>
      </c>
    </row>
    <row r="26" spans="1:8" x14ac:dyDescent="0.25">
      <c r="A26" s="26">
        <f t="shared" si="0"/>
        <v>25</v>
      </c>
      <c r="B26" s="26" t="s">
        <v>248</v>
      </c>
      <c r="C26" s="26" t="s">
        <v>249</v>
      </c>
      <c r="D26" s="26" t="s">
        <v>96</v>
      </c>
      <c r="E26" s="26" t="s">
        <v>210</v>
      </c>
      <c r="F26" s="26" t="s">
        <v>214</v>
      </c>
      <c r="G26" s="26" t="s">
        <v>214</v>
      </c>
      <c r="H26" s="1" t="s">
        <v>214</v>
      </c>
    </row>
    <row r="27" spans="1:8" x14ac:dyDescent="0.25">
      <c r="A27" s="26">
        <f t="shared" si="0"/>
        <v>26</v>
      </c>
      <c r="B27" s="26" t="s">
        <v>162</v>
      </c>
      <c r="C27" s="26" t="s">
        <v>168</v>
      </c>
      <c r="D27" s="26" t="s">
        <v>96</v>
      </c>
      <c r="E27" s="26" t="s">
        <v>210</v>
      </c>
      <c r="F27" s="26" t="s">
        <v>214</v>
      </c>
      <c r="G27" s="26" t="s">
        <v>214</v>
      </c>
      <c r="H27" s="1" t="s">
        <v>214</v>
      </c>
    </row>
    <row r="28" spans="1:8" x14ac:dyDescent="0.25">
      <c r="A28" s="26">
        <f t="shared" si="0"/>
        <v>27</v>
      </c>
      <c r="B28" s="26" t="s">
        <v>117</v>
      </c>
      <c r="C28" s="26" t="s">
        <v>120</v>
      </c>
      <c r="D28" s="26" t="s">
        <v>95</v>
      </c>
      <c r="E28" s="26" t="s">
        <v>210</v>
      </c>
      <c r="F28" s="26" t="s">
        <v>206</v>
      </c>
      <c r="G28" s="26" t="s">
        <v>206</v>
      </c>
      <c r="H28" s="1" t="s">
        <v>120</v>
      </c>
    </row>
    <row r="29" spans="1:8" x14ac:dyDescent="0.25">
      <c r="A29" s="26">
        <f t="shared" si="0"/>
        <v>28</v>
      </c>
      <c r="B29" s="26" t="s">
        <v>175</v>
      </c>
      <c r="C29" s="26" t="s">
        <v>190</v>
      </c>
      <c r="D29" s="26" t="s">
        <v>95</v>
      </c>
      <c r="E29" s="26" t="s">
        <v>210</v>
      </c>
      <c r="F29" s="26" t="s">
        <v>214</v>
      </c>
      <c r="G29" s="26" t="s">
        <v>214</v>
      </c>
      <c r="H29" s="1" t="s">
        <v>214</v>
      </c>
    </row>
    <row r="30" spans="1:8" x14ac:dyDescent="0.25">
      <c r="A30" s="26">
        <f t="shared" si="0"/>
        <v>29</v>
      </c>
      <c r="B30" s="26" t="s">
        <v>250</v>
      </c>
      <c r="C30" s="26" t="s">
        <v>251</v>
      </c>
      <c r="D30" s="26" t="s">
        <v>95</v>
      </c>
      <c r="E30" s="26" t="s">
        <v>210</v>
      </c>
      <c r="F30" s="26" t="s">
        <v>214</v>
      </c>
      <c r="G30" s="26" t="s">
        <v>214</v>
      </c>
      <c r="H30" s="1" t="s">
        <v>214</v>
      </c>
    </row>
    <row r="31" spans="1:8" x14ac:dyDescent="0.25">
      <c r="A31" s="26">
        <f t="shared" si="0"/>
        <v>30</v>
      </c>
      <c r="B31" s="26" t="s">
        <v>252</v>
      </c>
      <c r="C31" s="26" t="s">
        <v>253</v>
      </c>
      <c r="D31" s="26" t="s">
        <v>96</v>
      </c>
      <c r="E31" s="26" t="s">
        <v>210</v>
      </c>
      <c r="F31" s="26" t="s">
        <v>214</v>
      </c>
      <c r="G31" s="26" t="s">
        <v>221</v>
      </c>
      <c r="H31" s="1" t="s">
        <v>221</v>
      </c>
    </row>
    <row r="32" spans="1:8" x14ac:dyDescent="0.25">
      <c r="A32" s="26">
        <f t="shared" si="0"/>
        <v>31</v>
      </c>
      <c r="B32" s="26" t="s">
        <v>163</v>
      </c>
      <c r="C32" s="26" t="s">
        <v>169</v>
      </c>
      <c r="D32" s="26" t="s">
        <v>96</v>
      </c>
      <c r="E32" s="26" t="s">
        <v>210</v>
      </c>
      <c r="F32" s="26" t="s">
        <v>206</v>
      </c>
      <c r="G32" s="26" t="s">
        <v>221</v>
      </c>
      <c r="H32" s="1" t="s">
        <v>221</v>
      </c>
    </row>
    <row r="33" spans="1:8" x14ac:dyDescent="0.25">
      <c r="A33" s="26">
        <f t="shared" si="0"/>
        <v>32</v>
      </c>
      <c r="B33" s="26" t="s">
        <v>139</v>
      </c>
      <c r="C33" s="26" t="s">
        <v>141</v>
      </c>
      <c r="D33" s="26" t="s">
        <v>96</v>
      </c>
      <c r="E33" s="26" t="s">
        <v>210</v>
      </c>
      <c r="F33" s="26" t="s">
        <v>214</v>
      </c>
      <c r="G33" s="26" t="s">
        <v>214</v>
      </c>
      <c r="H33" s="1" t="s">
        <v>214</v>
      </c>
    </row>
    <row r="34" spans="1:8" x14ac:dyDescent="0.25">
      <c r="A34" s="26">
        <f t="shared" si="0"/>
        <v>33</v>
      </c>
      <c r="B34" s="26" t="s">
        <v>182</v>
      </c>
      <c r="C34" s="26" t="s">
        <v>195</v>
      </c>
      <c r="D34" s="26" t="s">
        <v>96</v>
      </c>
      <c r="E34" s="26" t="s">
        <v>210</v>
      </c>
      <c r="F34" s="26" t="s">
        <v>214</v>
      </c>
      <c r="G34" s="26" t="s">
        <v>221</v>
      </c>
      <c r="H34" s="1" t="s">
        <v>221</v>
      </c>
    </row>
    <row r="35" spans="1:8" x14ac:dyDescent="0.25">
      <c r="A35" s="26">
        <f t="shared" si="0"/>
        <v>34</v>
      </c>
      <c r="B35" s="26" t="s">
        <v>254</v>
      </c>
      <c r="C35" s="26" t="s">
        <v>255</v>
      </c>
      <c r="D35" s="26" t="s">
        <v>95</v>
      </c>
      <c r="E35" s="26" t="s">
        <v>210</v>
      </c>
      <c r="F35" s="26" t="s">
        <v>214</v>
      </c>
      <c r="G35" s="26" t="s">
        <v>214</v>
      </c>
      <c r="H35" s="1" t="s">
        <v>214</v>
      </c>
    </row>
    <row r="36" spans="1:8" x14ac:dyDescent="0.25">
      <c r="A36" s="26">
        <f t="shared" si="0"/>
        <v>35</v>
      </c>
      <c r="B36" s="26" t="s">
        <v>256</v>
      </c>
      <c r="C36" s="26" t="s">
        <v>257</v>
      </c>
      <c r="D36" s="26" t="s">
        <v>96</v>
      </c>
      <c r="E36" s="26" t="s">
        <v>210</v>
      </c>
      <c r="F36" s="26" t="s">
        <v>214</v>
      </c>
      <c r="G36" s="26" t="s">
        <v>214</v>
      </c>
      <c r="H36" s="1" t="s">
        <v>257</v>
      </c>
    </row>
    <row r="37" spans="1:8" x14ac:dyDescent="0.25">
      <c r="A37" s="26">
        <f t="shared" si="0"/>
        <v>36</v>
      </c>
      <c r="B37" s="26" t="s">
        <v>258</v>
      </c>
      <c r="C37" s="26" t="s">
        <v>259</v>
      </c>
      <c r="D37" s="26" t="s">
        <v>95</v>
      </c>
      <c r="E37" s="26" t="s">
        <v>210</v>
      </c>
      <c r="F37" s="26" t="s">
        <v>214</v>
      </c>
      <c r="G37" s="26" t="s">
        <v>214</v>
      </c>
      <c r="H37" s="1" t="s">
        <v>214</v>
      </c>
    </row>
    <row r="38" spans="1:8" x14ac:dyDescent="0.25">
      <c r="A38" s="26">
        <f t="shared" si="0"/>
        <v>37</v>
      </c>
      <c r="B38" s="26" t="s">
        <v>260</v>
      </c>
      <c r="C38" s="26" t="s">
        <v>261</v>
      </c>
      <c r="D38" s="26" t="s">
        <v>95</v>
      </c>
      <c r="E38" s="26" t="s">
        <v>210</v>
      </c>
      <c r="F38" s="26" t="s">
        <v>214</v>
      </c>
      <c r="G38" s="26" t="s">
        <v>214</v>
      </c>
      <c r="H38" s="1" t="s">
        <v>214</v>
      </c>
    </row>
    <row r="39" spans="1:8" x14ac:dyDescent="0.25">
      <c r="A39" s="26">
        <f t="shared" si="0"/>
        <v>38</v>
      </c>
      <c r="B39" s="26" t="s">
        <v>129</v>
      </c>
      <c r="C39" s="26" t="s">
        <v>135</v>
      </c>
      <c r="D39" s="26" t="s">
        <v>96</v>
      </c>
      <c r="E39" s="26" t="s">
        <v>210</v>
      </c>
      <c r="F39" s="26" t="s">
        <v>214</v>
      </c>
      <c r="G39" s="26" t="s">
        <v>214</v>
      </c>
      <c r="H39" s="1" t="s">
        <v>214</v>
      </c>
    </row>
    <row r="40" spans="1:8" x14ac:dyDescent="0.25">
      <c r="A40" s="26">
        <f t="shared" si="0"/>
        <v>39</v>
      </c>
      <c r="B40" s="26" t="s">
        <v>262</v>
      </c>
      <c r="C40" s="26" t="s">
        <v>263</v>
      </c>
      <c r="D40" s="26" t="s">
        <v>96</v>
      </c>
      <c r="E40" s="26" t="s">
        <v>210</v>
      </c>
      <c r="F40" s="26" t="s">
        <v>214</v>
      </c>
      <c r="G40" s="26" t="s">
        <v>221</v>
      </c>
      <c r="H40" s="1" t="s">
        <v>221</v>
      </c>
    </row>
    <row r="41" spans="1:8" x14ac:dyDescent="0.25">
      <c r="A41" s="26">
        <f t="shared" si="0"/>
        <v>40</v>
      </c>
      <c r="B41" s="26" t="s">
        <v>264</v>
      </c>
      <c r="C41" s="26" t="s">
        <v>265</v>
      </c>
      <c r="D41" s="26" t="s">
        <v>95</v>
      </c>
      <c r="E41" s="26" t="s">
        <v>210</v>
      </c>
      <c r="F41" s="26" t="s">
        <v>214</v>
      </c>
      <c r="G41" s="26" t="s">
        <v>214</v>
      </c>
      <c r="H41" s="1" t="s">
        <v>214</v>
      </c>
    </row>
    <row r="42" spans="1:8" x14ac:dyDescent="0.25">
      <c r="A42" s="26">
        <f t="shared" si="0"/>
        <v>41</v>
      </c>
      <c r="B42" s="26" t="s">
        <v>266</v>
      </c>
      <c r="C42" s="26" t="s">
        <v>267</v>
      </c>
      <c r="D42" s="26" t="s">
        <v>95</v>
      </c>
      <c r="E42" s="26" t="s">
        <v>210</v>
      </c>
      <c r="F42" s="26" t="s">
        <v>214</v>
      </c>
      <c r="G42" s="26" t="s">
        <v>214</v>
      </c>
      <c r="H42" s="1" t="s">
        <v>214</v>
      </c>
    </row>
    <row r="43" spans="1:8" x14ac:dyDescent="0.25">
      <c r="A43" s="26">
        <f t="shared" si="0"/>
        <v>42</v>
      </c>
      <c r="B43" s="26" t="s">
        <v>160</v>
      </c>
      <c r="C43" s="26" t="s">
        <v>160</v>
      </c>
      <c r="D43" s="26" t="s">
        <v>96</v>
      </c>
      <c r="E43" s="26" t="s">
        <v>210</v>
      </c>
      <c r="F43" s="26" t="s">
        <v>214</v>
      </c>
      <c r="G43" s="26" t="s">
        <v>221</v>
      </c>
      <c r="H43" s="1" t="s">
        <v>221</v>
      </c>
    </row>
    <row r="44" spans="1:8" x14ac:dyDescent="0.25">
      <c r="A44" s="26">
        <f t="shared" si="0"/>
        <v>43</v>
      </c>
      <c r="B44" s="26" t="s">
        <v>174</v>
      </c>
      <c r="C44" s="26" t="s">
        <v>189</v>
      </c>
      <c r="D44" s="26" t="s">
        <v>96</v>
      </c>
      <c r="E44" s="26" t="s">
        <v>210</v>
      </c>
      <c r="F44" s="26" t="s">
        <v>214</v>
      </c>
      <c r="G44" s="26" t="s">
        <v>214</v>
      </c>
      <c r="H44" s="1" t="s">
        <v>189</v>
      </c>
    </row>
    <row r="45" spans="1:8" x14ac:dyDescent="0.25">
      <c r="A45" s="26">
        <f t="shared" si="0"/>
        <v>44</v>
      </c>
      <c r="B45" s="26" t="s">
        <v>268</v>
      </c>
      <c r="C45" s="26" t="s">
        <v>269</v>
      </c>
      <c r="D45" s="26" t="s">
        <v>95</v>
      </c>
      <c r="E45" s="26" t="s">
        <v>210</v>
      </c>
      <c r="F45" s="26" t="s">
        <v>214</v>
      </c>
      <c r="G45" s="26" t="s">
        <v>214</v>
      </c>
      <c r="H45" s="1" t="s">
        <v>214</v>
      </c>
    </row>
    <row r="46" spans="1:8" x14ac:dyDescent="0.25">
      <c r="A46" s="26">
        <f t="shared" si="0"/>
        <v>45</v>
      </c>
      <c r="B46" s="26" t="s">
        <v>270</v>
      </c>
      <c r="C46" s="26" t="s">
        <v>271</v>
      </c>
      <c r="D46" s="26" t="s">
        <v>95</v>
      </c>
      <c r="E46" s="26" t="s">
        <v>210</v>
      </c>
      <c r="F46" s="26" t="s">
        <v>214</v>
      </c>
      <c r="G46" s="26" t="s">
        <v>214</v>
      </c>
      <c r="H46" s="1" t="s">
        <v>214</v>
      </c>
    </row>
    <row r="47" spans="1:8" x14ac:dyDescent="0.25">
      <c r="A47" s="26">
        <f t="shared" si="0"/>
        <v>46</v>
      </c>
      <c r="B47" s="26" t="s">
        <v>136</v>
      </c>
      <c r="C47" s="26" t="s">
        <v>138</v>
      </c>
      <c r="D47" s="26" t="s">
        <v>96</v>
      </c>
      <c r="E47" s="26" t="s">
        <v>210</v>
      </c>
      <c r="F47" s="26" t="s">
        <v>206</v>
      </c>
      <c r="G47" s="26" t="s">
        <v>206</v>
      </c>
      <c r="H47" s="1" t="s">
        <v>138</v>
      </c>
    </row>
    <row r="48" spans="1:8" x14ac:dyDescent="0.25">
      <c r="A48" s="26">
        <f t="shared" si="0"/>
        <v>47</v>
      </c>
      <c r="B48" s="26" t="s">
        <v>128</v>
      </c>
      <c r="C48" s="26" t="s">
        <v>134</v>
      </c>
      <c r="D48" s="26" t="s">
        <v>95</v>
      </c>
      <c r="E48" s="26" t="s">
        <v>210</v>
      </c>
      <c r="F48" s="26" t="s">
        <v>214</v>
      </c>
      <c r="G48" s="26" t="s">
        <v>214</v>
      </c>
      <c r="H48" s="1" t="s">
        <v>214</v>
      </c>
    </row>
    <row r="49" spans="1:8" x14ac:dyDescent="0.25">
      <c r="A49" s="26">
        <f t="shared" si="0"/>
        <v>48</v>
      </c>
      <c r="B49" s="26" t="s">
        <v>272</v>
      </c>
      <c r="C49" s="26" t="s">
        <v>273</v>
      </c>
      <c r="D49" s="26" t="s">
        <v>96</v>
      </c>
      <c r="E49" s="26" t="s">
        <v>210</v>
      </c>
      <c r="F49" s="26" t="s">
        <v>214</v>
      </c>
      <c r="G49" s="26" t="s">
        <v>221</v>
      </c>
      <c r="H49" s="1" t="s">
        <v>221</v>
      </c>
    </row>
    <row r="50" spans="1:8" x14ac:dyDescent="0.25">
      <c r="A50" s="26">
        <f t="shared" si="0"/>
        <v>49</v>
      </c>
      <c r="B50" s="26" t="s">
        <v>274</v>
      </c>
      <c r="C50" s="26" t="s">
        <v>275</v>
      </c>
      <c r="D50" s="26" t="s">
        <v>226</v>
      </c>
      <c r="E50" s="26" t="s">
        <v>210</v>
      </c>
      <c r="F50" s="26" t="s">
        <v>214</v>
      </c>
      <c r="G50" s="26" t="s">
        <v>214</v>
      </c>
      <c r="H50" s="1" t="s">
        <v>275</v>
      </c>
    </row>
    <row r="51" spans="1:8" x14ac:dyDescent="0.25">
      <c r="A51" s="26">
        <f t="shared" si="0"/>
        <v>50</v>
      </c>
      <c r="B51" s="26" t="s">
        <v>276</v>
      </c>
      <c r="C51" s="26" t="s">
        <v>277</v>
      </c>
      <c r="D51" s="26" t="s">
        <v>93</v>
      </c>
      <c r="E51" s="26" t="s">
        <v>210</v>
      </c>
      <c r="F51" s="26" t="s">
        <v>206</v>
      </c>
      <c r="G51" s="26" t="s">
        <v>206</v>
      </c>
      <c r="H51" s="1" t="s">
        <v>277</v>
      </c>
    </row>
    <row r="52" spans="1:8" x14ac:dyDescent="0.25">
      <c r="A52" s="26">
        <f t="shared" si="0"/>
        <v>51</v>
      </c>
      <c r="B52" s="26" t="s">
        <v>165</v>
      </c>
      <c r="C52" s="26" t="s">
        <v>171</v>
      </c>
      <c r="D52" s="26" t="s">
        <v>95</v>
      </c>
      <c r="E52" s="26" t="s">
        <v>210</v>
      </c>
      <c r="F52" s="26" t="s">
        <v>214</v>
      </c>
      <c r="G52" s="26" t="s">
        <v>214</v>
      </c>
      <c r="H52" s="1" t="s">
        <v>214</v>
      </c>
    </row>
    <row r="53" spans="1:8" x14ac:dyDescent="0.25">
      <c r="A53" s="26">
        <f t="shared" si="0"/>
        <v>52</v>
      </c>
      <c r="B53" s="26" t="s">
        <v>278</v>
      </c>
      <c r="C53" s="26" t="s">
        <v>279</v>
      </c>
      <c r="D53" s="26" t="s">
        <v>96</v>
      </c>
      <c r="E53" s="26" t="s">
        <v>210</v>
      </c>
      <c r="F53" s="26" t="s">
        <v>214</v>
      </c>
      <c r="G53" s="26" t="s">
        <v>214</v>
      </c>
      <c r="H53" s="1" t="s">
        <v>214</v>
      </c>
    </row>
    <row r="54" spans="1:8" x14ac:dyDescent="0.25">
      <c r="A54" s="26">
        <f t="shared" si="0"/>
        <v>53</v>
      </c>
      <c r="B54" s="26" t="s">
        <v>115</v>
      </c>
      <c r="C54" s="26" t="s">
        <v>118</v>
      </c>
      <c r="D54" s="26" t="s">
        <v>96</v>
      </c>
      <c r="E54" s="26" t="s">
        <v>210</v>
      </c>
      <c r="F54" s="26" t="s">
        <v>206</v>
      </c>
      <c r="G54" s="26" t="s">
        <v>206</v>
      </c>
      <c r="H54" s="1" t="s">
        <v>118</v>
      </c>
    </row>
    <row r="55" spans="1:8" x14ac:dyDescent="0.25">
      <c r="A55" s="26">
        <f t="shared" si="0"/>
        <v>54</v>
      </c>
      <c r="B55" s="26" t="s">
        <v>145</v>
      </c>
      <c r="C55" s="26" t="s">
        <v>149</v>
      </c>
      <c r="D55" s="26" t="s">
        <v>96</v>
      </c>
      <c r="E55" s="26" t="s">
        <v>210</v>
      </c>
      <c r="F55" s="26" t="s">
        <v>214</v>
      </c>
      <c r="G55" s="26" t="s">
        <v>214</v>
      </c>
      <c r="H55" s="1" t="s">
        <v>214</v>
      </c>
    </row>
    <row r="56" spans="1:8" x14ac:dyDescent="0.25">
      <c r="A56" s="26">
        <f t="shared" si="0"/>
        <v>55</v>
      </c>
      <c r="B56" s="26" t="s">
        <v>280</v>
      </c>
      <c r="C56" s="26" t="s">
        <v>281</v>
      </c>
      <c r="D56" s="26" t="s">
        <v>95</v>
      </c>
      <c r="E56" s="26" t="s">
        <v>210</v>
      </c>
      <c r="F56" s="26" t="s">
        <v>214</v>
      </c>
      <c r="G56" s="26" t="s">
        <v>214</v>
      </c>
      <c r="H56" s="1" t="s">
        <v>214</v>
      </c>
    </row>
    <row r="57" spans="1:8" x14ac:dyDescent="0.25">
      <c r="A57" s="26">
        <f t="shared" si="0"/>
        <v>56</v>
      </c>
      <c r="B57" s="26" t="s">
        <v>121</v>
      </c>
      <c r="C57" s="26" t="s">
        <v>122</v>
      </c>
      <c r="D57" s="26" t="s">
        <v>96</v>
      </c>
      <c r="E57" s="26" t="s">
        <v>210</v>
      </c>
      <c r="F57" s="26" t="s">
        <v>206</v>
      </c>
      <c r="G57" s="26" t="s">
        <v>206</v>
      </c>
      <c r="H57" s="1" t="s">
        <v>122</v>
      </c>
    </row>
    <row r="58" spans="1:8" x14ac:dyDescent="0.25">
      <c r="A58" s="26">
        <f t="shared" si="0"/>
        <v>57</v>
      </c>
      <c r="B58" s="26" t="s">
        <v>106</v>
      </c>
      <c r="C58" s="26" t="s">
        <v>108</v>
      </c>
      <c r="D58" s="26" t="s">
        <v>93</v>
      </c>
      <c r="E58" s="26" t="s">
        <v>210</v>
      </c>
      <c r="F58" s="26" t="s">
        <v>206</v>
      </c>
      <c r="G58" s="26" t="s">
        <v>206</v>
      </c>
      <c r="H58" s="1" t="s">
        <v>108</v>
      </c>
    </row>
    <row r="59" spans="1:8" x14ac:dyDescent="0.25">
      <c r="A59" s="26">
        <f t="shared" si="0"/>
        <v>58</v>
      </c>
      <c r="B59" s="26" t="s">
        <v>282</v>
      </c>
      <c r="C59" s="26" t="s">
        <v>283</v>
      </c>
      <c r="D59" s="26" t="s">
        <v>95</v>
      </c>
      <c r="E59" s="26" t="s">
        <v>210</v>
      </c>
      <c r="F59" s="26" t="s">
        <v>214</v>
      </c>
      <c r="G59" s="26" t="s">
        <v>214</v>
      </c>
      <c r="H59" s="1" t="s">
        <v>214</v>
      </c>
    </row>
    <row r="60" spans="1:8" x14ac:dyDescent="0.25">
      <c r="A60" s="26">
        <f t="shared" si="0"/>
        <v>59</v>
      </c>
      <c r="B60" s="26" t="s">
        <v>164</v>
      </c>
      <c r="C60" s="26" t="s">
        <v>170</v>
      </c>
      <c r="D60" s="26" t="s">
        <v>96</v>
      </c>
      <c r="E60" s="26" t="s">
        <v>210</v>
      </c>
      <c r="F60" s="26" t="s">
        <v>214</v>
      </c>
      <c r="G60" s="26" t="s">
        <v>221</v>
      </c>
      <c r="H60" s="1" t="s">
        <v>221</v>
      </c>
    </row>
    <row r="61" spans="1:8" x14ac:dyDescent="0.25">
      <c r="A61" s="26">
        <f t="shared" si="0"/>
        <v>60</v>
      </c>
      <c r="B61" s="26" t="s">
        <v>144</v>
      </c>
      <c r="C61" s="26" t="s">
        <v>148</v>
      </c>
      <c r="D61" s="26" t="s">
        <v>93</v>
      </c>
      <c r="E61" s="26" t="s">
        <v>210</v>
      </c>
      <c r="F61" s="26" t="s">
        <v>214</v>
      </c>
      <c r="G61" s="26" t="s">
        <v>214</v>
      </c>
      <c r="H61" s="1" t="s">
        <v>148</v>
      </c>
    </row>
    <row r="62" spans="1:8" x14ac:dyDescent="0.25">
      <c r="A62" s="26">
        <f t="shared" si="0"/>
        <v>61</v>
      </c>
      <c r="B62" s="26" t="s">
        <v>184</v>
      </c>
      <c r="C62" s="26" t="s">
        <v>197</v>
      </c>
      <c r="D62" s="26" t="s">
        <v>96</v>
      </c>
      <c r="E62" s="26" t="s">
        <v>210</v>
      </c>
      <c r="F62" s="26" t="s">
        <v>214</v>
      </c>
      <c r="G62" s="26" t="s">
        <v>221</v>
      </c>
      <c r="H62" s="1" t="s">
        <v>221</v>
      </c>
    </row>
    <row r="63" spans="1:8" x14ac:dyDescent="0.25">
      <c r="A63" s="26">
        <f t="shared" si="0"/>
        <v>62</v>
      </c>
      <c r="B63" s="26" t="s">
        <v>124</v>
      </c>
      <c r="C63" s="26" t="s">
        <v>107</v>
      </c>
      <c r="D63" s="26" t="s">
        <v>96</v>
      </c>
      <c r="E63" s="26" t="s">
        <v>210</v>
      </c>
      <c r="F63" s="26" t="s">
        <v>206</v>
      </c>
      <c r="G63" s="26" t="s">
        <v>206</v>
      </c>
      <c r="H63" s="1" t="s">
        <v>107</v>
      </c>
    </row>
    <row r="64" spans="1:8" x14ac:dyDescent="0.25">
      <c r="A64" s="26">
        <f t="shared" si="0"/>
        <v>63</v>
      </c>
      <c r="B64" s="26" t="s">
        <v>284</v>
      </c>
      <c r="C64" s="26" t="s">
        <v>285</v>
      </c>
      <c r="D64" s="26" t="s">
        <v>96</v>
      </c>
      <c r="E64" s="26" t="s">
        <v>210</v>
      </c>
      <c r="F64" s="26" t="s">
        <v>214</v>
      </c>
      <c r="G64" s="26" t="s">
        <v>214</v>
      </c>
      <c r="H64" s="1" t="s">
        <v>214</v>
      </c>
    </row>
    <row r="65" spans="1:8" x14ac:dyDescent="0.25">
      <c r="A65" s="26">
        <f t="shared" si="0"/>
        <v>64</v>
      </c>
      <c r="B65" s="26" t="s">
        <v>143</v>
      </c>
      <c r="C65" s="26" t="s">
        <v>147</v>
      </c>
      <c r="D65" s="26" t="s">
        <v>93</v>
      </c>
      <c r="E65" s="26" t="s">
        <v>210</v>
      </c>
      <c r="F65" s="26" t="s">
        <v>214</v>
      </c>
      <c r="G65" s="26" t="s">
        <v>214</v>
      </c>
      <c r="H65" s="1" t="s">
        <v>214</v>
      </c>
    </row>
    <row r="66" spans="1:8" x14ac:dyDescent="0.25">
      <c r="A66" s="26">
        <f t="shared" si="0"/>
        <v>65</v>
      </c>
      <c r="B66" s="26" t="s">
        <v>286</v>
      </c>
      <c r="C66" s="26" t="s">
        <v>287</v>
      </c>
      <c r="D66" s="26" t="s">
        <v>95</v>
      </c>
      <c r="E66" s="26" t="s">
        <v>210</v>
      </c>
      <c r="F66" s="26" t="s">
        <v>214</v>
      </c>
      <c r="G66" s="26" t="s">
        <v>214</v>
      </c>
      <c r="H66" s="1" t="s">
        <v>214</v>
      </c>
    </row>
    <row r="67" spans="1:8" x14ac:dyDescent="0.25">
      <c r="A67" s="26">
        <f t="shared" ref="A67:A130" si="1">A66+1</f>
        <v>66</v>
      </c>
      <c r="B67" s="26" t="s">
        <v>161</v>
      </c>
      <c r="C67" s="26" t="s">
        <v>167</v>
      </c>
      <c r="D67" s="26" t="s">
        <v>95</v>
      </c>
      <c r="E67" s="26" t="s">
        <v>210</v>
      </c>
      <c r="F67" s="26" t="s">
        <v>214</v>
      </c>
      <c r="G67" s="26" t="s">
        <v>214</v>
      </c>
      <c r="H67" s="1" t="s">
        <v>214</v>
      </c>
    </row>
    <row r="68" spans="1:8" x14ac:dyDescent="0.25">
      <c r="A68" s="26">
        <f t="shared" si="1"/>
        <v>67</v>
      </c>
      <c r="B68" s="26" t="s">
        <v>186</v>
      </c>
      <c r="C68" s="26" t="s">
        <v>199</v>
      </c>
      <c r="D68" s="26" t="s">
        <v>95</v>
      </c>
      <c r="E68" s="26" t="s">
        <v>210</v>
      </c>
      <c r="F68" s="26" t="s">
        <v>214</v>
      </c>
      <c r="G68" s="26" t="s">
        <v>214</v>
      </c>
      <c r="H68" s="1" t="s">
        <v>214</v>
      </c>
    </row>
    <row r="69" spans="1:8" x14ac:dyDescent="0.25">
      <c r="A69" s="26">
        <f t="shared" si="1"/>
        <v>68</v>
      </c>
      <c r="B69" s="26" t="s">
        <v>288</v>
      </c>
      <c r="C69" s="26" t="s">
        <v>289</v>
      </c>
      <c r="D69" s="26" t="s">
        <v>96</v>
      </c>
      <c r="E69" s="26" t="s">
        <v>210</v>
      </c>
      <c r="F69" s="26" t="s">
        <v>214</v>
      </c>
      <c r="G69" s="26" t="s">
        <v>214</v>
      </c>
      <c r="H69" s="1" t="s">
        <v>214</v>
      </c>
    </row>
    <row r="70" spans="1:8" x14ac:dyDescent="0.25">
      <c r="A70" s="26">
        <f t="shared" si="1"/>
        <v>69</v>
      </c>
      <c r="B70" s="26" t="s">
        <v>290</v>
      </c>
      <c r="C70" s="26" t="s">
        <v>290</v>
      </c>
      <c r="D70" s="26" t="s">
        <v>93</v>
      </c>
      <c r="E70" s="26"/>
      <c r="F70" s="26" t="s">
        <v>206</v>
      </c>
      <c r="G70" s="26" t="s">
        <v>206</v>
      </c>
      <c r="H70" s="1">
        <v>0</v>
      </c>
    </row>
    <row r="71" spans="1:8" x14ac:dyDescent="0.25">
      <c r="A71" s="26">
        <f t="shared" si="1"/>
        <v>70</v>
      </c>
      <c r="B71" s="26" t="s">
        <v>291</v>
      </c>
      <c r="C71" s="26" t="s">
        <v>291</v>
      </c>
      <c r="D71" s="26" t="s">
        <v>93</v>
      </c>
      <c r="E71" s="26"/>
      <c r="F71" s="26"/>
      <c r="G71" s="26"/>
      <c r="H71" s="1">
        <v>0</v>
      </c>
    </row>
    <row r="72" spans="1:8" x14ac:dyDescent="0.25">
      <c r="A72" s="26">
        <f t="shared" si="1"/>
        <v>71</v>
      </c>
      <c r="B72" s="26" t="s">
        <v>152</v>
      </c>
      <c r="C72" s="26" t="s">
        <v>157</v>
      </c>
      <c r="D72" s="26" t="s">
        <v>95</v>
      </c>
      <c r="E72" s="26" t="s">
        <v>210</v>
      </c>
      <c r="F72" s="26" t="s">
        <v>214</v>
      </c>
      <c r="G72" s="26" t="s">
        <v>214</v>
      </c>
      <c r="H72" s="1" t="s">
        <v>214</v>
      </c>
    </row>
    <row r="73" spans="1:8" x14ac:dyDescent="0.25">
      <c r="A73" s="26">
        <f t="shared" si="1"/>
        <v>72</v>
      </c>
      <c r="B73" s="26" t="s">
        <v>292</v>
      </c>
      <c r="C73" s="26" t="s">
        <v>293</v>
      </c>
      <c r="D73" s="26" t="s">
        <v>95</v>
      </c>
      <c r="E73" s="26" t="s">
        <v>210</v>
      </c>
      <c r="F73" s="26" t="s">
        <v>214</v>
      </c>
      <c r="G73" s="26" t="s">
        <v>214</v>
      </c>
      <c r="H73" s="1" t="s">
        <v>214</v>
      </c>
    </row>
    <row r="74" spans="1:8" x14ac:dyDescent="0.25">
      <c r="A74" s="26">
        <f t="shared" si="1"/>
        <v>73</v>
      </c>
      <c r="B74" s="26" t="s">
        <v>294</v>
      </c>
      <c r="C74" s="26" t="s">
        <v>295</v>
      </c>
      <c r="D74" s="26" t="s">
        <v>95</v>
      </c>
      <c r="E74" s="26" t="s">
        <v>210</v>
      </c>
      <c r="F74" s="26" t="s">
        <v>214</v>
      </c>
      <c r="G74" s="26" t="s">
        <v>214</v>
      </c>
      <c r="H74" s="1" t="s">
        <v>214</v>
      </c>
    </row>
    <row r="75" spans="1:8" x14ac:dyDescent="0.25">
      <c r="A75" s="26">
        <f t="shared" si="1"/>
        <v>74</v>
      </c>
      <c r="B75" s="26" t="s">
        <v>296</v>
      </c>
      <c r="C75" s="26" t="s">
        <v>297</v>
      </c>
      <c r="D75" s="26" t="s">
        <v>93</v>
      </c>
      <c r="E75" s="26" t="s">
        <v>210</v>
      </c>
      <c r="F75" s="26" t="s">
        <v>214</v>
      </c>
      <c r="G75" s="26" t="s">
        <v>214</v>
      </c>
      <c r="H75" s="1" t="s">
        <v>214</v>
      </c>
    </row>
    <row r="76" spans="1:8" x14ac:dyDescent="0.25">
      <c r="A76" s="26">
        <f t="shared" si="1"/>
        <v>75</v>
      </c>
      <c r="B76" s="26" t="s">
        <v>151</v>
      </c>
      <c r="C76" s="26" t="s">
        <v>140</v>
      </c>
      <c r="D76" s="26" t="s">
        <v>93</v>
      </c>
      <c r="E76" s="26" t="s">
        <v>210</v>
      </c>
      <c r="F76" s="26" t="s">
        <v>214</v>
      </c>
      <c r="G76" s="26" t="s">
        <v>214</v>
      </c>
      <c r="H76" s="1" t="s">
        <v>214</v>
      </c>
    </row>
    <row r="77" spans="1:8" x14ac:dyDescent="0.25">
      <c r="A77" s="26">
        <f t="shared" si="1"/>
        <v>76</v>
      </c>
      <c r="B77" s="26" t="s">
        <v>298</v>
      </c>
      <c r="C77" s="26" t="s">
        <v>299</v>
      </c>
      <c r="D77" s="26" t="s">
        <v>95</v>
      </c>
      <c r="E77" s="26" t="s">
        <v>210</v>
      </c>
      <c r="F77" s="26" t="s">
        <v>214</v>
      </c>
      <c r="G77" s="26" t="s">
        <v>214</v>
      </c>
      <c r="H77" s="1" t="s">
        <v>214</v>
      </c>
    </row>
    <row r="78" spans="1:8" x14ac:dyDescent="0.25">
      <c r="A78" s="26">
        <f t="shared" si="1"/>
        <v>77</v>
      </c>
      <c r="B78" s="26" t="s">
        <v>300</v>
      </c>
      <c r="C78" s="26" t="s">
        <v>301</v>
      </c>
      <c r="D78" s="26" t="s">
        <v>95</v>
      </c>
      <c r="E78" s="26" t="s">
        <v>210</v>
      </c>
      <c r="F78" s="26" t="s">
        <v>214</v>
      </c>
      <c r="G78" s="26" t="s">
        <v>214</v>
      </c>
      <c r="H78" s="1" t="s">
        <v>214</v>
      </c>
    </row>
    <row r="79" spans="1:8" x14ac:dyDescent="0.25">
      <c r="A79" s="26">
        <f t="shared" si="1"/>
        <v>78</v>
      </c>
      <c r="B79" s="26" t="s">
        <v>302</v>
      </c>
      <c r="C79" s="26" t="s">
        <v>303</v>
      </c>
      <c r="D79" s="26" t="s">
        <v>95</v>
      </c>
      <c r="E79" s="26" t="s">
        <v>210</v>
      </c>
      <c r="F79" s="26" t="s">
        <v>214</v>
      </c>
      <c r="G79" s="26" t="s">
        <v>214</v>
      </c>
      <c r="H79" s="1" t="s">
        <v>214</v>
      </c>
    </row>
    <row r="80" spans="1:8" x14ac:dyDescent="0.25">
      <c r="A80" s="26">
        <f t="shared" si="1"/>
        <v>79</v>
      </c>
      <c r="B80" s="26" t="s">
        <v>176</v>
      </c>
      <c r="C80" s="26" t="s">
        <v>191</v>
      </c>
      <c r="D80" s="26" t="s">
        <v>95</v>
      </c>
      <c r="E80" s="26" t="s">
        <v>210</v>
      </c>
      <c r="F80" s="26" t="s">
        <v>214</v>
      </c>
      <c r="G80" s="26" t="s">
        <v>214</v>
      </c>
      <c r="H80" s="1" t="s">
        <v>214</v>
      </c>
    </row>
    <row r="81" spans="1:8" x14ac:dyDescent="0.25">
      <c r="A81" s="26">
        <f t="shared" si="1"/>
        <v>80</v>
      </c>
      <c r="B81" s="26" t="s">
        <v>304</v>
      </c>
      <c r="C81" s="26" t="s">
        <v>305</v>
      </c>
      <c r="D81" s="26" t="s">
        <v>96</v>
      </c>
      <c r="E81" s="26" t="s">
        <v>210</v>
      </c>
      <c r="F81" s="26" t="s">
        <v>214</v>
      </c>
      <c r="G81" s="26" t="s">
        <v>214</v>
      </c>
      <c r="H81" s="1" t="s">
        <v>214</v>
      </c>
    </row>
    <row r="82" spans="1:8" x14ac:dyDescent="0.25">
      <c r="A82" s="26">
        <f t="shared" si="1"/>
        <v>81</v>
      </c>
      <c r="B82" s="26" t="s">
        <v>306</v>
      </c>
      <c r="C82" s="26" t="s">
        <v>307</v>
      </c>
      <c r="D82" s="26" t="s">
        <v>226</v>
      </c>
      <c r="E82" s="26" t="s">
        <v>210</v>
      </c>
      <c r="F82" s="26" t="s">
        <v>214</v>
      </c>
      <c r="G82" s="26" t="s">
        <v>214</v>
      </c>
      <c r="H82" s="1" t="s">
        <v>214</v>
      </c>
    </row>
    <row r="83" spans="1:8" x14ac:dyDescent="0.25">
      <c r="A83" s="26">
        <f t="shared" si="1"/>
        <v>82</v>
      </c>
      <c r="B83" s="26" t="s">
        <v>308</v>
      </c>
      <c r="C83" s="26" t="s">
        <v>309</v>
      </c>
      <c r="D83" s="26" t="s">
        <v>96</v>
      </c>
      <c r="E83" s="26" t="s">
        <v>210</v>
      </c>
      <c r="F83" s="26" t="s">
        <v>214</v>
      </c>
      <c r="G83" s="26" t="s">
        <v>214</v>
      </c>
      <c r="H83" s="1" t="s">
        <v>214</v>
      </c>
    </row>
    <row r="84" spans="1:8" x14ac:dyDescent="0.25">
      <c r="A84" s="26">
        <f t="shared" si="1"/>
        <v>83</v>
      </c>
      <c r="B84" s="26" t="s">
        <v>310</v>
      </c>
      <c r="C84" s="26" t="s">
        <v>311</v>
      </c>
      <c r="D84" s="26" t="s">
        <v>226</v>
      </c>
      <c r="E84" s="26" t="s">
        <v>210</v>
      </c>
      <c r="F84" s="26" t="s">
        <v>214</v>
      </c>
      <c r="G84" s="26" t="s">
        <v>214</v>
      </c>
      <c r="H84" s="1" t="s">
        <v>214</v>
      </c>
    </row>
    <row r="85" spans="1:8" x14ac:dyDescent="0.25">
      <c r="A85" s="26">
        <f t="shared" si="1"/>
        <v>84</v>
      </c>
      <c r="B85" s="26" t="s">
        <v>312</v>
      </c>
      <c r="C85" s="26" t="s">
        <v>313</v>
      </c>
      <c r="D85" s="26" t="s">
        <v>93</v>
      </c>
      <c r="E85" s="26" t="s">
        <v>210</v>
      </c>
      <c r="F85" s="26" t="s">
        <v>214</v>
      </c>
      <c r="G85" s="26" t="s">
        <v>214</v>
      </c>
      <c r="H85" s="1" t="s">
        <v>214</v>
      </c>
    </row>
    <row r="86" spans="1:8" x14ac:dyDescent="0.25">
      <c r="A86" s="26">
        <f t="shared" si="1"/>
        <v>85</v>
      </c>
      <c r="B86" s="26" t="s">
        <v>314</v>
      </c>
      <c r="C86" s="26" t="s">
        <v>315</v>
      </c>
      <c r="D86" s="26" t="s">
        <v>95</v>
      </c>
      <c r="E86" s="26" t="s">
        <v>210</v>
      </c>
      <c r="F86" s="26" t="s">
        <v>214</v>
      </c>
      <c r="G86" s="26" t="s">
        <v>214</v>
      </c>
      <c r="H86" s="1" t="s">
        <v>214</v>
      </c>
    </row>
    <row r="87" spans="1:8" x14ac:dyDescent="0.25">
      <c r="A87" s="26">
        <f t="shared" si="1"/>
        <v>86</v>
      </c>
      <c r="B87" s="26" t="s">
        <v>316</v>
      </c>
      <c r="C87" s="26" t="s">
        <v>317</v>
      </c>
      <c r="D87" s="26" t="s">
        <v>95</v>
      </c>
      <c r="E87" s="26" t="s">
        <v>210</v>
      </c>
      <c r="F87" s="26" t="s">
        <v>206</v>
      </c>
      <c r="G87" s="26" t="s">
        <v>206</v>
      </c>
      <c r="H87" s="1" t="s">
        <v>214</v>
      </c>
    </row>
    <row r="88" spans="1:8" x14ac:dyDescent="0.25">
      <c r="A88" s="26">
        <f t="shared" si="1"/>
        <v>87</v>
      </c>
      <c r="B88" s="26" t="s">
        <v>318</v>
      </c>
      <c r="C88" s="26" t="s">
        <v>319</v>
      </c>
      <c r="D88" s="26" t="s">
        <v>95</v>
      </c>
      <c r="E88" s="26" t="s">
        <v>210</v>
      </c>
      <c r="F88" s="26" t="s">
        <v>214</v>
      </c>
      <c r="G88" s="26" t="s">
        <v>214</v>
      </c>
      <c r="H88" s="1" t="s">
        <v>214</v>
      </c>
    </row>
    <row r="89" spans="1:8" x14ac:dyDescent="0.25">
      <c r="A89" s="26">
        <f t="shared" si="1"/>
        <v>88</v>
      </c>
      <c r="B89" s="26" t="s">
        <v>320</v>
      </c>
      <c r="C89" s="26" t="s">
        <v>321</v>
      </c>
      <c r="D89" s="26" t="s">
        <v>95</v>
      </c>
      <c r="E89" s="26" t="s">
        <v>210</v>
      </c>
      <c r="F89" s="26" t="s">
        <v>214</v>
      </c>
      <c r="G89" s="26" t="s">
        <v>214</v>
      </c>
      <c r="H89" s="1" t="s">
        <v>214</v>
      </c>
    </row>
    <row r="90" spans="1:8" x14ac:dyDescent="0.25">
      <c r="A90" s="26">
        <f t="shared" si="1"/>
        <v>89</v>
      </c>
      <c r="B90" s="26" t="s">
        <v>183</v>
      </c>
      <c r="C90" s="26" t="s">
        <v>196</v>
      </c>
      <c r="D90" s="26" t="s">
        <v>95</v>
      </c>
      <c r="E90" s="26" t="s">
        <v>210</v>
      </c>
      <c r="F90" s="26" t="s">
        <v>214</v>
      </c>
      <c r="G90" s="26" t="s">
        <v>214</v>
      </c>
      <c r="H90" s="1" t="s">
        <v>214</v>
      </c>
    </row>
    <row r="91" spans="1:8" x14ac:dyDescent="0.25">
      <c r="A91" s="26">
        <f t="shared" si="1"/>
        <v>90</v>
      </c>
      <c r="B91" s="26" t="s">
        <v>322</v>
      </c>
      <c r="C91" s="26" t="s">
        <v>323</v>
      </c>
      <c r="D91" s="26" t="s">
        <v>95</v>
      </c>
      <c r="E91" s="26" t="s">
        <v>210</v>
      </c>
      <c r="F91" s="26" t="s">
        <v>214</v>
      </c>
      <c r="G91" s="26" t="s">
        <v>214</v>
      </c>
      <c r="H91" s="1" t="s">
        <v>214</v>
      </c>
    </row>
    <row r="92" spans="1:8" x14ac:dyDescent="0.25">
      <c r="A92" s="26">
        <f t="shared" si="1"/>
        <v>91</v>
      </c>
      <c r="B92" s="26" t="s">
        <v>324</v>
      </c>
      <c r="C92" s="26" t="s">
        <v>135</v>
      </c>
      <c r="D92" s="26" t="s">
        <v>96</v>
      </c>
      <c r="E92" s="26" t="s">
        <v>210</v>
      </c>
      <c r="F92" s="26" t="s">
        <v>214</v>
      </c>
      <c r="G92" s="26" t="s">
        <v>214</v>
      </c>
      <c r="H92" s="1" t="s">
        <v>214</v>
      </c>
    </row>
    <row r="93" spans="1:8" x14ac:dyDescent="0.25">
      <c r="A93" s="26">
        <f t="shared" si="1"/>
        <v>92</v>
      </c>
      <c r="B93" s="26" t="s">
        <v>325</v>
      </c>
      <c r="C93" s="26" t="s">
        <v>326</v>
      </c>
      <c r="D93" s="26" t="s">
        <v>95</v>
      </c>
      <c r="E93" s="26" t="s">
        <v>210</v>
      </c>
      <c r="F93" s="26" t="s">
        <v>214</v>
      </c>
      <c r="G93" s="26" t="s">
        <v>214</v>
      </c>
      <c r="H93" s="1" t="s">
        <v>214</v>
      </c>
    </row>
    <row r="94" spans="1:8" x14ac:dyDescent="0.25">
      <c r="A94" s="26">
        <f t="shared" si="1"/>
        <v>93</v>
      </c>
      <c r="B94" s="26" t="s">
        <v>173</v>
      </c>
      <c r="C94" s="26" t="s">
        <v>188</v>
      </c>
      <c r="D94" s="26" t="s">
        <v>95</v>
      </c>
      <c r="E94" s="26" t="s">
        <v>210</v>
      </c>
      <c r="F94" s="26" t="s">
        <v>214</v>
      </c>
      <c r="G94" s="26" t="s">
        <v>214</v>
      </c>
      <c r="H94" s="1" t="s">
        <v>214</v>
      </c>
    </row>
    <row r="95" spans="1:8" x14ac:dyDescent="0.25">
      <c r="A95" s="26">
        <f t="shared" si="1"/>
        <v>94</v>
      </c>
      <c r="B95" s="26" t="s">
        <v>327</v>
      </c>
      <c r="C95" s="26" t="s">
        <v>328</v>
      </c>
      <c r="D95" s="26" t="s">
        <v>95</v>
      </c>
      <c r="E95" s="26" t="s">
        <v>210</v>
      </c>
      <c r="F95" s="26" t="s">
        <v>214</v>
      </c>
      <c r="G95" s="26" t="s">
        <v>214</v>
      </c>
      <c r="H95" s="1" t="s">
        <v>214</v>
      </c>
    </row>
    <row r="96" spans="1:8" x14ac:dyDescent="0.25">
      <c r="A96" s="26">
        <f t="shared" si="1"/>
        <v>95</v>
      </c>
      <c r="B96" s="26" t="s">
        <v>116</v>
      </c>
      <c r="C96" s="26" t="s">
        <v>119</v>
      </c>
      <c r="D96" s="26" t="s">
        <v>95</v>
      </c>
      <c r="E96" s="26" t="s">
        <v>210</v>
      </c>
      <c r="F96" s="26" t="s">
        <v>206</v>
      </c>
      <c r="G96" s="26" t="s">
        <v>206</v>
      </c>
      <c r="H96" s="1" t="s">
        <v>214</v>
      </c>
    </row>
    <row r="97" spans="1:8" x14ac:dyDescent="0.25">
      <c r="A97" s="26">
        <f t="shared" si="1"/>
        <v>96</v>
      </c>
      <c r="B97" s="26" t="s">
        <v>329</v>
      </c>
      <c r="C97" s="26" t="s">
        <v>330</v>
      </c>
      <c r="D97" s="26" t="s">
        <v>96</v>
      </c>
      <c r="E97" s="26" t="s">
        <v>210</v>
      </c>
      <c r="F97" s="26" t="s">
        <v>214</v>
      </c>
      <c r="G97" s="26" t="s">
        <v>214</v>
      </c>
      <c r="H97" s="1" t="s">
        <v>214</v>
      </c>
    </row>
    <row r="98" spans="1:8" x14ac:dyDescent="0.25">
      <c r="A98" s="26">
        <f t="shared" si="1"/>
        <v>97</v>
      </c>
      <c r="B98" s="26" t="s">
        <v>331</v>
      </c>
      <c r="C98" s="26" t="s">
        <v>332</v>
      </c>
      <c r="D98" s="26" t="s">
        <v>96</v>
      </c>
      <c r="E98" s="26" t="s">
        <v>210</v>
      </c>
      <c r="F98" s="26" t="s">
        <v>214</v>
      </c>
      <c r="G98" s="26" t="s">
        <v>214</v>
      </c>
      <c r="H98" s="1" t="s">
        <v>214</v>
      </c>
    </row>
    <row r="99" spans="1:8" x14ac:dyDescent="0.25">
      <c r="A99" s="26">
        <f t="shared" si="1"/>
        <v>98</v>
      </c>
      <c r="B99" s="26" t="s">
        <v>333</v>
      </c>
      <c r="C99" s="26" t="s">
        <v>334</v>
      </c>
      <c r="D99" s="26" t="s">
        <v>93</v>
      </c>
      <c r="E99" s="26" t="s">
        <v>210</v>
      </c>
      <c r="F99" s="26" t="s">
        <v>335</v>
      </c>
      <c r="G99" s="26" t="s">
        <v>335</v>
      </c>
      <c r="H99" s="1" t="s">
        <v>214</v>
      </c>
    </row>
    <row r="100" spans="1:8" x14ac:dyDescent="0.25">
      <c r="A100" s="26">
        <f t="shared" si="1"/>
        <v>99</v>
      </c>
      <c r="B100" s="26" t="s">
        <v>336</v>
      </c>
      <c r="C100" s="26" t="s">
        <v>337</v>
      </c>
      <c r="D100" s="26" t="s">
        <v>96</v>
      </c>
      <c r="E100" s="26" t="s">
        <v>210</v>
      </c>
      <c r="F100" s="26" t="s">
        <v>335</v>
      </c>
      <c r="G100" s="26" t="s">
        <v>335</v>
      </c>
      <c r="H100" s="1" t="s">
        <v>214</v>
      </c>
    </row>
    <row r="101" spans="1:8" x14ac:dyDescent="0.25">
      <c r="A101" s="26">
        <f t="shared" si="1"/>
        <v>100</v>
      </c>
      <c r="B101" s="26" t="s">
        <v>338</v>
      </c>
      <c r="C101" s="26" t="s">
        <v>339</v>
      </c>
      <c r="D101" s="26" t="s">
        <v>93</v>
      </c>
      <c r="E101" s="26" t="s">
        <v>210</v>
      </c>
      <c r="F101" s="26" t="s">
        <v>335</v>
      </c>
      <c r="G101" s="26" t="s">
        <v>335</v>
      </c>
      <c r="H101" s="1" t="s">
        <v>214</v>
      </c>
    </row>
    <row r="102" spans="1:8" x14ac:dyDescent="0.25">
      <c r="A102" s="26">
        <f t="shared" si="1"/>
        <v>101</v>
      </c>
      <c r="B102" s="26" t="s">
        <v>340</v>
      </c>
      <c r="C102" s="26" t="s">
        <v>341</v>
      </c>
      <c r="D102" s="26" t="s">
        <v>96</v>
      </c>
      <c r="E102" s="26" t="s">
        <v>210</v>
      </c>
      <c r="F102" s="26" t="s">
        <v>335</v>
      </c>
      <c r="G102" s="26" t="s">
        <v>335</v>
      </c>
      <c r="H102" s="1" t="s">
        <v>214</v>
      </c>
    </row>
    <row r="103" spans="1:8" x14ac:dyDescent="0.25">
      <c r="A103" s="26">
        <f t="shared" si="1"/>
        <v>102</v>
      </c>
      <c r="B103" s="26" t="s">
        <v>342</v>
      </c>
      <c r="C103" s="26" t="s">
        <v>343</v>
      </c>
      <c r="D103" s="26" t="s">
        <v>226</v>
      </c>
      <c r="E103" s="26" t="s">
        <v>210</v>
      </c>
      <c r="F103" s="26" t="s">
        <v>335</v>
      </c>
      <c r="G103" s="26" t="s">
        <v>335</v>
      </c>
      <c r="H103" s="1" t="s">
        <v>214</v>
      </c>
    </row>
    <row r="104" spans="1:8" x14ac:dyDescent="0.25">
      <c r="A104" s="26">
        <f t="shared" si="1"/>
        <v>103</v>
      </c>
      <c r="B104" s="26" t="s">
        <v>344</v>
      </c>
      <c r="C104" s="26" t="s">
        <v>345</v>
      </c>
      <c r="D104" s="26" t="s">
        <v>93</v>
      </c>
      <c r="E104" s="26" t="s">
        <v>210</v>
      </c>
      <c r="F104" s="26" t="s">
        <v>335</v>
      </c>
      <c r="G104" s="26" t="s">
        <v>335</v>
      </c>
      <c r="H104" s="1" t="s">
        <v>214</v>
      </c>
    </row>
    <row r="105" spans="1:8" x14ac:dyDescent="0.25">
      <c r="A105" s="26">
        <f t="shared" si="1"/>
        <v>104</v>
      </c>
      <c r="B105" s="26" t="s">
        <v>346</v>
      </c>
      <c r="C105" s="26" t="s">
        <v>347</v>
      </c>
      <c r="D105" s="26" t="s">
        <v>226</v>
      </c>
      <c r="E105" s="26" t="s">
        <v>210</v>
      </c>
      <c r="F105" s="26" t="s">
        <v>335</v>
      </c>
      <c r="G105" s="26" t="s">
        <v>335</v>
      </c>
      <c r="H105" s="1" t="s">
        <v>214</v>
      </c>
    </row>
    <row r="106" spans="1:8" x14ac:dyDescent="0.25">
      <c r="A106" s="26">
        <f t="shared" si="1"/>
        <v>105</v>
      </c>
      <c r="B106" s="26" t="s">
        <v>348</v>
      </c>
      <c r="C106" s="26" t="s">
        <v>349</v>
      </c>
      <c r="D106" s="26" t="s">
        <v>93</v>
      </c>
      <c r="E106" s="26" t="s">
        <v>210</v>
      </c>
      <c r="F106" s="26" t="s">
        <v>335</v>
      </c>
      <c r="G106" s="26" t="s">
        <v>335</v>
      </c>
      <c r="H106" s="1" t="s">
        <v>214</v>
      </c>
    </row>
    <row r="107" spans="1:8" x14ac:dyDescent="0.25">
      <c r="A107" s="26">
        <f t="shared" si="1"/>
        <v>106</v>
      </c>
      <c r="B107" s="26" t="s">
        <v>350</v>
      </c>
      <c r="C107" s="26" t="s">
        <v>351</v>
      </c>
      <c r="D107" s="26" t="s">
        <v>93</v>
      </c>
      <c r="E107" s="26" t="s">
        <v>210</v>
      </c>
      <c r="F107" s="26" t="s">
        <v>335</v>
      </c>
      <c r="G107" s="26" t="s">
        <v>335</v>
      </c>
      <c r="H107" s="1" t="s">
        <v>214</v>
      </c>
    </row>
    <row r="108" spans="1:8" x14ac:dyDescent="0.25">
      <c r="A108" s="26">
        <f t="shared" si="1"/>
        <v>107</v>
      </c>
      <c r="B108" s="26" t="s">
        <v>352</v>
      </c>
      <c r="C108" s="26" t="s">
        <v>353</v>
      </c>
      <c r="D108" s="26" t="s">
        <v>96</v>
      </c>
      <c r="E108" s="26" t="s">
        <v>210</v>
      </c>
      <c r="F108" s="26" t="s">
        <v>335</v>
      </c>
      <c r="G108" s="26" t="s">
        <v>335</v>
      </c>
      <c r="H108" s="1" t="s">
        <v>214</v>
      </c>
    </row>
    <row r="109" spans="1:8" x14ac:dyDescent="0.25">
      <c r="A109" s="26">
        <f t="shared" si="1"/>
        <v>108</v>
      </c>
      <c r="B109" s="26" t="s">
        <v>354</v>
      </c>
      <c r="C109" s="26" t="s">
        <v>355</v>
      </c>
      <c r="D109" s="26" t="s">
        <v>93</v>
      </c>
      <c r="E109" s="26" t="s">
        <v>210</v>
      </c>
      <c r="F109" s="26" t="s">
        <v>335</v>
      </c>
      <c r="G109" s="26" t="s">
        <v>335</v>
      </c>
      <c r="H109" s="1" t="s">
        <v>214</v>
      </c>
    </row>
    <row r="110" spans="1:8" x14ac:dyDescent="0.25">
      <c r="A110" s="26">
        <f t="shared" si="1"/>
        <v>109</v>
      </c>
      <c r="B110" s="26" t="s">
        <v>356</v>
      </c>
      <c r="C110" s="26" t="s">
        <v>357</v>
      </c>
      <c r="D110" s="26" t="s">
        <v>93</v>
      </c>
      <c r="E110" s="26" t="s">
        <v>210</v>
      </c>
      <c r="F110" s="26" t="s">
        <v>335</v>
      </c>
      <c r="G110" s="26" t="s">
        <v>335</v>
      </c>
      <c r="H110" s="1" t="s">
        <v>214</v>
      </c>
    </row>
    <row r="111" spans="1:8" x14ac:dyDescent="0.25">
      <c r="A111" s="26">
        <f t="shared" si="1"/>
        <v>110</v>
      </c>
      <c r="B111" s="26" t="s">
        <v>358</v>
      </c>
      <c r="C111" s="26" t="s">
        <v>359</v>
      </c>
      <c r="D111" s="26" t="s">
        <v>226</v>
      </c>
      <c r="E111" s="26" t="s">
        <v>210</v>
      </c>
      <c r="F111" s="26" t="s">
        <v>335</v>
      </c>
      <c r="G111" s="26" t="s">
        <v>335</v>
      </c>
      <c r="H111" s="1" t="s">
        <v>214</v>
      </c>
    </row>
    <row r="112" spans="1:8" x14ac:dyDescent="0.25">
      <c r="A112" s="26">
        <f t="shared" si="1"/>
        <v>111</v>
      </c>
      <c r="B112" s="26" t="s">
        <v>360</v>
      </c>
      <c r="C112" s="26" t="s">
        <v>361</v>
      </c>
      <c r="D112" s="26" t="s">
        <v>93</v>
      </c>
      <c r="E112" s="26" t="s">
        <v>210</v>
      </c>
      <c r="F112" s="26" t="s">
        <v>335</v>
      </c>
      <c r="G112" s="26" t="s">
        <v>335</v>
      </c>
      <c r="H112" s="1" t="s">
        <v>214</v>
      </c>
    </row>
    <row r="113" spans="1:8" x14ac:dyDescent="0.25">
      <c r="A113" s="26">
        <f t="shared" si="1"/>
        <v>112</v>
      </c>
      <c r="B113" s="26" t="s">
        <v>362</v>
      </c>
      <c r="C113" s="26" t="s">
        <v>363</v>
      </c>
      <c r="D113" s="26" t="s">
        <v>96</v>
      </c>
      <c r="E113" s="26" t="s">
        <v>210</v>
      </c>
      <c r="F113" s="26" t="s">
        <v>335</v>
      </c>
      <c r="G113" s="26" t="s">
        <v>335</v>
      </c>
      <c r="H113" s="1" t="s">
        <v>214</v>
      </c>
    </row>
    <row r="114" spans="1:8" x14ac:dyDescent="0.25">
      <c r="A114" s="26">
        <f t="shared" si="1"/>
        <v>113</v>
      </c>
      <c r="B114" s="26" t="s">
        <v>364</v>
      </c>
      <c r="C114" s="26" t="s">
        <v>365</v>
      </c>
      <c r="D114" s="26" t="s">
        <v>93</v>
      </c>
      <c r="E114" s="26" t="s">
        <v>210</v>
      </c>
      <c r="F114" s="26" t="s">
        <v>335</v>
      </c>
      <c r="G114" s="26" t="s">
        <v>335</v>
      </c>
      <c r="H114" s="1" t="s">
        <v>214</v>
      </c>
    </row>
    <row r="115" spans="1:8" x14ac:dyDescent="0.25">
      <c r="A115" s="26">
        <f t="shared" si="1"/>
        <v>114</v>
      </c>
      <c r="B115" s="26" t="s">
        <v>366</v>
      </c>
      <c r="C115" s="26" t="s">
        <v>305</v>
      </c>
      <c r="D115" s="26" t="s">
        <v>96</v>
      </c>
      <c r="E115" s="26" t="s">
        <v>210</v>
      </c>
      <c r="F115" s="26" t="s">
        <v>335</v>
      </c>
      <c r="G115" s="26" t="s">
        <v>335</v>
      </c>
      <c r="H115" s="1" t="s">
        <v>214</v>
      </c>
    </row>
    <row r="116" spans="1:8" x14ac:dyDescent="0.25">
      <c r="A116" s="26">
        <f t="shared" si="1"/>
        <v>115</v>
      </c>
      <c r="B116" s="26" t="s">
        <v>367</v>
      </c>
      <c r="C116" s="26" t="s">
        <v>307</v>
      </c>
      <c r="D116" s="26" t="s">
        <v>226</v>
      </c>
      <c r="E116" s="26" t="s">
        <v>210</v>
      </c>
      <c r="F116" s="26" t="s">
        <v>335</v>
      </c>
      <c r="G116" s="26" t="s">
        <v>335</v>
      </c>
      <c r="H116" s="1" t="s">
        <v>214</v>
      </c>
    </row>
    <row r="117" spans="1:8" x14ac:dyDescent="0.25">
      <c r="A117" s="26">
        <f t="shared" si="1"/>
        <v>116</v>
      </c>
      <c r="B117" s="26" t="s">
        <v>368</v>
      </c>
      <c r="C117" s="26" t="s">
        <v>311</v>
      </c>
      <c r="D117" s="26" t="s">
        <v>226</v>
      </c>
      <c r="E117" s="26" t="s">
        <v>210</v>
      </c>
      <c r="F117" s="26" t="s">
        <v>335</v>
      </c>
      <c r="G117" s="26" t="s">
        <v>335</v>
      </c>
      <c r="H117" s="1" t="s">
        <v>214</v>
      </c>
    </row>
    <row r="118" spans="1:8" x14ac:dyDescent="0.25">
      <c r="A118" s="26">
        <f t="shared" si="1"/>
        <v>117</v>
      </c>
      <c r="B118" s="26" t="s">
        <v>369</v>
      </c>
      <c r="C118" s="26" t="s">
        <v>313</v>
      </c>
      <c r="D118" s="26" t="s">
        <v>93</v>
      </c>
      <c r="E118" s="26" t="s">
        <v>210</v>
      </c>
      <c r="F118" s="26" t="s">
        <v>335</v>
      </c>
      <c r="G118" s="26" t="s">
        <v>335</v>
      </c>
      <c r="H118" s="1" t="s">
        <v>214</v>
      </c>
    </row>
    <row r="119" spans="1:8" x14ac:dyDescent="0.25">
      <c r="A119" s="26">
        <f t="shared" si="1"/>
        <v>118</v>
      </c>
      <c r="B119" s="26" t="s">
        <v>370</v>
      </c>
      <c r="C119" s="26" t="s">
        <v>371</v>
      </c>
      <c r="D119" s="26" t="s">
        <v>93</v>
      </c>
      <c r="E119" s="26" t="s">
        <v>210</v>
      </c>
      <c r="F119" s="26" t="s">
        <v>335</v>
      </c>
      <c r="G119" s="26" t="s">
        <v>335</v>
      </c>
      <c r="H119" s="1" t="s">
        <v>214</v>
      </c>
    </row>
    <row r="120" spans="1:8" x14ac:dyDescent="0.25">
      <c r="A120" s="26">
        <f t="shared" si="1"/>
        <v>119</v>
      </c>
      <c r="B120" s="26" t="s">
        <v>372</v>
      </c>
      <c r="C120" s="26" t="s">
        <v>373</v>
      </c>
      <c r="D120" s="26" t="s">
        <v>93</v>
      </c>
      <c r="E120" s="26" t="s">
        <v>210</v>
      </c>
      <c r="F120" s="26" t="s">
        <v>335</v>
      </c>
      <c r="G120" s="26" t="s">
        <v>335</v>
      </c>
      <c r="H120" s="1" t="s">
        <v>214</v>
      </c>
    </row>
    <row r="121" spans="1:8" x14ac:dyDescent="0.25">
      <c r="A121" s="26">
        <f t="shared" si="1"/>
        <v>120</v>
      </c>
      <c r="B121" s="26" t="s">
        <v>374</v>
      </c>
      <c r="C121" s="26" t="s">
        <v>375</v>
      </c>
      <c r="D121" s="26" t="s">
        <v>93</v>
      </c>
      <c r="E121" s="26" t="s">
        <v>210</v>
      </c>
      <c r="F121" s="26" t="s">
        <v>335</v>
      </c>
      <c r="G121" s="26" t="s">
        <v>335</v>
      </c>
      <c r="H121" s="1" t="s">
        <v>214</v>
      </c>
    </row>
    <row r="122" spans="1:8" x14ac:dyDescent="0.25">
      <c r="A122" s="26">
        <f t="shared" si="1"/>
        <v>121</v>
      </c>
      <c r="B122" s="26" t="s">
        <v>376</v>
      </c>
      <c r="C122" s="26" t="s">
        <v>377</v>
      </c>
      <c r="D122" s="26" t="s">
        <v>96</v>
      </c>
      <c r="E122" s="26" t="s">
        <v>210</v>
      </c>
      <c r="F122" s="26" t="s">
        <v>335</v>
      </c>
      <c r="G122" s="26" t="s">
        <v>335</v>
      </c>
      <c r="H122" s="1" t="s">
        <v>214</v>
      </c>
    </row>
    <row r="123" spans="1:8" x14ac:dyDescent="0.25">
      <c r="A123" s="26">
        <f t="shared" si="1"/>
        <v>122</v>
      </c>
      <c r="B123" s="26" t="s">
        <v>378</v>
      </c>
      <c r="C123" s="26" t="s">
        <v>379</v>
      </c>
      <c r="D123" s="26" t="s">
        <v>226</v>
      </c>
      <c r="E123" s="26" t="s">
        <v>210</v>
      </c>
      <c r="F123" s="26" t="s">
        <v>335</v>
      </c>
      <c r="G123" s="26" t="s">
        <v>335</v>
      </c>
      <c r="H123" s="1" t="s">
        <v>214</v>
      </c>
    </row>
    <row r="124" spans="1:8" x14ac:dyDescent="0.25">
      <c r="A124" s="26">
        <f t="shared" si="1"/>
        <v>123</v>
      </c>
      <c r="B124" s="26" t="s">
        <v>380</v>
      </c>
      <c r="C124" s="26" t="s">
        <v>381</v>
      </c>
      <c r="D124" s="26" t="s">
        <v>93</v>
      </c>
      <c r="E124" s="26" t="s">
        <v>210</v>
      </c>
      <c r="F124" s="26" t="s">
        <v>335</v>
      </c>
      <c r="G124" s="26" t="s">
        <v>335</v>
      </c>
      <c r="H124" s="1" t="s">
        <v>214</v>
      </c>
    </row>
    <row r="125" spans="1:8" x14ac:dyDescent="0.25">
      <c r="A125" s="26">
        <f t="shared" si="1"/>
        <v>124</v>
      </c>
      <c r="B125" s="26" t="s">
        <v>382</v>
      </c>
      <c r="C125" s="26" t="s">
        <v>383</v>
      </c>
      <c r="D125" s="26" t="s">
        <v>226</v>
      </c>
      <c r="E125" s="26" t="s">
        <v>210</v>
      </c>
      <c r="F125" s="26" t="s">
        <v>335</v>
      </c>
      <c r="G125" s="26" t="s">
        <v>335</v>
      </c>
      <c r="H125" s="1" t="s">
        <v>214</v>
      </c>
    </row>
    <row r="126" spans="1:8" x14ac:dyDescent="0.25">
      <c r="A126" s="26">
        <f t="shared" si="1"/>
        <v>125</v>
      </c>
      <c r="B126" s="26" t="s">
        <v>384</v>
      </c>
      <c r="C126" s="26" t="s">
        <v>385</v>
      </c>
      <c r="D126" s="26" t="s">
        <v>93</v>
      </c>
      <c r="E126" s="26" t="s">
        <v>210</v>
      </c>
      <c r="F126" s="26" t="s">
        <v>335</v>
      </c>
      <c r="G126" s="26" t="s">
        <v>335</v>
      </c>
      <c r="H126" s="1" t="s">
        <v>214</v>
      </c>
    </row>
    <row r="127" spans="1:8" x14ac:dyDescent="0.25">
      <c r="A127" s="26">
        <f t="shared" si="1"/>
        <v>126</v>
      </c>
      <c r="B127" s="27" t="s">
        <v>386</v>
      </c>
      <c r="C127" s="26" t="s">
        <v>387</v>
      </c>
      <c r="D127" s="26" t="s">
        <v>226</v>
      </c>
      <c r="E127" s="26" t="s">
        <v>210</v>
      </c>
      <c r="F127" s="26" t="s">
        <v>335</v>
      </c>
      <c r="G127" s="26" t="s">
        <v>335</v>
      </c>
      <c r="H127" s="1" t="s">
        <v>214</v>
      </c>
    </row>
    <row r="128" spans="1:8" x14ac:dyDescent="0.25">
      <c r="A128" s="26">
        <f t="shared" si="1"/>
        <v>127</v>
      </c>
      <c r="B128" s="27" t="s">
        <v>388</v>
      </c>
      <c r="C128" s="26" t="s">
        <v>389</v>
      </c>
      <c r="D128" s="26" t="s">
        <v>93</v>
      </c>
      <c r="E128" s="26" t="s">
        <v>210</v>
      </c>
      <c r="F128" s="26" t="s">
        <v>335</v>
      </c>
      <c r="G128" s="26" t="s">
        <v>335</v>
      </c>
      <c r="H128" s="1" t="s">
        <v>214</v>
      </c>
    </row>
    <row r="129" spans="1:8" x14ac:dyDescent="0.25">
      <c r="A129" s="26">
        <f t="shared" si="1"/>
        <v>128</v>
      </c>
      <c r="B129" s="26" t="s">
        <v>390</v>
      </c>
      <c r="C129" s="26" t="s">
        <v>391</v>
      </c>
      <c r="D129" s="26" t="s">
        <v>93</v>
      </c>
      <c r="E129" s="26" t="s">
        <v>210</v>
      </c>
      <c r="F129" s="26" t="s">
        <v>335</v>
      </c>
      <c r="G129" s="26" t="s">
        <v>335</v>
      </c>
      <c r="H129" s="1" t="s">
        <v>214</v>
      </c>
    </row>
    <row r="130" spans="1:8" x14ac:dyDescent="0.25">
      <c r="A130" s="26">
        <f t="shared" si="1"/>
        <v>129</v>
      </c>
      <c r="B130" s="26" t="s">
        <v>392</v>
      </c>
      <c r="C130" s="26" t="s">
        <v>321</v>
      </c>
      <c r="D130" s="26" t="s">
        <v>95</v>
      </c>
      <c r="E130" s="26" t="s">
        <v>210</v>
      </c>
      <c r="F130" s="26" t="s">
        <v>335</v>
      </c>
      <c r="G130" s="26" t="s">
        <v>335</v>
      </c>
      <c r="H130" s="1" t="s">
        <v>214</v>
      </c>
    </row>
    <row r="131" spans="1:8" x14ac:dyDescent="0.25">
      <c r="A131" s="26">
        <f t="shared" ref="A131:A151" si="2">A130+1</f>
        <v>130</v>
      </c>
      <c r="B131" s="26" t="s">
        <v>393</v>
      </c>
      <c r="C131" s="26" t="s">
        <v>394</v>
      </c>
      <c r="D131" s="26" t="s">
        <v>93</v>
      </c>
      <c r="E131" s="26" t="s">
        <v>210</v>
      </c>
      <c r="F131" s="26" t="s">
        <v>335</v>
      </c>
      <c r="G131" s="26" t="s">
        <v>335</v>
      </c>
      <c r="H131" s="1" t="s">
        <v>214</v>
      </c>
    </row>
    <row r="132" spans="1:8" x14ac:dyDescent="0.25">
      <c r="A132" s="26">
        <f t="shared" si="2"/>
        <v>131</v>
      </c>
      <c r="B132" s="26" t="s">
        <v>395</v>
      </c>
      <c r="C132" s="26" t="s">
        <v>396</v>
      </c>
      <c r="D132" s="26" t="s">
        <v>93</v>
      </c>
      <c r="E132" s="26" t="s">
        <v>210</v>
      </c>
      <c r="F132" s="26" t="s">
        <v>335</v>
      </c>
      <c r="G132" s="26" t="s">
        <v>335</v>
      </c>
      <c r="H132" s="1" t="s">
        <v>214</v>
      </c>
    </row>
    <row r="133" spans="1:8" x14ac:dyDescent="0.25">
      <c r="A133" s="26">
        <f t="shared" si="2"/>
        <v>132</v>
      </c>
      <c r="B133" s="26" t="s">
        <v>397</v>
      </c>
      <c r="C133" s="28" t="s">
        <v>398</v>
      </c>
      <c r="D133" s="26" t="s">
        <v>93</v>
      </c>
      <c r="E133" s="26" t="s">
        <v>210</v>
      </c>
      <c r="F133" s="26" t="s">
        <v>335</v>
      </c>
      <c r="G133" s="26" t="s">
        <v>335</v>
      </c>
      <c r="H133" s="1" t="s">
        <v>214</v>
      </c>
    </row>
    <row r="134" spans="1:8" x14ac:dyDescent="0.25">
      <c r="A134" s="26">
        <f t="shared" si="2"/>
        <v>133</v>
      </c>
      <c r="B134" s="26" t="s">
        <v>399</v>
      </c>
      <c r="C134" s="26" t="s">
        <v>399</v>
      </c>
      <c r="D134" s="26" t="s">
        <v>93</v>
      </c>
      <c r="E134" s="26" t="s">
        <v>210</v>
      </c>
      <c r="F134" s="26" t="s">
        <v>335</v>
      </c>
      <c r="G134" s="26" t="s">
        <v>335</v>
      </c>
      <c r="H134" s="1" t="s">
        <v>214</v>
      </c>
    </row>
    <row r="135" spans="1:8" x14ac:dyDescent="0.25">
      <c r="A135" s="26">
        <f t="shared" si="2"/>
        <v>134</v>
      </c>
      <c r="B135" s="26" t="s">
        <v>400</v>
      </c>
      <c r="C135" s="26" t="s">
        <v>401</v>
      </c>
      <c r="D135" s="26" t="s">
        <v>96</v>
      </c>
      <c r="E135" s="26" t="s">
        <v>210</v>
      </c>
      <c r="F135" s="26" t="s">
        <v>335</v>
      </c>
      <c r="G135" s="26" t="s">
        <v>335</v>
      </c>
      <c r="H135" s="1" t="s">
        <v>214</v>
      </c>
    </row>
    <row r="136" spans="1:8" x14ac:dyDescent="0.25">
      <c r="A136" s="26">
        <f t="shared" si="2"/>
        <v>135</v>
      </c>
      <c r="B136" s="26" t="s">
        <v>402</v>
      </c>
      <c r="C136" s="26" t="s">
        <v>403</v>
      </c>
      <c r="D136" s="26" t="s">
        <v>93</v>
      </c>
      <c r="E136" s="26" t="s">
        <v>210</v>
      </c>
      <c r="F136" s="26" t="s">
        <v>335</v>
      </c>
      <c r="G136" s="26" t="s">
        <v>335</v>
      </c>
      <c r="H136" s="1" t="s">
        <v>214</v>
      </c>
    </row>
    <row r="137" spans="1:8" x14ac:dyDescent="0.25">
      <c r="A137" s="26">
        <f t="shared" si="2"/>
        <v>136</v>
      </c>
      <c r="B137" s="26" t="s">
        <v>404</v>
      </c>
      <c r="C137" s="26" t="s">
        <v>405</v>
      </c>
      <c r="D137" s="26" t="s">
        <v>93</v>
      </c>
      <c r="E137" s="26" t="s">
        <v>210</v>
      </c>
      <c r="F137" s="26" t="s">
        <v>335</v>
      </c>
      <c r="G137" s="26" t="s">
        <v>335</v>
      </c>
      <c r="H137" s="1" t="s">
        <v>214</v>
      </c>
    </row>
    <row r="138" spans="1:8" x14ac:dyDescent="0.25">
      <c r="A138" s="26">
        <f t="shared" si="2"/>
        <v>137</v>
      </c>
      <c r="B138" s="26" t="s">
        <v>406</v>
      </c>
      <c r="C138" s="28" t="s">
        <v>407</v>
      </c>
      <c r="D138" s="26" t="s">
        <v>226</v>
      </c>
      <c r="E138" s="26" t="s">
        <v>210</v>
      </c>
      <c r="F138" s="26" t="s">
        <v>335</v>
      </c>
      <c r="G138" s="26" t="s">
        <v>335</v>
      </c>
      <c r="H138" s="1" t="s">
        <v>214</v>
      </c>
    </row>
    <row r="139" spans="1:8" x14ac:dyDescent="0.25">
      <c r="A139" s="26">
        <f t="shared" si="2"/>
        <v>138</v>
      </c>
      <c r="B139" s="26" t="s">
        <v>408</v>
      </c>
      <c r="C139" s="28" t="s">
        <v>409</v>
      </c>
      <c r="D139" s="26" t="s">
        <v>93</v>
      </c>
      <c r="E139" s="26" t="s">
        <v>210</v>
      </c>
      <c r="F139" s="26" t="s">
        <v>335</v>
      </c>
      <c r="G139" s="26" t="s">
        <v>335</v>
      </c>
      <c r="H139" s="1" t="s">
        <v>214</v>
      </c>
    </row>
    <row r="140" spans="1:8" x14ac:dyDescent="0.25">
      <c r="A140" s="26">
        <f t="shared" si="2"/>
        <v>139</v>
      </c>
      <c r="B140" s="26" t="s">
        <v>410</v>
      </c>
      <c r="C140" s="28" t="s">
        <v>411</v>
      </c>
      <c r="D140" s="26" t="s">
        <v>93</v>
      </c>
      <c r="E140" s="26" t="s">
        <v>210</v>
      </c>
      <c r="F140" s="26" t="s">
        <v>335</v>
      </c>
      <c r="G140" s="26" t="s">
        <v>335</v>
      </c>
      <c r="H140" s="1" t="s">
        <v>214</v>
      </c>
    </row>
    <row r="141" spans="1:8" x14ac:dyDescent="0.25">
      <c r="A141" s="26">
        <f t="shared" si="2"/>
        <v>140</v>
      </c>
      <c r="B141" s="26" t="s">
        <v>412</v>
      </c>
      <c r="C141" s="26" t="s">
        <v>413</v>
      </c>
      <c r="D141" s="26" t="s">
        <v>146</v>
      </c>
      <c r="E141" s="26" t="s">
        <v>210</v>
      </c>
      <c r="F141" s="26" t="s">
        <v>335</v>
      </c>
      <c r="G141" s="26" t="s">
        <v>335</v>
      </c>
      <c r="H141" s="1" t="s">
        <v>214</v>
      </c>
    </row>
    <row r="142" spans="1:8" x14ac:dyDescent="0.25">
      <c r="A142" s="26">
        <f t="shared" si="2"/>
        <v>141</v>
      </c>
      <c r="B142" s="26" t="s">
        <v>414</v>
      </c>
      <c r="C142" s="28" t="s">
        <v>415</v>
      </c>
      <c r="D142" s="26" t="s">
        <v>93</v>
      </c>
      <c r="E142" s="26" t="s">
        <v>210</v>
      </c>
      <c r="F142" s="26" t="s">
        <v>335</v>
      </c>
      <c r="G142" s="26" t="s">
        <v>335</v>
      </c>
      <c r="H142" s="1" t="s">
        <v>214</v>
      </c>
    </row>
    <row r="143" spans="1:8" x14ac:dyDescent="0.25">
      <c r="A143" s="26">
        <f t="shared" si="2"/>
        <v>142</v>
      </c>
      <c r="B143" s="26" t="s">
        <v>416</v>
      </c>
      <c r="C143" s="26" t="s">
        <v>417</v>
      </c>
      <c r="D143" s="26" t="s">
        <v>93</v>
      </c>
      <c r="E143" s="26" t="s">
        <v>210</v>
      </c>
      <c r="F143" s="26" t="s">
        <v>335</v>
      </c>
      <c r="G143" s="26" t="s">
        <v>335</v>
      </c>
      <c r="H143" s="1" t="s">
        <v>214</v>
      </c>
    </row>
    <row r="144" spans="1:8" x14ac:dyDescent="0.25">
      <c r="A144" s="26">
        <f t="shared" si="2"/>
        <v>143</v>
      </c>
      <c r="B144" s="26" t="s">
        <v>418</v>
      </c>
      <c r="C144" s="28" t="s">
        <v>419</v>
      </c>
      <c r="D144" s="26" t="s">
        <v>226</v>
      </c>
      <c r="E144" s="26" t="s">
        <v>210</v>
      </c>
      <c r="F144" s="26" t="s">
        <v>335</v>
      </c>
      <c r="G144" s="26" t="s">
        <v>335</v>
      </c>
      <c r="H144" s="1" t="s">
        <v>214</v>
      </c>
    </row>
    <row r="145" spans="1:8" x14ac:dyDescent="0.25">
      <c r="A145" s="26">
        <f t="shared" si="2"/>
        <v>144</v>
      </c>
      <c r="B145" s="26" t="s">
        <v>420</v>
      </c>
      <c r="C145" s="28" t="s">
        <v>421</v>
      </c>
      <c r="D145" s="26" t="s">
        <v>93</v>
      </c>
      <c r="E145" s="26" t="s">
        <v>210</v>
      </c>
      <c r="F145" s="26" t="s">
        <v>335</v>
      </c>
      <c r="G145" s="26" t="s">
        <v>335</v>
      </c>
      <c r="H145" s="1" t="s">
        <v>214</v>
      </c>
    </row>
    <row r="146" spans="1:8" x14ac:dyDescent="0.25">
      <c r="A146" s="26">
        <f t="shared" si="2"/>
        <v>145</v>
      </c>
      <c r="B146" s="26" t="s">
        <v>422</v>
      </c>
      <c r="C146" s="28" t="s">
        <v>423</v>
      </c>
      <c r="D146" s="26" t="s">
        <v>146</v>
      </c>
      <c r="E146" s="26" t="s">
        <v>210</v>
      </c>
      <c r="F146" s="26" t="s">
        <v>335</v>
      </c>
      <c r="G146" s="26" t="s">
        <v>335</v>
      </c>
      <c r="H146" s="1" t="s">
        <v>214</v>
      </c>
    </row>
    <row r="147" spans="1:8" x14ac:dyDescent="0.25">
      <c r="A147" s="26">
        <f t="shared" si="2"/>
        <v>146</v>
      </c>
      <c r="B147" s="26" t="s">
        <v>424</v>
      </c>
      <c r="C147" s="28" t="s">
        <v>425</v>
      </c>
      <c r="D147" s="26" t="s">
        <v>93</v>
      </c>
      <c r="E147" s="26" t="s">
        <v>210</v>
      </c>
      <c r="F147" s="26" t="s">
        <v>335</v>
      </c>
      <c r="G147" s="26" t="s">
        <v>335</v>
      </c>
      <c r="H147" s="1" t="s">
        <v>214</v>
      </c>
    </row>
    <row r="148" spans="1:8" x14ac:dyDescent="0.25">
      <c r="A148" s="26">
        <f t="shared" si="2"/>
        <v>147</v>
      </c>
      <c r="B148" s="26" t="s">
        <v>426</v>
      </c>
      <c r="C148" s="29" t="s">
        <v>427</v>
      </c>
      <c r="D148" s="29" t="s">
        <v>96</v>
      </c>
      <c r="E148" s="26" t="s">
        <v>210</v>
      </c>
      <c r="F148" s="26" t="s">
        <v>214</v>
      </c>
      <c r="G148" s="26" t="s">
        <v>214</v>
      </c>
      <c r="H148" s="1" t="e">
        <v>#N/A</v>
      </c>
    </row>
    <row r="149" spans="1:8" x14ac:dyDescent="0.25">
      <c r="A149" s="26">
        <f t="shared" si="2"/>
        <v>148</v>
      </c>
      <c r="B149" s="26" t="s">
        <v>428</v>
      </c>
      <c r="C149" s="26" t="s">
        <v>429</v>
      </c>
      <c r="D149" s="26" t="s">
        <v>95</v>
      </c>
      <c r="E149" s="26" t="s">
        <v>210</v>
      </c>
      <c r="F149" s="26" t="s">
        <v>214</v>
      </c>
      <c r="G149" s="26" t="s">
        <v>214</v>
      </c>
      <c r="H149" s="1" t="s">
        <v>214</v>
      </c>
    </row>
    <row r="150" spans="1:8" x14ac:dyDescent="0.25">
      <c r="A150" s="26">
        <f t="shared" si="2"/>
        <v>149</v>
      </c>
      <c r="B150" s="26" t="s">
        <v>430</v>
      </c>
      <c r="C150" s="26" t="s">
        <v>431</v>
      </c>
      <c r="D150" s="26" t="s">
        <v>93</v>
      </c>
      <c r="E150" s="26" t="s">
        <v>210</v>
      </c>
      <c r="F150" s="26" t="s">
        <v>335</v>
      </c>
      <c r="G150" s="26" t="s">
        <v>335</v>
      </c>
      <c r="H150" s="1" t="s">
        <v>214</v>
      </c>
    </row>
    <row r="151" spans="1:8" x14ac:dyDescent="0.25">
      <c r="A151" s="26">
        <f t="shared" si="2"/>
        <v>150</v>
      </c>
      <c r="B151" s="26" t="s">
        <v>172</v>
      </c>
      <c r="C151" s="26" t="s">
        <v>187</v>
      </c>
      <c r="D151" s="26" t="s">
        <v>93</v>
      </c>
      <c r="E151" s="26" t="s">
        <v>210</v>
      </c>
      <c r="F151" s="26" t="s">
        <v>214</v>
      </c>
      <c r="G151" s="26" t="s">
        <v>214</v>
      </c>
      <c r="H151" s="1" t="s">
        <v>214</v>
      </c>
    </row>
    <row r="152" spans="1:8" x14ac:dyDescent="0.25">
      <c r="A152" s="26">
        <v>151</v>
      </c>
      <c r="B152" s="26" t="s">
        <v>432</v>
      </c>
      <c r="C152" s="26" t="s">
        <v>433</v>
      </c>
      <c r="D152" s="26" t="s">
        <v>95</v>
      </c>
      <c r="E152" s="26" t="s">
        <v>210</v>
      </c>
      <c r="F152" s="26" t="s">
        <v>214</v>
      </c>
      <c r="G152" s="26" t="s">
        <v>214</v>
      </c>
      <c r="H152" s="1" t="s">
        <v>214</v>
      </c>
    </row>
    <row r="153" spans="1:8" x14ac:dyDescent="0.25">
      <c r="A153" s="26">
        <v>152</v>
      </c>
      <c r="B153" s="26" t="s">
        <v>434</v>
      </c>
      <c r="C153" s="26" t="s">
        <v>435</v>
      </c>
      <c r="D153" s="26" t="s">
        <v>95</v>
      </c>
      <c r="E153" s="26" t="s">
        <v>210</v>
      </c>
      <c r="F153" s="26" t="s">
        <v>214</v>
      </c>
      <c r="G153" s="26" t="s">
        <v>214</v>
      </c>
      <c r="H153" s="1" t="s">
        <v>214</v>
      </c>
    </row>
    <row r="154" spans="1:8" x14ac:dyDescent="0.25">
      <c r="A154" s="26">
        <f t="shared" ref="A154:A161" si="3">A153+1</f>
        <v>153</v>
      </c>
      <c r="B154" s="26" t="s">
        <v>179</v>
      </c>
      <c r="C154" s="26" t="s">
        <v>194</v>
      </c>
      <c r="D154" s="26" t="s">
        <v>95</v>
      </c>
      <c r="E154" s="26" t="s">
        <v>210</v>
      </c>
      <c r="F154" s="26" t="s">
        <v>214</v>
      </c>
      <c r="G154" s="26" t="s">
        <v>214</v>
      </c>
      <c r="H154" s="1" t="s">
        <v>214</v>
      </c>
    </row>
    <row r="155" spans="1:8" x14ac:dyDescent="0.25">
      <c r="A155" s="26">
        <f t="shared" si="3"/>
        <v>154</v>
      </c>
      <c r="B155" s="26" t="s">
        <v>155</v>
      </c>
      <c r="C155" s="26" t="s">
        <v>159</v>
      </c>
      <c r="D155" s="26" t="s">
        <v>95</v>
      </c>
      <c r="E155" s="26" t="s">
        <v>210</v>
      </c>
      <c r="F155" s="26" t="s">
        <v>214</v>
      </c>
      <c r="G155" s="26" t="s">
        <v>214</v>
      </c>
      <c r="H155" s="1" t="s">
        <v>206</v>
      </c>
    </row>
    <row r="156" spans="1:8" x14ac:dyDescent="0.25">
      <c r="A156" s="26">
        <f t="shared" si="3"/>
        <v>155</v>
      </c>
      <c r="B156" s="26" t="s">
        <v>436</v>
      </c>
      <c r="C156" s="26" t="s">
        <v>437</v>
      </c>
      <c r="D156" s="26" t="s">
        <v>95</v>
      </c>
      <c r="E156" s="26" t="s">
        <v>210</v>
      </c>
      <c r="F156" s="26" t="s">
        <v>206</v>
      </c>
      <c r="G156" s="26" t="s">
        <v>206</v>
      </c>
      <c r="H156" s="1" t="s">
        <v>206</v>
      </c>
    </row>
    <row r="157" spans="1:8" x14ac:dyDescent="0.25">
      <c r="A157" s="26">
        <f t="shared" si="3"/>
        <v>156</v>
      </c>
      <c r="B157" s="26" t="s">
        <v>438</v>
      </c>
      <c r="C157" s="26" t="s">
        <v>439</v>
      </c>
      <c r="D157" s="26" t="s">
        <v>95</v>
      </c>
      <c r="E157" s="26" t="s">
        <v>210</v>
      </c>
      <c r="F157" s="26" t="s">
        <v>206</v>
      </c>
      <c r="G157" s="26" t="s">
        <v>206</v>
      </c>
      <c r="H157" s="1" t="s">
        <v>206</v>
      </c>
    </row>
    <row r="158" spans="1:8" x14ac:dyDescent="0.25">
      <c r="A158" s="26">
        <f t="shared" si="3"/>
        <v>157</v>
      </c>
      <c r="B158" s="26" t="s">
        <v>440</v>
      </c>
      <c r="C158" s="26" t="s">
        <v>441</v>
      </c>
      <c r="D158" s="26" t="s">
        <v>95</v>
      </c>
      <c r="E158" s="26" t="s">
        <v>210</v>
      </c>
      <c r="F158" s="26" t="s">
        <v>206</v>
      </c>
      <c r="G158" s="26" t="s">
        <v>206</v>
      </c>
      <c r="H158" s="1" t="s">
        <v>206</v>
      </c>
    </row>
    <row r="159" spans="1:8" x14ac:dyDescent="0.25">
      <c r="A159" s="26">
        <f t="shared" si="3"/>
        <v>158</v>
      </c>
      <c r="B159" s="1" t="s">
        <v>442</v>
      </c>
      <c r="C159" s="1" t="s">
        <v>442</v>
      </c>
      <c r="D159" s="26" t="s">
        <v>95</v>
      </c>
      <c r="E159" s="26" t="s">
        <v>210</v>
      </c>
      <c r="F159" s="26" t="s">
        <v>214</v>
      </c>
      <c r="G159" s="26" t="s">
        <v>214</v>
      </c>
      <c r="H159" s="26" t="s">
        <v>214</v>
      </c>
    </row>
    <row r="160" spans="1:8" x14ac:dyDescent="0.25">
      <c r="A160" s="26">
        <f t="shared" si="3"/>
        <v>159</v>
      </c>
      <c r="B160" s="1" t="s">
        <v>185</v>
      </c>
      <c r="C160" s="1" t="s">
        <v>198</v>
      </c>
      <c r="D160" s="29" t="s">
        <v>96</v>
      </c>
      <c r="E160" s="26" t="s">
        <v>210</v>
      </c>
      <c r="F160" s="26" t="s">
        <v>214</v>
      </c>
      <c r="G160" s="26" t="s">
        <v>211</v>
      </c>
      <c r="H160" s="26" t="s">
        <v>214</v>
      </c>
    </row>
    <row r="161" spans="1:8" x14ac:dyDescent="0.25">
      <c r="A161" s="26">
        <f t="shared" si="3"/>
        <v>160</v>
      </c>
      <c r="B161" s="1" t="s">
        <v>443</v>
      </c>
      <c r="C161" s="1" t="s">
        <v>444</v>
      </c>
      <c r="D161" s="29" t="s">
        <v>93</v>
      </c>
      <c r="E161" s="26" t="s">
        <v>210</v>
      </c>
      <c r="F161" s="26" t="s">
        <v>214</v>
      </c>
      <c r="G161" s="26" t="s">
        <v>214</v>
      </c>
      <c r="H161" s="26" t="s">
        <v>214</v>
      </c>
    </row>
    <row r="162" spans="1:8" x14ac:dyDescent="0.25">
      <c r="A162" s="26">
        <v>161</v>
      </c>
      <c r="B162" s="1" t="s">
        <v>445</v>
      </c>
      <c r="C162" s="1" t="s">
        <v>446</v>
      </c>
      <c r="D162" s="29" t="s">
        <v>95</v>
      </c>
      <c r="E162" s="26" t="s">
        <v>210</v>
      </c>
      <c r="F162" s="26" t="s">
        <v>214</v>
      </c>
      <c r="G162" s="26" t="s">
        <v>214</v>
      </c>
      <c r="H162" s="26" t="s">
        <v>214</v>
      </c>
    </row>
    <row r="163" spans="1:8" x14ac:dyDescent="0.25">
      <c r="A163" s="26">
        <v>162</v>
      </c>
      <c r="B163" s="1" t="s">
        <v>447</v>
      </c>
      <c r="C163" s="1" t="s">
        <v>448</v>
      </c>
      <c r="D163" s="29" t="s">
        <v>96</v>
      </c>
      <c r="E163" s="26" t="s">
        <v>210</v>
      </c>
      <c r="F163" s="26" t="s">
        <v>214</v>
      </c>
      <c r="G163" s="26" t="s">
        <v>214</v>
      </c>
      <c r="H163" s="26" t="s">
        <v>214</v>
      </c>
    </row>
    <row r="164" spans="1:8" x14ac:dyDescent="0.25">
      <c r="A164" s="26">
        <v>163</v>
      </c>
      <c r="B164" s="1" t="s">
        <v>449</v>
      </c>
      <c r="C164" s="1" t="s">
        <v>450</v>
      </c>
      <c r="D164" s="29" t="s">
        <v>93</v>
      </c>
      <c r="E164" s="26" t="s">
        <v>210</v>
      </c>
      <c r="F164" s="26" t="s">
        <v>214</v>
      </c>
      <c r="G164" s="26" t="s">
        <v>214</v>
      </c>
      <c r="H164" s="26" t="s">
        <v>214</v>
      </c>
    </row>
    <row r="165" spans="1:8" x14ac:dyDescent="0.25">
      <c r="A165" s="26">
        <f>A164+1</f>
        <v>164</v>
      </c>
      <c r="B165" s="30" t="s">
        <v>177</v>
      </c>
      <c r="C165" s="30" t="s">
        <v>192</v>
      </c>
      <c r="D165" s="29" t="s">
        <v>93</v>
      </c>
      <c r="E165" s="26" t="s">
        <v>210</v>
      </c>
      <c r="F165" s="26" t="s">
        <v>214</v>
      </c>
      <c r="G165" s="26" t="s">
        <v>214</v>
      </c>
      <c r="H165" s="26" t="s">
        <v>214</v>
      </c>
    </row>
    <row r="166" spans="1:8" x14ac:dyDescent="0.25">
      <c r="A166" s="26">
        <f>A165+1</f>
        <v>165</v>
      </c>
      <c r="B166" s="1" t="s">
        <v>451</v>
      </c>
      <c r="C166" s="30" t="s">
        <v>452</v>
      </c>
      <c r="D166" s="31" t="s">
        <v>96</v>
      </c>
      <c r="E166" s="26" t="s">
        <v>210</v>
      </c>
      <c r="F166" s="26" t="s">
        <v>214</v>
      </c>
      <c r="G166" s="26" t="s">
        <v>214</v>
      </c>
      <c r="H166" s="26" t="s">
        <v>214</v>
      </c>
    </row>
    <row r="167" spans="1:8" x14ac:dyDescent="0.25">
      <c r="A167" s="26">
        <f>A166+1</f>
        <v>166</v>
      </c>
      <c r="B167" s="26" t="s">
        <v>1238</v>
      </c>
      <c r="C167" s="26" t="s">
        <v>1239</v>
      </c>
      <c r="D167" s="26" t="s">
        <v>96</v>
      </c>
      <c r="E167" s="26" t="s">
        <v>210</v>
      </c>
      <c r="F167" s="26" t="s">
        <v>214</v>
      </c>
      <c r="G167" s="26" t="s">
        <v>214</v>
      </c>
      <c r="H167" s="26" t="s">
        <v>1239</v>
      </c>
    </row>
  </sheetData>
  <conditionalFormatting sqref="B166">
    <cfRule type="duplicateValues" dxfId="0" priority="1"/>
  </conditionalFormatting>
  <hyperlinks>
    <hyperlink ref="A1" r:id="rId1" xr:uid="{00000000-0004-0000-0A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64"/>
  <sheetViews>
    <sheetView workbookViewId="0">
      <selection activeCell="B1" sqref="B1"/>
    </sheetView>
  </sheetViews>
  <sheetFormatPr defaultRowHeight="15" x14ac:dyDescent="0.25"/>
  <cols>
    <col min="1" max="1" width="6.7109375" bestFit="1" customWidth="1"/>
    <col min="2" max="2" width="21.7109375" bestFit="1" customWidth="1"/>
    <col min="3" max="3" width="20.28515625" bestFit="1" customWidth="1"/>
    <col min="4" max="4" width="13.7109375" bestFit="1" customWidth="1"/>
    <col min="5" max="5" width="7.28515625" bestFit="1" customWidth="1"/>
    <col min="6" max="6" width="11.28515625" bestFit="1" customWidth="1"/>
    <col min="7" max="7" width="12.140625" bestFit="1" customWidth="1"/>
    <col min="8" max="8" width="9.28515625" bestFit="1" customWidth="1"/>
    <col min="9" max="9" width="20.28515625" bestFit="1" customWidth="1"/>
    <col min="10" max="10" width="6.85546875" bestFit="1" customWidth="1"/>
    <col min="11" max="11" width="23" bestFit="1" customWidth="1"/>
    <col min="12" max="12" width="23.28515625" bestFit="1" customWidth="1"/>
    <col min="13" max="13" width="25.85546875" bestFit="1" customWidth="1"/>
    <col min="14" max="14" width="28.5703125" bestFit="1" customWidth="1"/>
    <col min="15" max="16" width="16" bestFit="1" customWidth="1"/>
    <col min="17" max="17" width="60" bestFit="1" customWidth="1"/>
    <col min="18" max="18" width="22.7109375" bestFit="1" customWidth="1"/>
    <col min="19" max="19" width="8.7109375" bestFit="1" customWidth="1"/>
    <col min="20" max="20" width="23.7109375" bestFit="1" customWidth="1"/>
  </cols>
  <sheetData>
    <row r="1" spans="1:20" x14ac:dyDescent="0.25">
      <c r="A1" s="32" t="s">
        <v>490</v>
      </c>
      <c r="B1" s="33" t="s">
        <v>491</v>
      </c>
      <c r="C1" s="33" t="s">
        <v>85</v>
      </c>
      <c r="D1" s="33" t="s">
        <v>491</v>
      </c>
      <c r="E1" s="33" t="s">
        <v>492</v>
      </c>
      <c r="F1" s="33" t="s">
        <v>493</v>
      </c>
      <c r="G1" s="33" t="s">
        <v>494</v>
      </c>
      <c r="H1" s="33" t="s">
        <v>495</v>
      </c>
      <c r="I1" s="33" t="s">
        <v>496</v>
      </c>
      <c r="J1" s="33" t="s">
        <v>497</v>
      </c>
      <c r="K1" s="33" t="s">
        <v>498</v>
      </c>
      <c r="L1" s="33" t="s">
        <v>499</v>
      </c>
      <c r="M1" s="33" t="s">
        <v>500</v>
      </c>
      <c r="N1" s="33" t="s">
        <v>501</v>
      </c>
      <c r="O1" s="33" t="s">
        <v>10</v>
      </c>
      <c r="P1" s="33" t="s">
        <v>502</v>
      </c>
      <c r="Q1" s="33" t="s">
        <v>503</v>
      </c>
      <c r="R1" s="34" t="s">
        <v>504</v>
      </c>
      <c r="S1" s="34" t="s">
        <v>505</v>
      </c>
      <c r="T1" s="34" t="s">
        <v>506</v>
      </c>
    </row>
    <row r="2" spans="1:20" x14ac:dyDescent="0.25">
      <c r="A2" s="35">
        <v>1</v>
      </c>
      <c r="B2" s="36" t="s">
        <v>507</v>
      </c>
      <c r="C2" s="36" t="s">
        <v>150</v>
      </c>
      <c r="D2" s="36" t="s">
        <v>507</v>
      </c>
      <c r="E2" s="4" t="s">
        <v>508</v>
      </c>
      <c r="F2" s="36">
        <v>576</v>
      </c>
      <c r="G2" s="36" t="s">
        <v>509</v>
      </c>
      <c r="H2" s="36" t="s">
        <v>510</v>
      </c>
      <c r="I2" s="36" t="s">
        <v>511</v>
      </c>
      <c r="J2" s="36" t="s">
        <v>512</v>
      </c>
      <c r="K2" s="36" t="s">
        <v>513</v>
      </c>
      <c r="L2" s="36" t="s">
        <v>110</v>
      </c>
      <c r="M2" s="36" t="s">
        <v>122</v>
      </c>
      <c r="N2" s="36" t="s">
        <v>514</v>
      </c>
      <c r="O2" s="37" t="s">
        <v>29</v>
      </c>
      <c r="P2" s="36" t="s">
        <v>96</v>
      </c>
      <c r="Q2" s="36" t="s">
        <v>515</v>
      </c>
      <c r="R2" s="38"/>
      <c r="S2" s="38"/>
      <c r="T2" s="38" t="s">
        <v>516</v>
      </c>
    </row>
    <row r="3" spans="1:20" x14ac:dyDescent="0.25">
      <c r="A3" s="35">
        <f>+A2+1</f>
        <v>2</v>
      </c>
      <c r="B3" s="36" t="s">
        <v>517</v>
      </c>
      <c r="C3" s="36" t="s">
        <v>518</v>
      </c>
      <c r="D3" s="36" t="s">
        <v>517</v>
      </c>
      <c r="E3" s="4" t="s">
        <v>519</v>
      </c>
      <c r="F3" s="36">
        <v>641</v>
      </c>
      <c r="G3" s="36" t="s">
        <v>509</v>
      </c>
      <c r="H3" s="36" t="s">
        <v>510</v>
      </c>
      <c r="I3" s="36" t="s">
        <v>520</v>
      </c>
      <c r="J3" s="36" t="s">
        <v>521</v>
      </c>
      <c r="K3" s="36" t="s">
        <v>522</v>
      </c>
      <c r="L3" s="36" t="s">
        <v>110</v>
      </c>
      <c r="M3" s="36" t="s">
        <v>122</v>
      </c>
      <c r="N3" s="36" t="s">
        <v>523</v>
      </c>
      <c r="O3" s="37" t="s">
        <v>29</v>
      </c>
      <c r="P3" s="36" t="s">
        <v>96</v>
      </c>
      <c r="Q3" s="36" t="s">
        <v>524</v>
      </c>
      <c r="R3" s="38"/>
      <c r="S3" s="38"/>
      <c r="T3" s="38" t="s">
        <v>525</v>
      </c>
    </row>
    <row r="4" spans="1:20" x14ac:dyDescent="0.25">
      <c r="A4" s="35">
        <f t="shared" ref="A4:A67" si="0">+A3+1</f>
        <v>3</v>
      </c>
      <c r="B4" s="36" t="s">
        <v>526</v>
      </c>
      <c r="C4" s="36" t="s">
        <v>156</v>
      </c>
      <c r="D4" s="36" t="s">
        <v>526</v>
      </c>
      <c r="E4" s="4" t="s">
        <v>527</v>
      </c>
      <c r="F4" s="36">
        <v>500</v>
      </c>
      <c r="G4" s="36" t="s">
        <v>509</v>
      </c>
      <c r="H4" s="36" t="s">
        <v>510</v>
      </c>
      <c r="I4" s="36" t="s">
        <v>528</v>
      </c>
      <c r="J4" s="36" t="s">
        <v>521</v>
      </c>
      <c r="K4" s="36" t="s">
        <v>529</v>
      </c>
      <c r="L4" s="36" t="s">
        <v>249</v>
      </c>
      <c r="M4" s="36" t="s">
        <v>530</v>
      </c>
      <c r="N4" s="36" t="s">
        <v>531</v>
      </c>
      <c r="O4" s="37" t="s">
        <v>29</v>
      </c>
      <c r="P4" s="36" t="s">
        <v>96</v>
      </c>
      <c r="Q4" s="36" t="s">
        <v>532</v>
      </c>
      <c r="R4" s="38"/>
      <c r="S4" s="38"/>
      <c r="T4" s="38" t="s">
        <v>533</v>
      </c>
    </row>
    <row r="5" spans="1:20" x14ac:dyDescent="0.25">
      <c r="A5" s="35">
        <f t="shared" si="0"/>
        <v>4</v>
      </c>
      <c r="B5" s="36" t="s">
        <v>534</v>
      </c>
      <c r="C5" s="36" t="s">
        <v>535</v>
      </c>
      <c r="D5" s="36" t="s">
        <v>534</v>
      </c>
      <c r="E5" s="4" t="s">
        <v>536</v>
      </c>
      <c r="F5" s="36">
        <v>480</v>
      </c>
      <c r="G5" s="36" t="s">
        <v>509</v>
      </c>
      <c r="H5" s="36" t="s">
        <v>510</v>
      </c>
      <c r="I5" s="36" t="s">
        <v>537</v>
      </c>
      <c r="J5" s="36" t="s">
        <v>521</v>
      </c>
      <c r="K5" s="36" t="s">
        <v>538</v>
      </c>
      <c r="L5" s="36" t="s">
        <v>539</v>
      </c>
      <c r="M5" s="36" t="s">
        <v>289</v>
      </c>
      <c r="N5" s="36" t="s">
        <v>540</v>
      </c>
      <c r="O5" s="37" t="s">
        <v>29</v>
      </c>
      <c r="P5" s="36" t="s">
        <v>96</v>
      </c>
      <c r="Q5" s="36" t="s">
        <v>541</v>
      </c>
      <c r="R5" s="38"/>
      <c r="S5" s="38"/>
      <c r="T5" s="38" t="s">
        <v>542</v>
      </c>
    </row>
    <row r="6" spans="1:20" x14ac:dyDescent="0.25">
      <c r="A6" s="35">
        <f t="shared" si="0"/>
        <v>5</v>
      </c>
      <c r="B6" s="36" t="s">
        <v>543</v>
      </c>
      <c r="C6" s="36" t="s">
        <v>112</v>
      </c>
      <c r="D6" s="36" t="s">
        <v>543</v>
      </c>
      <c r="E6" s="4" t="s">
        <v>544</v>
      </c>
      <c r="F6" s="36">
        <v>454</v>
      </c>
      <c r="G6" s="36" t="s">
        <v>545</v>
      </c>
      <c r="H6" s="36" t="s">
        <v>510</v>
      </c>
      <c r="I6" s="36" t="s">
        <v>546</v>
      </c>
      <c r="J6" s="36" t="s">
        <v>521</v>
      </c>
      <c r="K6" s="36" t="s">
        <v>522</v>
      </c>
      <c r="L6" s="36" t="s">
        <v>539</v>
      </c>
      <c r="M6" s="36" t="s">
        <v>547</v>
      </c>
      <c r="N6" s="36" t="s">
        <v>289</v>
      </c>
      <c r="O6" s="37" t="s">
        <v>29</v>
      </c>
      <c r="P6" s="36" t="s">
        <v>96</v>
      </c>
      <c r="Q6" s="36" t="s">
        <v>548</v>
      </c>
      <c r="R6" s="38"/>
      <c r="S6" s="38"/>
      <c r="T6" s="38" t="s">
        <v>549</v>
      </c>
    </row>
    <row r="7" spans="1:20" x14ac:dyDescent="0.25">
      <c r="A7" s="35">
        <f t="shared" si="0"/>
        <v>6</v>
      </c>
      <c r="B7" s="36" t="s">
        <v>550</v>
      </c>
      <c r="C7" s="36" t="s">
        <v>551</v>
      </c>
      <c r="D7" s="36" t="s">
        <v>550</v>
      </c>
      <c r="E7" s="4" t="s">
        <v>552</v>
      </c>
      <c r="F7" s="36">
        <v>1357</v>
      </c>
      <c r="G7" s="36" t="s">
        <v>553</v>
      </c>
      <c r="H7" s="36" t="s">
        <v>510</v>
      </c>
      <c r="I7" s="36" t="s">
        <v>554</v>
      </c>
      <c r="J7" s="36" t="s">
        <v>521</v>
      </c>
      <c r="K7" s="36" t="s">
        <v>522</v>
      </c>
      <c r="L7" s="36" t="s">
        <v>110</v>
      </c>
      <c r="M7" s="36" t="s">
        <v>555</v>
      </c>
      <c r="N7" s="36"/>
      <c r="O7" s="37" t="s">
        <v>29</v>
      </c>
      <c r="P7" s="36" t="s">
        <v>96</v>
      </c>
      <c r="Q7" s="36" t="s">
        <v>556</v>
      </c>
      <c r="R7" s="38"/>
      <c r="S7" s="38"/>
      <c r="T7" s="38" t="s">
        <v>557</v>
      </c>
    </row>
    <row r="8" spans="1:20" x14ac:dyDescent="0.25">
      <c r="A8" s="35">
        <f t="shared" si="0"/>
        <v>7</v>
      </c>
      <c r="B8" s="36" t="s">
        <v>558</v>
      </c>
      <c r="C8" s="36" t="s">
        <v>166</v>
      </c>
      <c r="D8" s="36" t="s">
        <v>558</v>
      </c>
      <c r="E8" s="4" t="s">
        <v>559</v>
      </c>
      <c r="F8" s="36">
        <v>750</v>
      </c>
      <c r="G8" s="36" t="s">
        <v>509</v>
      </c>
      <c r="H8" s="36" t="s">
        <v>510</v>
      </c>
      <c r="I8" s="36" t="s">
        <v>560</v>
      </c>
      <c r="J8" s="36" t="s">
        <v>521</v>
      </c>
      <c r="K8" s="36" t="s">
        <v>513</v>
      </c>
      <c r="L8" s="36" t="s">
        <v>110</v>
      </c>
      <c r="M8" s="36" t="s">
        <v>561</v>
      </c>
      <c r="N8" s="36" t="s">
        <v>562</v>
      </c>
      <c r="O8" s="37" t="s">
        <v>29</v>
      </c>
      <c r="P8" s="36" t="s">
        <v>96</v>
      </c>
      <c r="Q8" s="36" t="s">
        <v>563</v>
      </c>
      <c r="R8" s="38"/>
      <c r="S8" s="38"/>
      <c r="T8" s="38" t="s">
        <v>564</v>
      </c>
    </row>
    <row r="9" spans="1:20" x14ac:dyDescent="0.25">
      <c r="A9" s="35">
        <f t="shared" si="0"/>
        <v>8</v>
      </c>
      <c r="B9" s="36" t="s">
        <v>565</v>
      </c>
      <c r="C9" s="36" t="s">
        <v>125</v>
      </c>
      <c r="D9" s="36" t="s">
        <v>565</v>
      </c>
      <c r="E9" s="4" t="s">
        <v>566</v>
      </c>
      <c r="F9" s="36">
        <v>576</v>
      </c>
      <c r="G9" s="36" t="s">
        <v>509</v>
      </c>
      <c r="H9" s="36" t="s">
        <v>510</v>
      </c>
      <c r="I9" s="36" t="s">
        <v>567</v>
      </c>
      <c r="J9" s="36" t="s">
        <v>521</v>
      </c>
      <c r="K9" s="36" t="s">
        <v>522</v>
      </c>
      <c r="L9" s="36" t="s">
        <v>110</v>
      </c>
      <c r="M9" s="36" t="s">
        <v>122</v>
      </c>
      <c r="N9" s="36" t="s">
        <v>568</v>
      </c>
      <c r="O9" s="37" t="s">
        <v>29</v>
      </c>
      <c r="P9" s="36" t="s">
        <v>96</v>
      </c>
      <c r="Q9" s="36" t="s">
        <v>569</v>
      </c>
      <c r="R9" s="38"/>
      <c r="S9" s="38"/>
      <c r="T9" s="38" t="s">
        <v>570</v>
      </c>
    </row>
    <row r="10" spans="1:20" x14ac:dyDescent="0.25">
      <c r="A10" s="35">
        <f t="shared" si="0"/>
        <v>9</v>
      </c>
      <c r="B10" s="36" t="s">
        <v>571</v>
      </c>
      <c r="C10" s="36" t="s">
        <v>572</v>
      </c>
      <c r="D10" s="36" t="s">
        <v>571</v>
      </c>
      <c r="E10" s="4" t="s">
        <v>573</v>
      </c>
      <c r="F10" s="36" t="s">
        <v>574</v>
      </c>
      <c r="G10" s="36" t="s">
        <v>509</v>
      </c>
      <c r="H10" s="36" t="s">
        <v>510</v>
      </c>
      <c r="I10" s="36" t="s">
        <v>511</v>
      </c>
      <c r="J10" s="36" t="s">
        <v>512</v>
      </c>
      <c r="K10" s="36" t="s">
        <v>575</v>
      </c>
      <c r="L10" s="36" t="s">
        <v>539</v>
      </c>
      <c r="M10" s="36" t="s">
        <v>227</v>
      </c>
      <c r="N10" s="36" t="s">
        <v>531</v>
      </c>
      <c r="O10" s="37" t="s">
        <v>29</v>
      </c>
      <c r="P10" s="36" t="s">
        <v>96</v>
      </c>
      <c r="Q10" s="36" t="s">
        <v>576</v>
      </c>
      <c r="R10" s="38"/>
      <c r="S10" s="38"/>
      <c r="T10" s="38" t="s">
        <v>577</v>
      </c>
    </row>
    <row r="11" spans="1:20" x14ac:dyDescent="0.25">
      <c r="A11" s="35">
        <f t="shared" si="0"/>
        <v>10</v>
      </c>
      <c r="B11" s="36" t="s">
        <v>578</v>
      </c>
      <c r="C11" s="36" t="s">
        <v>478</v>
      </c>
      <c r="D11" s="36" t="s">
        <v>578</v>
      </c>
      <c r="E11" s="4" t="s">
        <v>579</v>
      </c>
      <c r="F11" s="36">
        <v>683</v>
      </c>
      <c r="G11" s="36" t="s">
        <v>509</v>
      </c>
      <c r="H11" s="36" t="s">
        <v>510</v>
      </c>
      <c r="I11" s="36" t="s">
        <v>580</v>
      </c>
      <c r="J11" s="36" t="s">
        <v>521</v>
      </c>
      <c r="K11" s="36" t="s">
        <v>522</v>
      </c>
      <c r="L11" s="36" t="s">
        <v>110</v>
      </c>
      <c r="M11" s="36" t="s">
        <v>122</v>
      </c>
      <c r="N11" s="36" t="s">
        <v>581</v>
      </c>
      <c r="O11" s="37" t="s">
        <v>29</v>
      </c>
      <c r="P11" s="36" t="s">
        <v>96</v>
      </c>
      <c r="Q11" s="36" t="s">
        <v>582</v>
      </c>
      <c r="R11" s="38"/>
      <c r="S11" s="38"/>
      <c r="T11" s="38" t="s">
        <v>583</v>
      </c>
    </row>
    <row r="12" spans="1:20" x14ac:dyDescent="0.25">
      <c r="A12" s="35">
        <f t="shared" si="0"/>
        <v>11</v>
      </c>
      <c r="B12" s="36" t="s">
        <v>584</v>
      </c>
      <c r="C12" s="36" t="s">
        <v>585</v>
      </c>
      <c r="D12" s="36" t="s">
        <v>584</v>
      </c>
      <c r="E12" s="4" t="s">
        <v>586</v>
      </c>
      <c r="F12" s="36">
        <v>1600</v>
      </c>
      <c r="G12" s="36" t="s">
        <v>553</v>
      </c>
      <c r="H12" s="36" t="s">
        <v>510</v>
      </c>
      <c r="I12" s="36" t="s">
        <v>587</v>
      </c>
      <c r="J12" s="36" t="s">
        <v>521</v>
      </c>
      <c r="K12" s="36" t="s">
        <v>522</v>
      </c>
      <c r="L12" s="36" t="s">
        <v>122</v>
      </c>
      <c r="M12" s="36" t="s">
        <v>555</v>
      </c>
      <c r="N12" s="36"/>
      <c r="O12" s="37" t="s">
        <v>29</v>
      </c>
      <c r="P12" s="36" t="s">
        <v>96</v>
      </c>
      <c r="Q12" s="36" t="s">
        <v>588</v>
      </c>
      <c r="R12" s="38"/>
      <c r="S12" s="38"/>
      <c r="T12" s="38" t="s">
        <v>589</v>
      </c>
    </row>
    <row r="13" spans="1:20" x14ac:dyDescent="0.25">
      <c r="A13" s="35">
        <f t="shared" si="0"/>
        <v>12</v>
      </c>
      <c r="B13" s="36" t="s">
        <v>590</v>
      </c>
      <c r="C13" s="36" t="s">
        <v>591</v>
      </c>
      <c r="D13" s="36" t="s">
        <v>590</v>
      </c>
      <c r="E13" s="4" t="s">
        <v>592</v>
      </c>
      <c r="F13" s="36">
        <v>427</v>
      </c>
      <c r="G13" s="36" t="s">
        <v>509</v>
      </c>
      <c r="H13" s="36" t="s">
        <v>510</v>
      </c>
      <c r="I13" s="36" t="s">
        <v>546</v>
      </c>
      <c r="J13" s="36" t="s">
        <v>521</v>
      </c>
      <c r="K13" s="36" t="s">
        <v>522</v>
      </c>
      <c r="L13" s="36" t="s">
        <v>539</v>
      </c>
      <c r="M13" s="36" t="s">
        <v>289</v>
      </c>
      <c r="N13" s="36" t="s">
        <v>531</v>
      </c>
      <c r="O13" s="37" t="s">
        <v>29</v>
      </c>
      <c r="P13" s="36" t="s">
        <v>96</v>
      </c>
      <c r="Q13" s="36" t="s">
        <v>593</v>
      </c>
      <c r="R13" s="38"/>
      <c r="S13" s="38"/>
      <c r="T13" s="38" t="s">
        <v>594</v>
      </c>
    </row>
    <row r="14" spans="1:20" x14ac:dyDescent="0.25">
      <c r="A14" s="35">
        <f t="shared" si="0"/>
        <v>13</v>
      </c>
      <c r="B14" s="36" t="s">
        <v>595</v>
      </c>
      <c r="C14" s="36" t="s">
        <v>596</v>
      </c>
      <c r="D14" s="36" t="s">
        <v>595</v>
      </c>
      <c r="E14" s="4" t="s">
        <v>597</v>
      </c>
      <c r="F14" s="36">
        <v>682</v>
      </c>
      <c r="G14" s="36" t="s">
        <v>509</v>
      </c>
      <c r="H14" s="36" t="s">
        <v>598</v>
      </c>
      <c r="I14" s="36" t="s">
        <v>599</v>
      </c>
      <c r="J14" s="36" t="s">
        <v>521</v>
      </c>
      <c r="K14" s="36" t="s">
        <v>522</v>
      </c>
      <c r="L14" s="36" t="s">
        <v>218</v>
      </c>
      <c r="M14" s="36" t="s">
        <v>600</v>
      </c>
      <c r="N14" s="36" t="s">
        <v>601</v>
      </c>
      <c r="O14" s="37" t="s">
        <v>24</v>
      </c>
      <c r="P14" s="36" t="s">
        <v>93</v>
      </c>
      <c r="Q14" s="36" t="s">
        <v>602</v>
      </c>
      <c r="R14" s="38"/>
      <c r="S14" s="38"/>
      <c r="T14" s="38" t="s">
        <v>603</v>
      </c>
    </row>
    <row r="15" spans="1:20" x14ac:dyDescent="0.25">
      <c r="A15" s="35">
        <f t="shared" si="0"/>
        <v>14</v>
      </c>
      <c r="B15" s="36" t="s">
        <v>604</v>
      </c>
      <c r="C15" s="36" t="s">
        <v>605</v>
      </c>
      <c r="D15" s="36" t="s">
        <v>604</v>
      </c>
      <c r="E15" s="4" t="s">
        <v>606</v>
      </c>
      <c r="F15" s="36">
        <v>560</v>
      </c>
      <c r="G15" s="36" t="s">
        <v>509</v>
      </c>
      <c r="H15" s="36" t="s">
        <v>510</v>
      </c>
      <c r="I15" s="36" t="s">
        <v>607</v>
      </c>
      <c r="J15" s="36" t="s">
        <v>521</v>
      </c>
      <c r="K15" s="36" t="s">
        <v>522</v>
      </c>
      <c r="L15" s="36" t="s">
        <v>608</v>
      </c>
      <c r="M15" s="36" t="s">
        <v>609</v>
      </c>
      <c r="N15" s="36" t="s">
        <v>610</v>
      </c>
      <c r="O15" s="37" t="s">
        <v>24</v>
      </c>
      <c r="P15" s="36" t="s">
        <v>95</v>
      </c>
      <c r="Q15" s="36" t="s">
        <v>611</v>
      </c>
      <c r="R15" s="38"/>
      <c r="S15" s="38"/>
      <c r="T15" s="38" t="s">
        <v>612</v>
      </c>
    </row>
    <row r="16" spans="1:20" x14ac:dyDescent="0.25">
      <c r="A16" s="35">
        <f t="shared" si="0"/>
        <v>15</v>
      </c>
      <c r="B16" s="36" t="s">
        <v>613</v>
      </c>
      <c r="C16" s="36" t="s">
        <v>457</v>
      </c>
      <c r="D16" s="36" t="s">
        <v>613</v>
      </c>
      <c r="E16" s="4" t="s">
        <v>614</v>
      </c>
      <c r="F16" s="36">
        <v>654</v>
      </c>
      <c r="G16" s="36" t="s">
        <v>509</v>
      </c>
      <c r="H16" s="36" t="s">
        <v>510</v>
      </c>
      <c r="I16" s="36" t="s">
        <v>607</v>
      </c>
      <c r="J16" s="36" t="s">
        <v>521</v>
      </c>
      <c r="K16" s="36" t="s">
        <v>522</v>
      </c>
      <c r="L16" s="36" t="s">
        <v>615</v>
      </c>
      <c r="M16" s="36" t="s">
        <v>616</v>
      </c>
      <c r="N16" s="36" t="s">
        <v>617</v>
      </c>
      <c r="O16" s="37" t="s">
        <v>24</v>
      </c>
      <c r="P16" s="36" t="s">
        <v>93</v>
      </c>
      <c r="Q16" s="36" t="s">
        <v>456</v>
      </c>
      <c r="R16" s="38"/>
      <c r="S16" s="38"/>
      <c r="T16" s="38">
        <v>8460285290</v>
      </c>
    </row>
    <row r="17" spans="1:20" x14ac:dyDescent="0.25">
      <c r="A17" s="35">
        <f t="shared" si="0"/>
        <v>16</v>
      </c>
      <c r="B17" s="36" t="s">
        <v>618</v>
      </c>
      <c r="C17" s="36" t="s">
        <v>454</v>
      </c>
      <c r="D17" s="36" t="s">
        <v>618</v>
      </c>
      <c r="E17" s="4" t="s">
        <v>57</v>
      </c>
      <c r="F17" s="36">
        <v>669</v>
      </c>
      <c r="G17" s="36" t="s">
        <v>509</v>
      </c>
      <c r="H17" s="36" t="s">
        <v>510</v>
      </c>
      <c r="I17" s="36" t="s">
        <v>619</v>
      </c>
      <c r="J17" s="36" t="s">
        <v>512</v>
      </c>
      <c r="K17" s="36" t="s">
        <v>538</v>
      </c>
      <c r="L17" s="36" t="s">
        <v>218</v>
      </c>
      <c r="M17" s="36" t="s">
        <v>620</v>
      </c>
      <c r="N17" s="36" t="s">
        <v>134</v>
      </c>
      <c r="O17" s="37" t="s">
        <v>24</v>
      </c>
      <c r="P17" s="36" t="s">
        <v>93</v>
      </c>
      <c r="Q17" s="36" t="s">
        <v>453</v>
      </c>
      <c r="R17" s="38"/>
      <c r="S17" s="38"/>
      <c r="T17" s="38" t="s">
        <v>621</v>
      </c>
    </row>
    <row r="18" spans="1:20" x14ac:dyDescent="0.25">
      <c r="A18" s="35">
        <f t="shared" si="0"/>
        <v>17</v>
      </c>
      <c r="B18" s="36" t="s">
        <v>622</v>
      </c>
      <c r="C18" s="36" t="s">
        <v>623</v>
      </c>
      <c r="D18" s="36" t="s">
        <v>622</v>
      </c>
      <c r="E18" s="4" t="s">
        <v>624</v>
      </c>
      <c r="F18" s="36" t="s">
        <v>502</v>
      </c>
      <c r="G18" s="36" t="s">
        <v>502</v>
      </c>
      <c r="H18" s="36" t="s">
        <v>510</v>
      </c>
      <c r="I18" s="36"/>
      <c r="J18" s="36" t="s">
        <v>502</v>
      </c>
      <c r="K18" s="36" t="s">
        <v>625</v>
      </c>
      <c r="L18" s="36" t="s">
        <v>626</v>
      </c>
      <c r="M18" s="36" t="s">
        <v>531</v>
      </c>
      <c r="N18" s="36" t="s">
        <v>531</v>
      </c>
      <c r="O18" s="37" t="s">
        <v>24</v>
      </c>
      <c r="P18" s="36" t="s">
        <v>95</v>
      </c>
      <c r="Q18" s="36" t="s">
        <v>627</v>
      </c>
      <c r="R18" s="38"/>
      <c r="S18" s="38"/>
      <c r="T18" s="38" t="s">
        <v>628</v>
      </c>
    </row>
    <row r="19" spans="1:20" x14ac:dyDescent="0.25">
      <c r="A19" s="35">
        <f t="shared" si="0"/>
        <v>18</v>
      </c>
      <c r="B19" s="36" t="s">
        <v>629</v>
      </c>
      <c r="C19" s="36" t="s">
        <v>630</v>
      </c>
      <c r="D19" s="36" t="s">
        <v>629</v>
      </c>
      <c r="E19" s="4" t="s">
        <v>631</v>
      </c>
      <c r="F19" s="36" t="s">
        <v>574</v>
      </c>
      <c r="G19" s="36" t="s">
        <v>632</v>
      </c>
      <c r="H19" s="36" t="s">
        <v>510</v>
      </c>
      <c r="I19" s="36" t="s">
        <v>633</v>
      </c>
      <c r="J19" s="36" t="s">
        <v>512</v>
      </c>
      <c r="K19" s="36" t="s">
        <v>575</v>
      </c>
      <c r="L19" s="36" t="s">
        <v>626</v>
      </c>
      <c r="M19" s="36" t="s">
        <v>531</v>
      </c>
      <c r="N19" s="36" t="s">
        <v>531</v>
      </c>
      <c r="O19" s="37" t="s">
        <v>24</v>
      </c>
      <c r="P19" s="36" t="s">
        <v>95</v>
      </c>
      <c r="Q19" s="36" t="s">
        <v>634</v>
      </c>
      <c r="R19" s="38"/>
      <c r="S19" s="38"/>
      <c r="T19" s="38" t="s">
        <v>635</v>
      </c>
    </row>
    <row r="20" spans="1:20" x14ac:dyDescent="0.25">
      <c r="A20" s="35">
        <f t="shared" si="0"/>
        <v>19</v>
      </c>
      <c r="B20" s="36" t="s">
        <v>636</v>
      </c>
      <c r="C20" s="36" t="s">
        <v>637</v>
      </c>
      <c r="D20" s="36" t="s">
        <v>636</v>
      </c>
      <c r="E20" s="4" t="s">
        <v>638</v>
      </c>
      <c r="F20" s="36" t="s">
        <v>574</v>
      </c>
      <c r="G20" s="36" t="s">
        <v>509</v>
      </c>
      <c r="H20" s="36" t="s">
        <v>510</v>
      </c>
      <c r="I20" s="36" t="s">
        <v>639</v>
      </c>
      <c r="J20" s="36" t="s">
        <v>521</v>
      </c>
      <c r="K20" s="36" t="s">
        <v>575</v>
      </c>
      <c r="L20" s="36" t="s">
        <v>120</v>
      </c>
      <c r="M20" s="36" t="s">
        <v>531</v>
      </c>
      <c r="N20" s="36" t="s">
        <v>531</v>
      </c>
      <c r="O20" s="37" t="s">
        <v>24</v>
      </c>
      <c r="P20" s="36" t="s">
        <v>95</v>
      </c>
      <c r="Q20" s="36" t="s">
        <v>640</v>
      </c>
      <c r="R20" s="38"/>
      <c r="S20" s="38"/>
      <c r="T20" s="38" t="s">
        <v>641</v>
      </c>
    </row>
    <row r="21" spans="1:20" x14ac:dyDescent="0.25">
      <c r="A21" s="35">
        <f t="shared" si="0"/>
        <v>20</v>
      </c>
      <c r="B21" s="36" t="s">
        <v>642</v>
      </c>
      <c r="C21" s="36" t="s">
        <v>643</v>
      </c>
      <c r="D21" s="36" t="s">
        <v>642</v>
      </c>
      <c r="E21" s="4" t="s">
        <v>644</v>
      </c>
      <c r="F21" s="36">
        <v>1417</v>
      </c>
      <c r="G21" s="36" t="s">
        <v>553</v>
      </c>
      <c r="H21" s="36" t="s">
        <v>510</v>
      </c>
      <c r="I21" s="36" t="s">
        <v>645</v>
      </c>
      <c r="J21" s="36" t="s">
        <v>512</v>
      </c>
      <c r="K21" s="36" t="s">
        <v>625</v>
      </c>
      <c r="L21" s="36" t="s">
        <v>646</v>
      </c>
      <c r="M21" s="36" t="s">
        <v>531</v>
      </c>
      <c r="N21" s="36" t="s">
        <v>531</v>
      </c>
      <c r="O21" s="37" t="s">
        <v>24</v>
      </c>
      <c r="P21" s="36" t="s">
        <v>93</v>
      </c>
      <c r="Q21" s="36" t="s">
        <v>647</v>
      </c>
      <c r="R21" s="38"/>
      <c r="S21" s="38"/>
      <c r="T21" s="38">
        <v>9375439960</v>
      </c>
    </row>
    <row r="22" spans="1:20" x14ac:dyDescent="0.25">
      <c r="A22" s="35">
        <f t="shared" si="0"/>
        <v>21</v>
      </c>
      <c r="B22" s="36" t="s">
        <v>648</v>
      </c>
      <c r="C22" s="36" t="s">
        <v>649</v>
      </c>
      <c r="D22" s="36" t="s">
        <v>648</v>
      </c>
      <c r="E22" s="4" t="s">
        <v>650</v>
      </c>
      <c r="F22" s="36" t="s">
        <v>574</v>
      </c>
      <c r="G22" s="36" t="s">
        <v>632</v>
      </c>
      <c r="H22" s="36" t="s">
        <v>510</v>
      </c>
      <c r="I22" s="36" t="s">
        <v>651</v>
      </c>
      <c r="J22" s="36" t="s">
        <v>521</v>
      </c>
      <c r="K22" s="36" t="s">
        <v>531</v>
      </c>
      <c r="L22" s="36" t="s">
        <v>626</v>
      </c>
      <c r="M22" s="36" t="s">
        <v>531</v>
      </c>
      <c r="N22" s="36" t="s">
        <v>531</v>
      </c>
      <c r="O22" s="37" t="s">
        <v>24</v>
      </c>
      <c r="P22" s="36" t="s">
        <v>95</v>
      </c>
      <c r="Q22" s="36" t="s">
        <v>652</v>
      </c>
      <c r="R22" s="38"/>
      <c r="S22" s="38"/>
      <c r="T22" s="38" t="s">
        <v>653</v>
      </c>
    </row>
    <row r="23" spans="1:20" x14ac:dyDescent="0.25">
      <c r="A23" s="35">
        <f t="shared" si="0"/>
        <v>22</v>
      </c>
      <c r="B23" s="36" t="s">
        <v>654</v>
      </c>
      <c r="C23" s="36" t="s">
        <v>130</v>
      </c>
      <c r="D23" s="36" t="s">
        <v>654</v>
      </c>
      <c r="E23" s="4" t="s">
        <v>655</v>
      </c>
      <c r="F23" s="36">
        <v>1919</v>
      </c>
      <c r="G23" s="36" t="s">
        <v>553</v>
      </c>
      <c r="H23" s="36" t="s">
        <v>510</v>
      </c>
      <c r="I23" s="36" t="s">
        <v>656</v>
      </c>
      <c r="J23" s="36" t="s">
        <v>521</v>
      </c>
      <c r="K23" s="36" t="s">
        <v>522</v>
      </c>
      <c r="L23" s="36" t="s">
        <v>657</v>
      </c>
      <c r="M23" s="36"/>
      <c r="N23" s="36" t="s">
        <v>531</v>
      </c>
      <c r="O23" s="37" t="s">
        <v>24</v>
      </c>
      <c r="P23" s="36" t="s">
        <v>95</v>
      </c>
      <c r="Q23" s="36" t="s">
        <v>137</v>
      </c>
      <c r="R23" s="38"/>
      <c r="S23" s="38"/>
      <c r="T23" s="38" t="s">
        <v>658</v>
      </c>
    </row>
    <row r="24" spans="1:20" x14ac:dyDescent="0.25">
      <c r="A24" s="35">
        <f t="shared" si="0"/>
        <v>23</v>
      </c>
      <c r="B24" s="36" t="s">
        <v>659</v>
      </c>
      <c r="C24" s="36" t="s">
        <v>660</v>
      </c>
      <c r="D24" s="36" t="s">
        <v>659</v>
      </c>
      <c r="E24" s="4" t="s">
        <v>661</v>
      </c>
      <c r="F24" s="36">
        <v>767</v>
      </c>
      <c r="G24" s="36" t="s">
        <v>509</v>
      </c>
      <c r="H24" s="36" t="s">
        <v>510</v>
      </c>
      <c r="I24" s="36" t="s">
        <v>662</v>
      </c>
      <c r="J24" s="36" t="s">
        <v>521</v>
      </c>
      <c r="K24" s="36" t="s">
        <v>522</v>
      </c>
      <c r="L24" s="36" t="s">
        <v>102</v>
      </c>
      <c r="M24" s="36" t="s">
        <v>663</v>
      </c>
      <c r="N24" s="36" t="s">
        <v>287</v>
      </c>
      <c r="O24" s="37" t="s">
        <v>24</v>
      </c>
      <c r="P24" s="36" t="s">
        <v>95</v>
      </c>
      <c r="Q24" s="36" t="s">
        <v>664</v>
      </c>
      <c r="R24" s="38"/>
      <c r="S24" s="38"/>
      <c r="T24" s="38" t="s">
        <v>665</v>
      </c>
    </row>
    <row r="25" spans="1:20" x14ac:dyDescent="0.25">
      <c r="A25" s="35">
        <f t="shared" si="0"/>
        <v>24</v>
      </c>
      <c r="B25" s="36" t="s">
        <v>666</v>
      </c>
      <c r="C25" s="36" t="s">
        <v>464</v>
      </c>
      <c r="D25" s="36" t="s">
        <v>666</v>
      </c>
      <c r="E25" s="4" t="s">
        <v>667</v>
      </c>
      <c r="F25" s="36">
        <v>661</v>
      </c>
      <c r="G25" s="36" t="s">
        <v>509</v>
      </c>
      <c r="H25" s="36" t="s">
        <v>510</v>
      </c>
      <c r="I25" s="36" t="s">
        <v>668</v>
      </c>
      <c r="J25" s="36" t="s">
        <v>521</v>
      </c>
      <c r="K25" s="36" t="s">
        <v>522</v>
      </c>
      <c r="L25" s="36" t="s">
        <v>102</v>
      </c>
      <c r="M25" s="36" t="s">
        <v>120</v>
      </c>
      <c r="N25" s="36" t="s">
        <v>669</v>
      </c>
      <c r="O25" s="37" t="s">
        <v>24</v>
      </c>
      <c r="P25" s="36" t="s">
        <v>95</v>
      </c>
      <c r="Q25" s="36" t="s">
        <v>463</v>
      </c>
      <c r="R25" s="38"/>
      <c r="S25" s="38"/>
      <c r="T25" s="38" t="s">
        <v>670</v>
      </c>
    </row>
    <row r="26" spans="1:20" x14ac:dyDescent="0.25">
      <c r="A26" s="35">
        <f t="shared" si="0"/>
        <v>25</v>
      </c>
      <c r="B26" s="36" t="s">
        <v>671</v>
      </c>
      <c r="C26" s="36" t="s">
        <v>672</v>
      </c>
      <c r="D26" s="36" t="s">
        <v>671</v>
      </c>
      <c r="E26" s="4" t="s">
        <v>673</v>
      </c>
      <c r="F26" s="36">
        <v>437</v>
      </c>
      <c r="G26" s="36" t="s">
        <v>509</v>
      </c>
      <c r="H26" s="36" t="s">
        <v>510</v>
      </c>
      <c r="I26" s="36" t="s">
        <v>668</v>
      </c>
      <c r="J26" s="36" t="s">
        <v>521</v>
      </c>
      <c r="K26" s="36" t="s">
        <v>522</v>
      </c>
      <c r="L26" s="36" t="s">
        <v>102</v>
      </c>
      <c r="M26" s="36" t="s">
        <v>120</v>
      </c>
      <c r="N26" s="36" t="s">
        <v>669</v>
      </c>
      <c r="O26" s="37" t="s">
        <v>24</v>
      </c>
      <c r="P26" s="36" t="s">
        <v>95</v>
      </c>
      <c r="Q26" s="36" t="s">
        <v>674</v>
      </c>
      <c r="R26" s="38"/>
      <c r="S26" s="38"/>
      <c r="T26" s="38" t="s">
        <v>675</v>
      </c>
    </row>
    <row r="27" spans="1:20" x14ac:dyDescent="0.25">
      <c r="A27" s="35">
        <f t="shared" si="0"/>
        <v>26</v>
      </c>
      <c r="B27" s="36" t="s">
        <v>676</v>
      </c>
      <c r="C27" s="36" t="s">
        <v>677</v>
      </c>
      <c r="D27" s="36" t="s">
        <v>676</v>
      </c>
      <c r="E27" s="4" t="s">
        <v>678</v>
      </c>
      <c r="F27" s="36">
        <v>1497</v>
      </c>
      <c r="G27" s="36" t="s">
        <v>553</v>
      </c>
      <c r="H27" s="36" t="s">
        <v>510</v>
      </c>
      <c r="I27" s="36" t="s">
        <v>679</v>
      </c>
      <c r="J27" s="36" t="s">
        <v>521</v>
      </c>
      <c r="K27" s="36" t="s">
        <v>522</v>
      </c>
      <c r="L27" s="36" t="s">
        <v>680</v>
      </c>
      <c r="M27" s="36"/>
      <c r="N27" s="36"/>
      <c r="O27" s="37" t="s">
        <v>24</v>
      </c>
      <c r="P27" s="36" t="s">
        <v>93</v>
      </c>
      <c r="Q27" s="36" t="s">
        <v>487</v>
      </c>
      <c r="R27" s="38"/>
      <c r="S27" s="38"/>
      <c r="T27" s="38" t="s">
        <v>681</v>
      </c>
    </row>
    <row r="28" spans="1:20" x14ac:dyDescent="0.25">
      <c r="A28" s="35">
        <f t="shared" si="0"/>
        <v>27</v>
      </c>
      <c r="B28" s="36" t="s">
        <v>682</v>
      </c>
      <c r="C28" s="36" t="s">
        <v>111</v>
      </c>
      <c r="D28" s="36" t="s">
        <v>682</v>
      </c>
      <c r="E28" s="4" t="s">
        <v>683</v>
      </c>
      <c r="F28" s="36">
        <v>1948</v>
      </c>
      <c r="G28" s="36" t="s">
        <v>553</v>
      </c>
      <c r="H28" s="36" t="s">
        <v>510</v>
      </c>
      <c r="I28" s="36" t="s">
        <v>684</v>
      </c>
      <c r="J28" s="36" t="s">
        <v>521</v>
      </c>
      <c r="K28" s="36" t="s">
        <v>522</v>
      </c>
      <c r="L28" s="36" t="s">
        <v>680</v>
      </c>
      <c r="M28" s="36" t="s">
        <v>685</v>
      </c>
      <c r="N28" s="36" t="s">
        <v>685</v>
      </c>
      <c r="O28" s="37" t="s">
        <v>24</v>
      </c>
      <c r="P28" s="36" t="s">
        <v>95</v>
      </c>
      <c r="Q28" s="36" t="s">
        <v>142</v>
      </c>
      <c r="R28" s="38"/>
      <c r="S28" s="38"/>
      <c r="T28" s="38" t="s">
        <v>686</v>
      </c>
    </row>
    <row r="29" spans="1:20" x14ac:dyDescent="0.25">
      <c r="A29" s="35">
        <f t="shared" si="0"/>
        <v>28</v>
      </c>
      <c r="B29" s="36" t="s">
        <v>687</v>
      </c>
      <c r="C29" s="36" t="s">
        <v>688</v>
      </c>
      <c r="D29" s="36" t="s">
        <v>687</v>
      </c>
      <c r="E29" s="4" t="s">
        <v>689</v>
      </c>
      <c r="F29" s="36">
        <v>3787</v>
      </c>
      <c r="G29" s="36" t="s">
        <v>632</v>
      </c>
      <c r="H29" s="36" t="s">
        <v>510</v>
      </c>
      <c r="I29" s="36" t="s">
        <v>690</v>
      </c>
      <c r="J29" s="36" t="s">
        <v>512</v>
      </c>
      <c r="K29" s="36" t="s">
        <v>575</v>
      </c>
      <c r="L29" s="36" t="s">
        <v>685</v>
      </c>
      <c r="M29" s="36" t="s">
        <v>531</v>
      </c>
      <c r="N29" s="36" t="s">
        <v>531</v>
      </c>
      <c r="O29" s="37" t="s">
        <v>24</v>
      </c>
      <c r="P29" s="36" t="s">
        <v>95</v>
      </c>
      <c r="Q29" s="36" t="s">
        <v>691</v>
      </c>
      <c r="R29" s="38"/>
      <c r="S29" s="38"/>
      <c r="T29" s="38" t="s">
        <v>692</v>
      </c>
    </row>
    <row r="30" spans="1:20" x14ac:dyDescent="0.25">
      <c r="A30" s="35">
        <f t="shared" si="0"/>
        <v>29</v>
      </c>
      <c r="B30" s="36" t="s">
        <v>693</v>
      </c>
      <c r="C30" s="36" t="s">
        <v>467</v>
      </c>
      <c r="D30" s="36" t="s">
        <v>693</v>
      </c>
      <c r="E30" s="4" t="s">
        <v>694</v>
      </c>
      <c r="F30" s="36">
        <v>795</v>
      </c>
      <c r="G30" s="36" t="s">
        <v>509</v>
      </c>
      <c r="H30" s="36" t="s">
        <v>510</v>
      </c>
      <c r="I30" s="36" t="s">
        <v>695</v>
      </c>
      <c r="J30" s="36" t="s">
        <v>521</v>
      </c>
      <c r="K30" s="36" t="s">
        <v>522</v>
      </c>
      <c r="L30" s="36" t="s">
        <v>120</v>
      </c>
      <c r="M30" s="36" t="s">
        <v>134</v>
      </c>
      <c r="N30" s="36" t="s">
        <v>696</v>
      </c>
      <c r="O30" s="37" t="s">
        <v>24</v>
      </c>
      <c r="P30" s="36" t="s">
        <v>95</v>
      </c>
      <c r="Q30" s="36" t="s">
        <v>466</v>
      </c>
      <c r="R30" s="38"/>
      <c r="S30" s="38"/>
      <c r="T30" s="38" t="s">
        <v>697</v>
      </c>
    </row>
    <row r="31" spans="1:20" x14ac:dyDescent="0.25">
      <c r="A31" s="35">
        <f t="shared" si="0"/>
        <v>30</v>
      </c>
      <c r="B31" s="36" t="s">
        <v>698</v>
      </c>
      <c r="C31" s="36" t="s">
        <v>479</v>
      </c>
      <c r="D31" s="36" t="s">
        <v>698</v>
      </c>
      <c r="E31" s="4" t="s">
        <v>699</v>
      </c>
      <c r="F31" s="36">
        <v>795</v>
      </c>
      <c r="G31" s="36" t="s">
        <v>509</v>
      </c>
      <c r="H31" s="36" t="s">
        <v>510</v>
      </c>
      <c r="I31" s="36" t="s">
        <v>700</v>
      </c>
      <c r="J31" s="36" t="s">
        <v>521</v>
      </c>
      <c r="K31" s="36" t="s">
        <v>522</v>
      </c>
      <c r="L31" s="36" t="s">
        <v>120</v>
      </c>
      <c r="M31" s="36" t="s">
        <v>134</v>
      </c>
      <c r="N31" s="36" t="s">
        <v>171</v>
      </c>
      <c r="O31" s="37" t="s">
        <v>24</v>
      </c>
      <c r="P31" s="36" t="s">
        <v>95</v>
      </c>
      <c r="Q31" s="36" t="s">
        <v>481</v>
      </c>
      <c r="R31" s="38"/>
      <c r="S31" s="38"/>
      <c r="T31" s="38" t="s">
        <v>701</v>
      </c>
    </row>
    <row r="32" spans="1:20" x14ac:dyDescent="0.25">
      <c r="A32" s="35">
        <f t="shared" si="0"/>
        <v>31</v>
      </c>
      <c r="B32" s="36" t="s">
        <v>702</v>
      </c>
      <c r="C32" s="36" t="s">
        <v>473</v>
      </c>
      <c r="D32" s="36" t="s">
        <v>702</v>
      </c>
      <c r="E32" s="4" t="s">
        <v>703</v>
      </c>
      <c r="F32" s="36">
        <v>302</v>
      </c>
      <c r="G32" s="36" t="s">
        <v>704</v>
      </c>
      <c r="H32" s="36" t="s">
        <v>510</v>
      </c>
      <c r="I32" s="36" t="s">
        <v>705</v>
      </c>
      <c r="J32" s="36" t="s">
        <v>521</v>
      </c>
      <c r="K32" s="36" t="s">
        <v>575</v>
      </c>
      <c r="L32" s="36" t="s">
        <v>238</v>
      </c>
      <c r="M32" s="36" t="s">
        <v>120</v>
      </c>
      <c r="N32" s="36" t="s">
        <v>319</v>
      </c>
      <c r="O32" s="37" t="s">
        <v>24</v>
      </c>
      <c r="P32" s="36" t="s">
        <v>95</v>
      </c>
      <c r="Q32" s="36" t="s">
        <v>706</v>
      </c>
      <c r="R32" s="38"/>
      <c r="S32" s="38"/>
      <c r="T32" s="38" t="s">
        <v>707</v>
      </c>
    </row>
    <row r="33" spans="1:20" x14ac:dyDescent="0.25">
      <c r="A33" s="35">
        <f t="shared" si="0"/>
        <v>32</v>
      </c>
      <c r="B33" s="36" t="s">
        <v>708</v>
      </c>
      <c r="C33" s="36" t="s">
        <v>709</v>
      </c>
      <c r="D33" s="36" t="s">
        <v>708</v>
      </c>
      <c r="E33" s="4" t="s">
        <v>710</v>
      </c>
      <c r="F33" s="36" t="s">
        <v>574</v>
      </c>
      <c r="G33" s="36" t="s">
        <v>704</v>
      </c>
      <c r="H33" s="36" t="s">
        <v>510</v>
      </c>
      <c r="I33" s="36" t="s">
        <v>705</v>
      </c>
      <c r="J33" s="36" t="s">
        <v>521</v>
      </c>
      <c r="K33" s="36" t="s">
        <v>575</v>
      </c>
      <c r="L33" s="36" t="s">
        <v>711</v>
      </c>
      <c r="M33" s="36" t="s">
        <v>712</v>
      </c>
      <c r="N33" s="36" t="s">
        <v>171</v>
      </c>
      <c r="O33" s="37" t="s">
        <v>24</v>
      </c>
      <c r="P33" s="36" t="s">
        <v>95</v>
      </c>
      <c r="Q33" s="36" t="s">
        <v>713</v>
      </c>
      <c r="R33" s="38"/>
      <c r="S33" s="38"/>
      <c r="T33" s="38" t="s">
        <v>714</v>
      </c>
    </row>
    <row r="34" spans="1:20" x14ac:dyDescent="0.25">
      <c r="A34" s="35">
        <f t="shared" si="0"/>
        <v>33</v>
      </c>
      <c r="B34" s="36" t="s">
        <v>715</v>
      </c>
      <c r="C34" s="36" t="s">
        <v>462</v>
      </c>
      <c r="D34" s="36" t="s">
        <v>715</v>
      </c>
      <c r="E34" s="4" t="s">
        <v>716</v>
      </c>
      <c r="F34" s="36">
        <v>1104</v>
      </c>
      <c r="G34" s="36" t="s">
        <v>704</v>
      </c>
      <c r="H34" s="36" t="s">
        <v>510</v>
      </c>
      <c r="I34" s="36" t="s">
        <v>705</v>
      </c>
      <c r="J34" s="36" t="s">
        <v>521</v>
      </c>
      <c r="K34" s="36" t="s">
        <v>575</v>
      </c>
      <c r="L34" s="36" t="s">
        <v>717</v>
      </c>
      <c r="M34" s="36" t="s">
        <v>243</v>
      </c>
      <c r="N34" s="36" t="s">
        <v>718</v>
      </c>
      <c r="O34" s="37" t="s">
        <v>24</v>
      </c>
      <c r="P34" s="36" t="s">
        <v>95</v>
      </c>
      <c r="Q34" s="36" t="s">
        <v>461</v>
      </c>
      <c r="R34" s="38"/>
      <c r="S34" s="38"/>
      <c r="T34" s="38" t="s">
        <v>719</v>
      </c>
    </row>
    <row r="35" spans="1:20" x14ac:dyDescent="0.25">
      <c r="A35" s="35">
        <f t="shared" si="0"/>
        <v>34</v>
      </c>
      <c r="B35" s="36" t="s">
        <v>720</v>
      </c>
      <c r="C35" s="36" t="s">
        <v>721</v>
      </c>
      <c r="D35" s="36" t="s">
        <v>720</v>
      </c>
      <c r="E35" s="4" t="s">
        <v>722</v>
      </c>
      <c r="F35" s="36">
        <v>994</v>
      </c>
      <c r="G35" s="36" t="s">
        <v>509</v>
      </c>
      <c r="H35" s="36" t="s">
        <v>510</v>
      </c>
      <c r="I35" s="36" t="s">
        <v>723</v>
      </c>
      <c r="J35" s="36" t="s">
        <v>521</v>
      </c>
      <c r="K35" s="36" t="s">
        <v>538</v>
      </c>
      <c r="L35" s="36" t="s">
        <v>238</v>
      </c>
      <c r="M35" s="36" t="s">
        <v>724</v>
      </c>
      <c r="N35" s="36" t="s">
        <v>725</v>
      </c>
      <c r="O35" s="37" t="s">
        <v>24</v>
      </c>
      <c r="P35" s="36" t="s">
        <v>95</v>
      </c>
      <c r="Q35" s="36" t="s">
        <v>726</v>
      </c>
      <c r="R35" s="38"/>
      <c r="S35" s="38"/>
      <c r="T35" s="38" t="s">
        <v>727</v>
      </c>
    </row>
    <row r="36" spans="1:20" x14ac:dyDescent="0.25">
      <c r="A36" s="35">
        <f t="shared" si="0"/>
        <v>35</v>
      </c>
      <c r="B36" s="36" t="s">
        <v>728</v>
      </c>
      <c r="C36" s="36" t="s">
        <v>729</v>
      </c>
      <c r="D36" s="36" t="s">
        <v>728</v>
      </c>
      <c r="E36" s="4" t="s">
        <v>730</v>
      </c>
      <c r="F36" s="36">
        <v>1390</v>
      </c>
      <c r="G36" s="36" t="s">
        <v>553</v>
      </c>
      <c r="H36" s="36" t="s">
        <v>510</v>
      </c>
      <c r="I36" s="36" t="s">
        <v>731</v>
      </c>
      <c r="J36" s="36" t="s">
        <v>512</v>
      </c>
      <c r="K36" s="36" t="s">
        <v>538</v>
      </c>
      <c r="L36" s="36" t="s">
        <v>732</v>
      </c>
      <c r="M36" s="36"/>
      <c r="N36" s="36"/>
      <c r="O36" s="37" t="s">
        <v>24</v>
      </c>
      <c r="P36" s="36" t="s">
        <v>93</v>
      </c>
      <c r="Q36" s="36" t="s">
        <v>733</v>
      </c>
      <c r="R36" s="38"/>
      <c r="S36" s="38"/>
      <c r="T36" s="38" t="s">
        <v>734</v>
      </c>
    </row>
    <row r="37" spans="1:20" x14ac:dyDescent="0.25">
      <c r="A37" s="35">
        <f t="shared" si="0"/>
        <v>36</v>
      </c>
      <c r="B37" s="36" t="s">
        <v>735</v>
      </c>
      <c r="C37" s="36" t="s">
        <v>736</v>
      </c>
      <c r="D37" s="36" t="s">
        <v>735</v>
      </c>
      <c r="E37" s="4" t="s">
        <v>737</v>
      </c>
      <c r="F37" s="36">
        <v>781</v>
      </c>
      <c r="G37" s="36" t="s">
        <v>509</v>
      </c>
      <c r="H37" s="36" t="s">
        <v>510</v>
      </c>
      <c r="I37" s="36" t="s">
        <v>738</v>
      </c>
      <c r="J37" s="36" t="s">
        <v>521</v>
      </c>
      <c r="K37" s="36" t="s">
        <v>522</v>
      </c>
      <c r="L37" s="36" t="s">
        <v>739</v>
      </c>
      <c r="M37" s="36" t="s">
        <v>740</v>
      </c>
      <c r="N37" s="36" t="s">
        <v>741</v>
      </c>
      <c r="O37" s="37" t="s">
        <v>24</v>
      </c>
      <c r="P37" s="36" t="s">
        <v>95</v>
      </c>
      <c r="Q37" s="36" t="s">
        <v>742</v>
      </c>
      <c r="R37" s="38"/>
      <c r="S37" s="38"/>
      <c r="T37" s="38">
        <v>9328888983</v>
      </c>
    </row>
    <row r="38" spans="1:20" x14ac:dyDescent="0.25">
      <c r="A38" s="35">
        <f t="shared" si="0"/>
        <v>37</v>
      </c>
      <c r="B38" s="36" t="s">
        <v>743</v>
      </c>
      <c r="C38" s="36" t="s">
        <v>744</v>
      </c>
      <c r="D38" s="36" t="s">
        <v>743</v>
      </c>
      <c r="E38" s="4" t="s">
        <v>745</v>
      </c>
      <c r="F38" s="36">
        <v>606</v>
      </c>
      <c r="G38" s="36" t="s">
        <v>509</v>
      </c>
      <c r="H38" s="36" t="s">
        <v>510</v>
      </c>
      <c r="I38" s="36" t="s">
        <v>746</v>
      </c>
      <c r="J38" s="36" t="s">
        <v>512</v>
      </c>
      <c r="K38" s="36" t="s">
        <v>538</v>
      </c>
      <c r="L38" s="36" t="s">
        <v>747</v>
      </c>
      <c r="M38" s="36" t="s">
        <v>748</v>
      </c>
      <c r="N38" s="36" t="s">
        <v>749</v>
      </c>
      <c r="O38" s="37" t="s">
        <v>24</v>
      </c>
      <c r="P38" s="36" t="s">
        <v>93</v>
      </c>
      <c r="Q38" s="36" t="s">
        <v>750</v>
      </c>
      <c r="R38" s="38"/>
      <c r="S38" s="38"/>
      <c r="T38" s="38" t="s">
        <v>751</v>
      </c>
    </row>
    <row r="39" spans="1:20" x14ac:dyDescent="0.25">
      <c r="A39" s="35">
        <f t="shared" si="0"/>
        <v>38</v>
      </c>
      <c r="B39" s="36" t="s">
        <v>752</v>
      </c>
      <c r="C39" s="36" t="s">
        <v>485</v>
      </c>
      <c r="D39" s="36" t="s">
        <v>752</v>
      </c>
      <c r="E39" s="4" t="s">
        <v>753</v>
      </c>
      <c r="F39" s="36">
        <v>739</v>
      </c>
      <c r="G39" s="36" t="s">
        <v>509</v>
      </c>
      <c r="H39" s="36" t="s">
        <v>510</v>
      </c>
      <c r="I39" s="36" t="s">
        <v>754</v>
      </c>
      <c r="J39" s="36" t="s">
        <v>521</v>
      </c>
      <c r="K39" s="36" t="s">
        <v>538</v>
      </c>
      <c r="L39" s="36" t="s">
        <v>755</v>
      </c>
      <c r="M39" s="36" t="s">
        <v>756</v>
      </c>
      <c r="N39" s="36" t="s">
        <v>757</v>
      </c>
      <c r="O39" s="37" t="s">
        <v>24</v>
      </c>
      <c r="P39" s="36" t="s">
        <v>95</v>
      </c>
      <c r="Q39" s="36" t="s">
        <v>484</v>
      </c>
      <c r="R39" s="38"/>
      <c r="S39" s="38"/>
      <c r="T39" s="38" t="s">
        <v>758</v>
      </c>
    </row>
    <row r="40" spans="1:20" x14ac:dyDescent="0.25">
      <c r="A40" s="35">
        <f t="shared" si="0"/>
        <v>39</v>
      </c>
      <c r="B40" s="36" t="s">
        <v>759</v>
      </c>
      <c r="C40" s="36" t="s">
        <v>760</v>
      </c>
      <c r="D40" s="36" t="s">
        <v>759</v>
      </c>
      <c r="E40" s="4" t="s">
        <v>761</v>
      </c>
      <c r="F40" s="36">
        <v>750</v>
      </c>
      <c r="G40" s="36" t="s">
        <v>762</v>
      </c>
      <c r="H40" s="36" t="s">
        <v>598</v>
      </c>
      <c r="I40" s="36" t="s">
        <v>763</v>
      </c>
      <c r="J40" s="36" t="s">
        <v>512</v>
      </c>
      <c r="K40" s="36" t="s">
        <v>57</v>
      </c>
      <c r="L40" s="36" t="s">
        <v>764</v>
      </c>
      <c r="M40" s="36" t="s">
        <v>158</v>
      </c>
      <c r="N40" s="36" t="s">
        <v>765</v>
      </c>
      <c r="O40" s="37" t="s">
        <v>29</v>
      </c>
      <c r="P40" s="36" t="s">
        <v>96</v>
      </c>
      <c r="Q40" s="36" t="s">
        <v>766</v>
      </c>
      <c r="R40" s="38"/>
      <c r="S40" s="38"/>
      <c r="T40" s="38" t="s">
        <v>767</v>
      </c>
    </row>
    <row r="41" spans="1:20" x14ac:dyDescent="0.25">
      <c r="A41" s="35">
        <f t="shared" si="0"/>
        <v>40</v>
      </c>
      <c r="B41" s="36" t="s">
        <v>768</v>
      </c>
      <c r="C41" s="36" t="s">
        <v>769</v>
      </c>
      <c r="D41" s="36" t="s">
        <v>768</v>
      </c>
      <c r="E41" s="4" t="s">
        <v>770</v>
      </c>
      <c r="F41" s="36">
        <v>1200</v>
      </c>
      <c r="G41" s="36" t="s">
        <v>771</v>
      </c>
      <c r="H41" s="36" t="s">
        <v>510</v>
      </c>
      <c r="I41" s="36" t="s">
        <v>772</v>
      </c>
      <c r="J41" s="36" t="s">
        <v>521</v>
      </c>
      <c r="K41" s="36" t="s">
        <v>522</v>
      </c>
      <c r="L41" s="36" t="s">
        <v>107</v>
      </c>
      <c r="M41" s="36" t="s">
        <v>118</v>
      </c>
      <c r="N41" s="36" t="s">
        <v>149</v>
      </c>
      <c r="O41" s="37" t="s">
        <v>29</v>
      </c>
      <c r="P41" s="36" t="s">
        <v>96</v>
      </c>
      <c r="Q41" s="36" t="s">
        <v>773</v>
      </c>
      <c r="R41" s="38"/>
      <c r="S41" s="38"/>
      <c r="T41" s="38" t="s">
        <v>774</v>
      </c>
    </row>
    <row r="42" spans="1:20" x14ac:dyDescent="0.25">
      <c r="A42" s="35">
        <f t="shared" si="0"/>
        <v>41</v>
      </c>
      <c r="B42" s="36" t="s">
        <v>775</v>
      </c>
      <c r="C42" s="36" t="s">
        <v>776</v>
      </c>
      <c r="D42" s="36" t="s">
        <v>775</v>
      </c>
      <c r="E42" s="4" t="s">
        <v>777</v>
      </c>
      <c r="F42" s="36" t="s">
        <v>574</v>
      </c>
      <c r="G42" s="36" t="s">
        <v>762</v>
      </c>
      <c r="H42" s="36" t="s">
        <v>510</v>
      </c>
      <c r="I42" s="36" t="s">
        <v>778</v>
      </c>
      <c r="J42" s="36" t="s">
        <v>521</v>
      </c>
      <c r="K42" s="36" t="s">
        <v>522</v>
      </c>
      <c r="L42" s="36" t="s">
        <v>158</v>
      </c>
      <c r="M42" s="36" t="s">
        <v>107</v>
      </c>
      <c r="N42" s="36" t="s">
        <v>138</v>
      </c>
      <c r="O42" s="37" t="s">
        <v>29</v>
      </c>
      <c r="P42" s="36" t="s">
        <v>96</v>
      </c>
      <c r="Q42" s="36" t="s">
        <v>779</v>
      </c>
      <c r="R42" s="38"/>
      <c r="S42" s="38"/>
      <c r="T42" s="38" t="s">
        <v>780</v>
      </c>
    </row>
    <row r="43" spans="1:20" x14ac:dyDescent="0.25">
      <c r="A43" s="35">
        <f t="shared" si="0"/>
        <v>42</v>
      </c>
      <c r="B43" s="36" t="s">
        <v>781</v>
      </c>
      <c r="C43" s="36" t="s">
        <v>782</v>
      </c>
      <c r="D43" s="36" t="s">
        <v>781</v>
      </c>
      <c r="E43" s="4" t="s">
        <v>783</v>
      </c>
      <c r="F43" s="36">
        <v>1000</v>
      </c>
      <c r="G43" s="36" t="s">
        <v>762</v>
      </c>
      <c r="H43" s="36" t="s">
        <v>598</v>
      </c>
      <c r="I43" s="36" t="s">
        <v>784</v>
      </c>
      <c r="J43" s="36" t="s">
        <v>521</v>
      </c>
      <c r="K43" s="36" t="s">
        <v>522</v>
      </c>
      <c r="L43" s="36" t="s">
        <v>785</v>
      </c>
      <c r="M43" s="36" t="s">
        <v>107</v>
      </c>
      <c r="N43" s="36" t="s">
        <v>765</v>
      </c>
      <c r="O43" s="37" t="s">
        <v>29</v>
      </c>
      <c r="P43" s="36" t="s">
        <v>96</v>
      </c>
      <c r="Q43" s="36" t="s">
        <v>786</v>
      </c>
      <c r="R43" s="38"/>
      <c r="S43" s="38"/>
      <c r="T43" s="38" t="s">
        <v>787</v>
      </c>
    </row>
    <row r="44" spans="1:20" x14ac:dyDescent="0.25">
      <c r="A44" s="35">
        <f t="shared" si="0"/>
        <v>43</v>
      </c>
      <c r="B44" s="36" t="s">
        <v>788</v>
      </c>
      <c r="C44" s="36" t="s">
        <v>789</v>
      </c>
      <c r="D44" s="36" t="s">
        <v>788</v>
      </c>
      <c r="E44" s="4" t="s">
        <v>790</v>
      </c>
      <c r="F44" s="36">
        <v>1000</v>
      </c>
      <c r="G44" s="36" t="s">
        <v>509</v>
      </c>
      <c r="H44" s="36" t="s">
        <v>510</v>
      </c>
      <c r="I44" s="36" t="s">
        <v>705</v>
      </c>
      <c r="J44" s="36" t="s">
        <v>521</v>
      </c>
      <c r="K44" s="36" t="s">
        <v>522</v>
      </c>
      <c r="L44" s="36" t="s">
        <v>138</v>
      </c>
      <c r="M44" s="36"/>
      <c r="N44" s="36"/>
      <c r="O44" s="37"/>
      <c r="P44" s="36" t="s">
        <v>96</v>
      </c>
      <c r="Q44" s="36" t="s">
        <v>791</v>
      </c>
      <c r="R44" s="38"/>
      <c r="S44" s="38"/>
      <c r="T44" s="38" t="s">
        <v>792</v>
      </c>
    </row>
    <row r="45" spans="1:20" x14ac:dyDescent="0.25">
      <c r="A45" s="35">
        <f t="shared" si="0"/>
        <v>44</v>
      </c>
      <c r="B45" s="36" t="s">
        <v>793</v>
      </c>
      <c r="C45" s="36" t="s">
        <v>132</v>
      </c>
      <c r="D45" s="36" t="s">
        <v>793</v>
      </c>
      <c r="E45" s="4" t="s">
        <v>794</v>
      </c>
      <c r="F45" s="36">
        <v>1000</v>
      </c>
      <c r="G45" s="36" t="s">
        <v>762</v>
      </c>
      <c r="H45" s="36" t="s">
        <v>598</v>
      </c>
      <c r="I45" s="36" t="s">
        <v>795</v>
      </c>
      <c r="J45" s="36" t="s">
        <v>521</v>
      </c>
      <c r="K45" s="36" t="s">
        <v>522</v>
      </c>
      <c r="L45" s="36" t="s">
        <v>209</v>
      </c>
      <c r="M45" s="36" t="s">
        <v>796</v>
      </c>
      <c r="N45" s="36"/>
      <c r="O45" s="37" t="s">
        <v>24</v>
      </c>
      <c r="P45" s="36" t="s">
        <v>93</v>
      </c>
      <c r="Q45" s="36" t="s">
        <v>131</v>
      </c>
      <c r="R45" s="38"/>
      <c r="S45" s="38"/>
      <c r="T45" s="38" t="s">
        <v>797</v>
      </c>
    </row>
    <row r="46" spans="1:20" x14ac:dyDescent="0.25">
      <c r="A46" s="35">
        <f t="shared" si="0"/>
        <v>45</v>
      </c>
      <c r="B46" s="36" t="s">
        <v>798</v>
      </c>
      <c r="C46" s="36" t="s">
        <v>799</v>
      </c>
      <c r="D46" s="36" t="s">
        <v>798</v>
      </c>
      <c r="E46" s="4" t="s">
        <v>800</v>
      </c>
      <c r="F46" s="36">
        <v>1610</v>
      </c>
      <c r="G46" s="36" t="s">
        <v>553</v>
      </c>
      <c r="H46" s="36" t="s">
        <v>510</v>
      </c>
      <c r="I46" s="36" t="s">
        <v>801</v>
      </c>
      <c r="J46" s="36" t="s">
        <v>521</v>
      </c>
      <c r="K46" s="36" t="s">
        <v>522</v>
      </c>
      <c r="L46" s="36" t="s">
        <v>138</v>
      </c>
      <c r="M46" s="36" t="s">
        <v>796</v>
      </c>
      <c r="N46" s="36" t="s">
        <v>531</v>
      </c>
      <c r="O46" s="37" t="s">
        <v>29</v>
      </c>
      <c r="P46" s="36" t="s">
        <v>96</v>
      </c>
      <c r="Q46" s="36" t="s">
        <v>802</v>
      </c>
      <c r="R46" s="38"/>
      <c r="S46" s="38"/>
      <c r="T46" s="38" t="s">
        <v>803</v>
      </c>
    </row>
    <row r="47" spans="1:20" x14ac:dyDescent="0.25">
      <c r="A47" s="35">
        <f t="shared" si="0"/>
        <v>46</v>
      </c>
      <c r="B47" s="36" t="s">
        <v>804</v>
      </c>
      <c r="C47" s="36" t="s">
        <v>805</v>
      </c>
      <c r="D47" s="36" t="s">
        <v>804</v>
      </c>
      <c r="E47" s="4" t="s">
        <v>806</v>
      </c>
      <c r="F47" s="36">
        <v>1900</v>
      </c>
      <c r="G47" s="36" t="s">
        <v>553</v>
      </c>
      <c r="H47" s="36" t="s">
        <v>510</v>
      </c>
      <c r="I47" s="36" t="s">
        <v>807</v>
      </c>
      <c r="J47" s="36" t="s">
        <v>521</v>
      </c>
      <c r="K47" s="36" t="s">
        <v>522</v>
      </c>
      <c r="L47" s="36" t="s">
        <v>626</v>
      </c>
      <c r="M47" s="36" t="s">
        <v>531</v>
      </c>
      <c r="N47" s="36" t="s">
        <v>531</v>
      </c>
      <c r="O47" s="37" t="s">
        <v>29</v>
      </c>
      <c r="P47" s="36" t="s">
        <v>96</v>
      </c>
      <c r="Q47" s="36" t="s">
        <v>808</v>
      </c>
      <c r="R47" s="38"/>
      <c r="S47" s="38"/>
      <c r="T47" s="38" t="s">
        <v>809</v>
      </c>
    </row>
    <row r="48" spans="1:20" x14ac:dyDescent="0.25">
      <c r="A48" s="35">
        <f t="shared" si="0"/>
        <v>47</v>
      </c>
      <c r="B48" s="36" t="s">
        <v>810</v>
      </c>
      <c r="C48" s="36" t="s">
        <v>811</v>
      </c>
      <c r="D48" s="36" t="s">
        <v>810</v>
      </c>
      <c r="E48" s="4" t="s">
        <v>812</v>
      </c>
      <c r="F48" s="36">
        <v>1160</v>
      </c>
      <c r="G48" s="36" t="s">
        <v>762</v>
      </c>
      <c r="H48" s="36" t="s">
        <v>598</v>
      </c>
      <c r="I48" s="36" t="s">
        <v>813</v>
      </c>
      <c r="J48" s="36" t="s">
        <v>521</v>
      </c>
      <c r="K48" s="36" t="s">
        <v>814</v>
      </c>
      <c r="L48" s="36" t="s">
        <v>815</v>
      </c>
      <c r="M48" s="36" t="s">
        <v>816</v>
      </c>
      <c r="N48" s="36" t="s">
        <v>216</v>
      </c>
      <c r="O48" s="37" t="s">
        <v>29</v>
      </c>
      <c r="P48" s="36" t="s">
        <v>96</v>
      </c>
      <c r="Q48" s="36" t="s">
        <v>817</v>
      </c>
      <c r="R48" s="38"/>
      <c r="S48" s="38"/>
      <c r="T48" s="38" t="s">
        <v>818</v>
      </c>
    </row>
    <row r="49" spans="1:20" x14ac:dyDescent="0.25">
      <c r="A49" s="35">
        <f t="shared" si="0"/>
        <v>48</v>
      </c>
      <c r="B49" s="36" t="s">
        <v>819</v>
      </c>
      <c r="C49" s="36" t="s">
        <v>820</v>
      </c>
      <c r="D49" s="36" t="s">
        <v>819</v>
      </c>
      <c r="E49" s="4" t="s">
        <v>821</v>
      </c>
      <c r="F49" s="36">
        <v>1738</v>
      </c>
      <c r="G49" s="36" t="s">
        <v>553</v>
      </c>
      <c r="H49" s="36" t="s">
        <v>510</v>
      </c>
      <c r="I49" s="36" t="s">
        <v>822</v>
      </c>
      <c r="J49" s="36" t="s">
        <v>512</v>
      </c>
      <c r="K49" s="36" t="s">
        <v>814</v>
      </c>
      <c r="L49" s="36" t="s">
        <v>823</v>
      </c>
      <c r="M49" s="36" t="s">
        <v>824</v>
      </c>
      <c r="N49" s="36" t="s">
        <v>531</v>
      </c>
      <c r="O49" s="37" t="s">
        <v>24</v>
      </c>
      <c r="P49" s="36" t="s">
        <v>93</v>
      </c>
      <c r="Q49" s="36" t="s">
        <v>825</v>
      </c>
      <c r="R49" s="38"/>
      <c r="S49" s="38"/>
      <c r="T49" s="38" t="s">
        <v>826</v>
      </c>
    </row>
    <row r="50" spans="1:20" x14ac:dyDescent="0.25">
      <c r="A50" s="35">
        <f t="shared" si="0"/>
        <v>49</v>
      </c>
      <c r="B50" s="36" t="s">
        <v>827</v>
      </c>
      <c r="C50" s="36" t="s">
        <v>153</v>
      </c>
      <c r="D50" s="36" t="s">
        <v>827</v>
      </c>
      <c r="E50" s="4" t="s">
        <v>828</v>
      </c>
      <c r="F50" s="36">
        <v>1050</v>
      </c>
      <c r="G50" s="36" t="s">
        <v>771</v>
      </c>
      <c r="H50" s="36" t="s">
        <v>510</v>
      </c>
      <c r="I50" s="36" t="s">
        <v>705</v>
      </c>
      <c r="J50" s="36" t="s">
        <v>521</v>
      </c>
      <c r="K50" s="36" t="s">
        <v>522</v>
      </c>
      <c r="L50" s="36" t="s">
        <v>138</v>
      </c>
      <c r="M50" s="36" t="s">
        <v>107</v>
      </c>
      <c r="N50" s="36"/>
      <c r="O50" s="37" t="s">
        <v>29</v>
      </c>
      <c r="P50" s="36" t="s">
        <v>96</v>
      </c>
      <c r="Q50" s="36" t="s">
        <v>465</v>
      </c>
      <c r="R50" s="38"/>
      <c r="S50" s="38"/>
      <c r="T50" s="38" t="s">
        <v>829</v>
      </c>
    </row>
    <row r="51" spans="1:20" x14ac:dyDescent="0.25">
      <c r="A51" s="35">
        <f t="shared" si="0"/>
        <v>50</v>
      </c>
      <c r="B51" s="36" t="s">
        <v>830</v>
      </c>
      <c r="C51" s="36" t="s">
        <v>831</v>
      </c>
      <c r="D51" s="36" t="s">
        <v>830</v>
      </c>
      <c r="E51" s="4" t="s">
        <v>832</v>
      </c>
      <c r="F51" s="36">
        <v>1250</v>
      </c>
      <c r="G51" s="36" t="s">
        <v>762</v>
      </c>
      <c r="H51" s="36" t="s">
        <v>598</v>
      </c>
      <c r="I51" s="36" t="s">
        <v>554</v>
      </c>
      <c r="J51" s="36" t="s">
        <v>521</v>
      </c>
      <c r="K51" s="36" t="s">
        <v>522</v>
      </c>
      <c r="L51" s="36" t="s">
        <v>209</v>
      </c>
      <c r="M51" s="36" t="s">
        <v>833</v>
      </c>
      <c r="N51" s="36" t="s">
        <v>118</v>
      </c>
      <c r="O51" s="37" t="s">
        <v>29</v>
      </c>
      <c r="P51" s="36" t="s">
        <v>96</v>
      </c>
      <c r="Q51" s="36" t="s">
        <v>834</v>
      </c>
      <c r="R51" s="38"/>
      <c r="S51" s="38"/>
      <c r="T51" s="38" t="s">
        <v>835</v>
      </c>
    </row>
    <row r="52" spans="1:20" x14ac:dyDescent="0.25">
      <c r="A52" s="35">
        <f t="shared" si="0"/>
        <v>51</v>
      </c>
      <c r="B52" s="36" t="s">
        <v>836</v>
      </c>
      <c r="C52" s="36" t="s">
        <v>837</v>
      </c>
      <c r="D52" s="36" t="s">
        <v>836</v>
      </c>
      <c r="E52" s="4" t="s">
        <v>838</v>
      </c>
      <c r="F52" s="36">
        <v>669</v>
      </c>
      <c r="G52" s="36" t="s">
        <v>509</v>
      </c>
      <c r="H52" s="36" t="s">
        <v>510</v>
      </c>
      <c r="I52" s="36" t="s">
        <v>839</v>
      </c>
      <c r="J52" s="36" t="s">
        <v>521</v>
      </c>
      <c r="K52" s="36" t="s">
        <v>625</v>
      </c>
      <c r="L52" s="36" t="s">
        <v>240</v>
      </c>
      <c r="M52" s="36" t="s">
        <v>531</v>
      </c>
      <c r="N52" s="36" t="s">
        <v>531</v>
      </c>
      <c r="O52" s="37" t="s">
        <v>24</v>
      </c>
      <c r="P52" s="36" t="s">
        <v>93</v>
      </c>
      <c r="Q52" s="36" t="s">
        <v>840</v>
      </c>
      <c r="R52" s="38"/>
      <c r="S52" s="38"/>
      <c r="T52" s="38" t="s">
        <v>841</v>
      </c>
    </row>
    <row r="53" spans="1:20" x14ac:dyDescent="0.25">
      <c r="A53" s="35">
        <f t="shared" si="0"/>
        <v>52</v>
      </c>
      <c r="B53" s="36" t="s">
        <v>842</v>
      </c>
      <c r="C53" s="36" t="s">
        <v>843</v>
      </c>
      <c r="D53" s="36" t="s">
        <v>842</v>
      </c>
      <c r="E53" s="4" t="s">
        <v>844</v>
      </c>
      <c r="F53" s="36">
        <v>3535</v>
      </c>
      <c r="G53" s="36" t="s">
        <v>632</v>
      </c>
      <c r="H53" s="36" t="s">
        <v>510</v>
      </c>
      <c r="I53" s="36" t="s">
        <v>845</v>
      </c>
      <c r="J53" s="36" t="s">
        <v>521</v>
      </c>
      <c r="K53" s="36" t="s">
        <v>522</v>
      </c>
      <c r="L53" s="36" t="s">
        <v>846</v>
      </c>
      <c r="M53" s="36"/>
      <c r="N53" s="36"/>
      <c r="O53" s="37" t="s">
        <v>24</v>
      </c>
      <c r="P53" s="36" t="s">
        <v>95</v>
      </c>
      <c r="Q53" s="36" t="s">
        <v>847</v>
      </c>
      <c r="R53" s="38"/>
      <c r="S53" s="38"/>
      <c r="T53" s="38" t="s">
        <v>848</v>
      </c>
    </row>
    <row r="54" spans="1:20" x14ac:dyDescent="0.25">
      <c r="A54" s="35">
        <f t="shared" si="0"/>
        <v>53</v>
      </c>
      <c r="B54" s="36" t="s">
        <v>849</v>
      </c>
      <c r="C54" s="36" t="s">
        <v>127</v>
      </c>
      <c r="D54" s="36" t="s">
        <v>849</v>
      </c>
      <c r="E54" s="4" t="s">
        <v>850</v>
      </c>
      <c r="F54" s="36">
        <v>625</v>
      </c>
      <c r="G54" s="36" t="s">
        <v>509</v>
      </c>
      <c r="H54" s="36" t="s">
        <v>598</v>
      </c>
      <c r="I54" s="36" t="s">
        <v>754</v>
      </c>
      <c r="J54" s="36" t="s">
        <v>521</v>
      </c>
      <c r="K54" s="36" t="s">
        <v>575</v>
      </c>
      <c r="L54" s="36" t="s">
        <v>851</v>
      </c>
      <c r="M54" s="36" t="s">
        <v>852</v>
      </c>
      <c r="N54" s="36" t="s">
        <v>853</v>
      </c>
      <c r="O54" s="37" t="s">
        <v>24</v>
      </c>
      <c r="P54" s="36" t="s">
        <v>95</v>
      </c>
      <c r="Q54" s="36" t="s">
        <v>126</v>
      </c>
      <c r="R54" s="38"/>
      <c r="S54" s="38"/>
      <c r="T54" s="38">
        <v>9422047988</v>
      </c>
    </row>
    <row r="55" spans="1:20" x14ac:dyDescent="0.25">
      <c r="A55" s="35">
        <f t="shared" si="0"/>
        <v>54</v>
      </c>
      <c r="B55" s="36" t="s">
        <v>854</v>
      </c>
      <c r="C55" s="36" t="s">
        <v>855</v>
      </c>
      <c r="D55" s="36" t="s">
        <v>854</v>
      </c>
      <c r="E55" s="4" t="s">
        <v>856</v>
      </c>
      <c r="F55" s="36" t="s">
        <v>574</v>
      </c>
      <c r="G55" s="36" t="s">
        <v>509</v>
      </c>
      <c r="H55" s="36" t="s">
        <v>510</v>
      </c>
      <c r="I55" s="36" t="s">
        <v>857</v>
      </c>
      <c r="J55" s="36" t="s">
        <v>512</v>
      </c>
      <c r="K55" s="36" t="s">
        <v>522</v>
      </c>
      <c r="L55" s="36" t="s">
        <v>858</v>
      </c>
      <c r="M55" s="36" t="s">
        <v>859</v>
      </c>
      <c r="N55" s="36" t="s">
        <v>860</v>
      </c>
      <c r="O55" s="37" t="s">
        <v>24</v>
      </c>
      <c r="P55" s="36" t="s">
        <v>93</v>
      </c>
      <c r="Q55" s="36" t="s">
        <v>861</v>
      </c>
      <c r="R55" s="38"/>
      <c r="S55" s="38"/>
      <c r="T55" s="38" t="s">
        <v>862</v>
      </c>
    </row>
    <row r="56" spans="1:20" x14ac:dyDescent="0.25">
      <c r="A56" s="35">
        <f t="shared" si="0"/>
        <v>55</v>
      </c>
      <c r="B56" s="36" t="s">
        <v>863</v>
      </c>
      <c r="C56" s="36" t="s">
        <v>864</v>
      </c>
      <c r="D56" s="36" t="s">
        <v>863</v>
      </c>
      <c r="E56" s="4" t="s">
        <v>865</v>
      </c>
      <c r="F56" s="36">
        <v>682</v>
      </c>
      <c r="G56" s="36" t="s">
        <v>509</v>
      </c>
      <c r="H56" s="36" t="s">
        <v>510</v>
      </c>
      <c r="I56" s="36" t="s">
        <v>528</v>
      </c>
      <c r="J56" s="36" t="s">
        <v>521</v>
      </c>
      <c r="K56" s="36" t="s">
        <v>522</v>
      </c>
      <c r="L56" s="36" t="s">
        <v>866</v>
      </c>
      <c r="M56" s="36" t="s">
        <v>867</v>
      </c>
      <c r="N56" s="36" t="s">
        <v>868</v>
      </c>
      <c r="O56" s="37" t="s">
        <v>24</v>
      </c>
      <c r="P56" s="36" t="s">
        <v>93</v>
      </c>
      <c r="Q56" s="36" t="s">
        <v>869</v>
      </c>
      <c r="R56" s="38"/>
      <c r="S56" s="38"/>
      <c r="T56" s="38" t="s">
        <v>870</v>
      </c>
    </row>
    <row r="57" spans="1:20" x14ac:dyDescent="0.25">
      <c r="A57" s="35">
        <f t="shared" si="0"/>
        <v>56</v>
      </c>
      <c r="B57" s="36" t="s">
        <v>871</v>
      </c>
      <c r="C57" s="36" t="s">
        <v>459</v>
      </c>
      <c r="D57" s="36" t="s">
        <v>871</v>
      </c>
      <c r="E57" s="4" t="s">
        <v>872</v>
      </c>
      <c r="F57" s="36">
        <v>580</v>
      </c>
      <c r="G57" s="36" t="s">
        <v>509</v>
      </c>
      <c r="H57" s="36" t="s">
        <v>873</v>
      </c>
      <c r="I57" s="36" t="s">
        <v>874</v>
      </c>
      <c r="J57" s="36" t="s">
        <v>512</v>
      </c>
      <c r="K57" s="36" t="s">
        <v>513</v>
      </c>
      <c r="L57" s="36" t="s">
        <v>122</v>
      </c>
      <c r="M57" s="36" t="s">
        <v>531</v>
      </c>
      <c r="N57" s="36" t="s">
        <v>531</v>
      </c>
      <c r="O57" s="37" t="s">
        <v>29</v>
      </c>
      <c r="P57" s="36" t="s">
        <v>96</v>
      </c>
      <c r="Q57" s="36" t="s">
        <v>458</v>
      </c>
      <c r="R57" s="38"/>
      <c r="S57" s="38"/>
      <c r="T57" s="38" t="s">
        <v>875</v>
      </c>
    </row>
    <row r="58" spans="1:20" x14ac:dyDescent="0.25">
      <c r="A58" s="35">
        <f t="shared" si="0"/>
        <v>57</v>
      </c>
      <c r="B58" s="36" t="s">
        <v>876</v>
      </c>
      <c r="C58" s="36" t="s">
        <v>877</v>
      </c>
      <c r="D58" s="36" t="s">
        <v>876</v>
      </c>
      <c r="E58" s="4" t="s">
        <v>878</v>
      </c>
      <c r="F58" s="36" t="s">
        <v>574</v>
      </c>
      <c r="G58" s="36" t="s">
        <v>509</v>
      </c>
      <c r="H58" s="36" t="s">
        <v>510</v>
      </c>
      <c r="I58" s="36" t="s">
        <v>879</v>
      </c>
      <c r="J58" s="36" t="s">
        <v>512</v>
      </c>
      <c r="K58" s="36" t="s">
        <v>522</v>
      </c>
      <c r="L58" s="36" t="s">
        <v>539</v>
      </c>
      <c r="M58" s="36" t="s">
        <v>880</v>
      </c>
      <c r="N58" s="36" t="s">
        <v>531</v>
      </c>
      <c r="O58" s="37" t="s">
        <v>29</v>
      </c>
      <c r="P58" s="36" t="s">
        <v>96</v>
      </c>
      <c r="Q58" s="36" t="s">
        <v>881</v>
      </c>
      <c r="R58" s="38"/>
      <c r="S58" s="38"/>
      <c r="T58" s="38" t="s">
        <v>882</v>
      </c>
    </row>
    <row r="59" spans="1:20" x14ac:dyDescent="0.25">
      <c r="A59" s="35">
        <f t="shared" si="0"/>
        <v>58</v>
      </c>
      <c r="B59" s="36" t="s">
        <v>883</v>
      </c>
      <c r="C59" s="36" t="s">
        <v>476</v>
      </c>
      <c r="D59" s="36" t="s">
        <v>883</v>
      </c>
      <c r="E59" s="4" t="s">
        <v>884</v>
      </c>
      <c r="F59" s="36">
        <v>1500</v>
      </c>
      <c r="G59" s="36" t="s">
        <v>553</v>
      </c>
      <c r="H59" s="36" t="s">
        <v>510</v>
      </c>
      <c r="I59" s="36" t="s">
        <v>885</v>
      </c>
      <c r="J59" s="36" t="s">
        <v>521</v>
      </c>
      <c r="K59" s="36" t="s">
        <v>522</v>
      </c>
      <c r="L59" s="36" t="s">
        <v>539</v>
      </c>
      <c r="M59" s="36" t="s">
        <v>110</v>
      </c>
      <c r="N59" s="36" t="s">
        <v>886</v>
      </c>
      <c r="O59" s="37" t="s">
        <v>29</v>
      </c>
      <c r="P59" s="36" t="s">
        <v>96</v>
      </c>
      <c r="Q59" s="36" t="s">
        <v>475</v>
      </c>
      <c r="R59" s="38"/>
      <c r="S59" s="38"/>
      <c r="T59" s="38" t="s">
        <v>887</v>
      </c>
    </row>
    <row r="60" spans="1:20" x14ac:dyDescent="0.25">
      <c r="A60" s="35">
        <f t="shared" si="0"/>
        <v>59</v>
      </c>
      <c r="B60" s="36" t="s">
        <v>888</v>
      </c>
      <c r="C60" s="36" t="s">
        <v>889</v>
      </c>
      <c r="D60" s="36" t="s">
        <v>888</v>
      </c>
      <c r="E60" s="4" t="s">
        <v>890</v>
      </c>
      <c r="F60" s="36">
        <v>938</v>
      </c>
      <c r="G60" s="36" t="s">
        <v>509</v>
      </c>
      <c r="H60" s="36" t="s">
        <v>510</v>
      </c>
      <c r="I60" s="36" t="s">
        <v>839</v>
      </c>
      <c r="J60" s="36" t="s">
        <v>521</v>
      </c>
      <c r="K60" s="36" t="s">
        <v>522</v>
      </c>
      <c r="L60" s="36" t="s">
        <v>218</v>
      </c>
      <c r="M60" s="36" t="s">
        <v>275</v>
      </c>
      <c r="N60" s="36" t="s">
        <v>277</v>
      </c>
      <c r="O60" s="37" t="s">
        <v>24</v>
      </c>
      <c r="P60" s="36" t="s">
        <v>226</v>
      </c>
      <c r="Q60" s="36" t="s">
        <v>891</v>
      </c>
      <c r="R60" s="38"/>
      <c r="S60" s="38"/>
      <c r="T60" s="38" t="s">
        <v>892</v>
      </c>
    </row>
    <row r="61" spans="1:20" x14ac:dyDescent="0.25">
      <c r="A61" s="35">
        <f t="shared" si="0"/>
        <v>60</v>
      </c>
      <c r="B61" s="36" t="s">
        <v>893</v>
      </c>
      <c r="C61" s="36" t="s">
        <v>103</v>
      </c>
      <c r="D61" s="36" t="s">
        <v>893</v>
      </c>
      <c r="E61" s="4" t="s">
        <v>894</v>
      </c>
      <c r="F61" s="36">
        <v>700</v>
      </c>
      <c r="G61" s="36" t="s">
        <v>509</v>
      </c>
      <c r="H61" s="36" t="s">
        <v>598</v>
      </c>
      <c r="I61" s="36" t="s">
        <v>895</v>
      </c>
      <c r="J61" s="36" t="s">
        <v>512</v>
      </c>
      <c r="K61" s="36" t="s">
        <v>513</v>
      </c>
      <c r="L61" s="36" t="s">
        <v>110</v>
      </c>
      <c r="M61" s="36" t="s">
        <v>289</v>
      </c>
      <c r="N61" s="36" t="s">
        <v>896</v>
      </c>
      <c r="O61" s="37" t="s">
        <v>29</v>
      </c>
      <c r="P61" s="36" t="s">
        <v>96</v>
      </c>
      <c r="Q61" s="36" t="s">
        <v>105</v>
      </c>
      <c r="R61" s="38"/>
      <c r="S61" s="38"/>
      <c r="T61" s="38" t="s">
        <v>897</v>
      </c>
    </row>
    <row r="62" spans="1:20" x14ac:dyDescent="0.25">
      <c r="A62" s="35">
        <f t="shared" si="0"/>
        <v>61</v>
      </c>
      <c r="B62" s="36" t="s">
        <v>898</v>
      </c>
      <c r="C62" s="36" t="s">
        <v>899</v>
      </c>
      <c r="D62" s="36" t="s">
        <v>898</v>
      </c>
      <c r="E62" s="4" t="s">
        <v>900</v>
      </c>
      <c r="F62" s="36" t="s">
        <v>574</v>
      </c>
      <c r="G62" s="36" t="s">
        <v>545</v>
      </c>
      <c r="H62" s="36" t="s">
        <v>510</v>
      </c>
      <c r="I62" s="36" t="s">
        <v>690</v>
      </c>
      <c r="J62" s="36" t="s">
        <v>521</v>
      </c>
      <c r="K62" s="36" t="s">
        <v>522</v>
      </c>
      <c r="L62" s="36" t="s">
        <v>539</v>
      </c>
      <c r="M62" s="36" t="s">
        <v>289</v>
      </c>
      <c r="N62" s="36"/>
      <c r="O62" s="37" t="s">
        <v>29</v>
      </c>
      <c r="P62" s="36" t="s">
        <v>96</v>
      </c>
      <c r="Q62" s="36" t="s">
        <v>901</v>
      </c>
      <c r="R62" s="38"/>
      <c r="S62" s="38"/>
      <c r="T62" s="38" t="s">
        <v>902</v>
      </c>
    </row>
    <row r="63" spans="1:20" x14ac:dyDescent="0.25">
      <c r="A63" s="35">
        <f t="shared" si="0"/>
        <v>62</v>
      </c>
      <c r="B63" s="36" t="s">
        <v>903</v>
      </c>
      <c r="C63" s="36" t="s">
        <v>904</v>
      </c>
      <c r="D63" s="36" t="s">
        <v>903</v>
      </c>
      <c r="E63" s="4" t="s">
        <v>905</v>
      </c>
      <c r="F63" s="36" t="s">
        <v>574</v>
      </c>
      <c r="G63" s="36" t="s">
        <v>545</v>
      </c>
      <c r="H63" s="36" t="s">
        <v>598</v>
      </c>
      <c r="I63" s="36" t="s">
        <v>587</v>
      </c>
      <c r="J63" s="36" t="s">
        <v>521</v>
      </c>
      <c r="K63" s="36" t="s">
        <v>513</v>
      </c>
      <c r="L63" s="36" t="s">
        <v>539</v>
      </c>
      <c r="M63" s="36"/>
      <c r="N63" s="36"/>
      <c r="O63" s="37" t="s">
        <v>29</v>
      </c>
      <c r="P63" s="36" t="s">
        <v>96</v>
      </c>
      <c r="Q63" s="36" t="s">
        <v>906</v>
      </c>
      <c r="R63" s="38"/>
      <c r="S63" s="38"/>
      <c r="T63" s="38" t="s">
        <v>907</v>
      </c>
    </row>
    <row r="64" spans="1:20" x14ac:dyDescent="0.25">
      <c r="A64" s="35">
        <f t="shared" si="0"/>
        <v>63</v>
      </c>
      <c r="B64" s="36" t="s">
        <v>908</v>
      </c>
      <c r="C64" s="36" t="s">
        <v>909</v>
      </c>
      <c r="D64" s="36" t="s">
        <v>908</v>
      </c>
      <c r="E64" s="4" t="s">
        <v>910</v>
      </c>
      <c r="F64" s="36">
        <v>733</v>
      </c>
      <c r="G64" s="36" t="s">
        <v>911</v>
      </c>
      <c r="H64" s="36" t="s">
        <v>598</v>
      </c>
      <c r="I64" s="36" t="s">
        <v>912</v>
      </c>
      <c r="J64" s="36" t="s">
        <v>512</v>
      </c>
      <c r="K64" s="36" t="s">
        <v>513</v>
      </c>
      <c r="L64" s="36" t="s">
        <v>823</v>
      </c>
      <c r="M64" s="36"/>
      <c r="N64" s="36"/>
      <c r="O64" s="37" t="s">
        <v>24</v>
      </c>
      <c r="P64" s="36" t="s">
        <v>93</v>
      </c>
      <c r="Q64" s="36" t="s">
        <v>913</v>
      </c>
      <c r="R64" s="38"/>
      <c r="S64" s="38"/>
      <c r="T64" s="38" t="s">
        <v>914</v>
      </c>
    </row>
    <row r="65" spans="1:20" x14ac:dyDescent="0.25">
      <c r="A65" s="35">
        <f t="shared" si="0"/>
        <v>64</v>
      </c>
      <c r="B65" s="36" t="s">
        <v>915</v>
      </c>
      <c r="C65" s="36" t="s">
        <v>30</v>
      </c>
      <c r="D65" s="36" t="s">
        <v>915</v>
      </c>
      <c r="E65" s="4" t="s">
        <v>916</v>
      </c>
      <c r="F65" s="36">
        <v>800</v>
      </c>
      <c r="G65" s="36" t="s">
        <v>545</v>
      </c>
      <c r="H65" s="36" t="s">
        <v>510</v>
      </c>
      <c r="I65" s="36" t="s">
        <v>917</v>
      </c>
      <c r="J65" s="36" t="s">
        <v>512</v>
      </c>
      <c r="K65" s="36" t="s">
        <v>513</v>
      </c>
      <c r="L65" s="36" t="s">
        <v>823</v>
      </c>
      <c r="M65" s="36" t="s">
        <v>918</v>
      </c>
      <c r="N65" s="36" t="s">
        <v>919</v>
      </c>
      <c r="O65" s="37" t="s">
        <v>24</v>
      </c>
      <c r="P65" s="36" t="s">
        <v>93</v>
      </c>
      <c r="Q65" s="36" t="s">
        <v>483</v>
      </c>
      <c r="R65" s="38"/>
      <c r="S65" s="38"/>
      <c r="T65" s="38" t="s">
        <v>920</v>
      </c>
    </row>
    <row r="66" spans="1:20" x14ac:dyDescent="0.25">
      <c r="A66" s="35">
        <f t="shared" si="0"/>
        <v>65</v>
      </c>
      <c r="B66" s="36" t="s">
        <v>921</v>
      </c>
      <c r="C66" s="36" t="s">
        <v>922</v>
      </c>
      <c r="D66" s="36" t="s">
        <v>921</v>
      </c>
      <c r="E66" s="4" t="s">
        <v>923</v>
      </c>
      <c r="F66" s="36">
        <v>675</v>
      </c>
      <c r="G66" s="36" t="s">
        <v>545</v>
      </c>
      <c r="H66" s="36" t="s">
        <v>598</v>
      </c>
      <c r="I66" s="36" t="s">
        <v>546</v>
      </c>
      <c r="J66" s="36" t="s">
        <v>521</v>
      </c>
      <c r="K66" s="36" t="s">
        <v>529</v>
      </c>
      <c r="L66" s="36" t="s">
        <v>122</v>
      </c>
      <c r="M66" s="36" t="s">
        <v>257</v>
      </c>
      <c r="N66" s="36" t="s">
        <v>924</v>
      </c>
      <c r="O66" s="37" t="s">
        <v>29</v>
      </c>
      <c r="P66" s="36" t="s">
        <v>96</v>
      </c>
      <c r="Q66" s="36" t="s">
        <v>925</v>
      </c>
      <c r="R66" s="38"/>
      <c r="S66" s="38"/>
      <c r="T66" s="38" t="s">
        <v>926</v>
      </c>
    </row>
    <row r="67" spans="1:20" x14ac:dyDescent="0.25">
      <c r="A67" s="35">
        <f t="shared" si="0"/>
        <v>66</v>
      </c>
      <c r="B67" s="36" t="s">
        <v>927</v>
      </c>
      <c r="C67" s="36" t="s">
        <v>928</v>
      </c>
      <c r="D67" s="36" t="s">
        <v>927</v>
      </c>
      <c r="E67" s="4" t="s">
        <v>929</v>
      </c>
      <c r="F67" s="36">
        <v>568</v>
      </c>
      <c r="G67" s="36" t="s">
        <v>930</v>
      </c>
      <c r="H67" s="36" t="s">
        <v>510</v>
      </c>
      <c r="I67" s="36" t="s">
        <v>511</v>
      </c>
      <c r="J67" s="36" t="s">
        <v>521</v>
      </c>
      <c r="K67" s="36" t="s">
        <v>931</v>
      </c>
      <c r="L67" s="36" t="s">
        <v>218</v>
      </c>
      <c r="M67" s="36" t="s">
        <v>120</v>
      </c>
      <c r="N67" s="36" t="s">
        <v>277</v>
      </c>
      <c r="O67" s="37" t="s">
        <v>24</v>
      </c>
      <c r="P67" s="36" t="s">
        <v>93</v>
      </c>
      <c r="Q67" s="36" t="s">
        <v>932</v>
      </c>
      <c r="R67" s="38"/>
      <c r="S67" s="38"/>
      <c r="T67" s="38" t="s">
        <v>933</v>
      </c>
    </row>
    <row r="68" spans="1:20" x14ac:dyDescent="0.25">
      <c r="A68" s="35">
        <f t="shared" ref="A68:A131" si="1">+A67+1</f>
        <v>67</v>
      </c>
      <c r="B68" s="36" t="s">
        <v>934</v>
      </c>
      <c r="C68" s="36" t="s">
        <v>935</v>
      </c>
      <c r="D68" s="36" t="s">
        <v>934</v>
      </c>
      <c r="E68" s="4" t="s">
        <v>936</v>
      </c>
      <c r="F68" s="36">
        <v>550</v>
      </c>
      <c r="G68" s="36" t="s">
        <v>545</v>
      </c>
      <c r="H68" s="36" t="s">
        <v>510</v>
      </c>
      <c r="I68" s="36" t="s">
        <v>937</v>
      </c>
      <c r="J68" s="36" t="s">
        <v>521</v>
      </c>
      <c r="K68" s="36" t="s">
        <v>522</v>
      </c>
      <c r="L68" s="36" t="s">
        <v>823</v>
      </c>
      <c r="M68" s="36"/>
      <c r="N68" s="36"/>
      <c r="O68" s="37" t="s">
        <v>24</v>
      </c>
      <c r="P68" s="36" t="s">
        <v>226</v>
      </c>
      <c r="Q68" s="36" t="s">
        <v>938</v>
      </c>
      <c r="R68" s="38"/>
      <c r="S68" s="38"/>
      <c r="T68" s="38" t="s">
        <v>939</v>
      </c>
    </row>
    <row r="69" spans="1:20" x14ac:dyDescent="0.25">
      <c r="A69" s="35">
        <f t="shared" si="1"/>
        <v>68</v>
      </c>
      <c r="B69" s="36" t="s">
        <v>940</v>
      </c>
      <c r="C69" s="36" t="s">
        <v>940</v>
      </c>
      <c r="D69" s="36" t="s">
        <v>940</v>
      </c>
      <c r="E69" s="4" t="s">
        <v>941</v>
      </c>
      <c r="F69" s="36">
        <v>758</v>
      </c>
      <c r="G69" s="36" t="s">
        <v>545</v>
      </c>
      <c r="H69" s="36" t="s">
        <v>598</v>
      </c>
      <c r="I69" s="36" t="s">
        <v>942</v>
      </c>
      <c r="J69" s="36" t="s">
        <v>521</v>
      </c>
      <c r="K69" s="36" t="s">
        <v>575</v>
      </c>
      <c r="L69" s="36" t="s">
        <v>218</v>
      </c>
      <c r="M69" s="36" t="s">
        <v>943</v>
      </c>
      <c r="N69" s="36" t="s">
        <v>944</v>
      </c>
      <c r="O69" s="37" t="s">
        <v>24</v>
      </c>
      <c r="P69" s="36" t="s">
        <v>226</v>
      </c>
      <c r="Q69" s="36" t="s">
        <v>945</v>
      </c>
      <c r="R69" s="38"/>
      <c r="S69" s="38"/>
      <c r="T69" s="38">
        <v>8249106575</v>
      </c>
    </row>
    <row r="70" spans="1:20" x14ac:dyDescent="0.25">
      <c r="A70" s="35">
        <f t="shared" si="1"/>
        <v>69</v>
      </c>
      <c r="B70" s="36" t="s">
        <v>946</v>
      </c>
      <c r="C70" s="36" t="s">
        <v>947</v>
      </c>
      <c r="D70" s="36" t="s">
        <v>946</v>
      </c>
      <c r="E70" s="4" t="s">
        <v>948</v>
      </c>
      <c r="F70" s="36">
        <v>500</v>
      </c>
      <c r="G70" s="36" t="s">
        <v>545</v>
      </c>
      <c r="H70" s="36" t="s">
        <v>598</v>
      </c>
      <c r="I70" s="36" t="s">
        <v>754</v>
      </c>
      <c r="J70" s="36" t="s">
        <v>521</v>
      </c>
      <c r="K70" s="36" t="s">
        <v>529</v>
      </c>
      <c r="L70" s="36" t="s">
        <v>135</v>
      </c>
      <c r="M70" s="36"/>
      <c r="N70" s="36"/>
      <c r="O70" s="37" t="s">
        <v>29</v>
      </c>
      <c r="P70" s="36" t="s">
        <v>96</v>
      </c>
      <c r="Q70" s="36" t="s">
        <v>949</v>
      </c>
      <c r="R70" s="38"/>
      <c r="S70" s="38"/>
      <c r="T70" s="38" t="s">
        <v>950</v>
      </c>
    </row>
    <row r="71" spans="1:20" x14ac:dyDescent="0.25">
      <c r="A71" s="35">
        <f t="shared" si="1"/>
        <v>70</v>
      </c>
      <c r="B71" s="36" t="s">
        <v>951</v>
      </c>
      <c r="C71" s="36" t="s">
        <v>952</v>
      </c>
      <c r="D71" s="36" t="s">
        <v>951</v>
      </c>
      <c r="E71" s="4" t="s">
        <v>953</v>
      </c>
      <c r="F71" s="36">
        <v>400</v>
      </c>
      <c r="G71" s="36" t="s">
        <v>911</v>
      </c>
      <c r="H71" s="36" t="s">
        <v>598</v>
      </c>
      <c r="I71" s="36" t="s">
        <v>607</v>
      </c>
      <c r="J71" s="36" t="s">
        <v>521</v>
      </c>
      <c r="K71" s="36" t="s">
        <v>529</v>
      </c>
      <c r="L71" s="36" t="s">
        <v>257</v>
      </c>
      <c r="M71" s="36"/>
      <c r="N71" s="36"/>
      <c r="O71" s="37" t="s">
        <v>29</v>
      </c>
      <c r="P71" s="36" t="s">
        <v>96</v>
      </c>
      <c r="Q71" s="36" t="s">
        <v>954</v>
      </c>
      <c r="R71" s="38"/>
      <c r="S71" s="38"/>
      <c r="T71" s="38" t="s">
        <v>955</v>
      </c>
    </row>
    <row r="72" spans="1:20" x14ac:dyDescent="0.25">
      <c r="A72" s="35">
        <f t="shared" si="1"/>
        <v>71</v>
      </c>
      <c r="B72" s="36" t="s">
        <v>956</v>
      </c>
      <c r="C72" s="36" t="s">
        <v>99</v>
      </c>
      <c r="D72" s="36" t="s">
        <v>956</v>
      </c>
      <c r="E72" s="4" t="s">
        <v>957</v>
      </c>
      <c r="F72" s="36" t="s">
        <v>574</v>
      </c>
      <c r="G72" s="36" t="s">
        <v>545</v>
      </c>
      <c r="H72" s="36" t="s">
        <v>598</v>
      </c>
      <c r="I72" s="36" t="s">
        <v>528</v>
      </c>
      <c r="J72" s="36" t="s">
        <v>512</v>
      </c>
      <c r="K72" s="36" t="s">
        <v>529</v>
      </c>
      <c r="L72" s="36" t="s">
        <v>135</v>
      </c>
      <c r="M72" s="36"/>
      <c r="N72" s="36"/>
      <c r="O72" s="37" t="s">
        <v>29</v>
      </c>
      <c r="P72" s="36" t="s">
        <v>96</v>
      </c>
      <c r="Q72" s="36" t="s">
        <v>455</v>
      </c>
      <c r="R72" s="38"/>
      <c r="S72" s="38"/>
      <c r="T72" s="38" t="s">
        <v>958</v>
      </c>
    </row>
    <row r="73" spans="1:20" x14ac:dyDescent="0.25">
      <c r="A73" s="35">
        <f t="shared" si="1"/>
        <v>72</v>
      </c>
      <c r="B73" s="36" t="s">
        <v>959</v>
      </c>
      <c r="C73" s="36" t="s">
        <v>960</v>
      </c>
      <c r="D73" s="36" t="s">
        <v>959</v>
      </c>
      <c r="E73" s="4" t="s">
        <v>961</v>
      </c>
      <c r="F73" s="36" t="s">
        <v>574</v>
      </c>
      <c r="G73" s="36" t="s">
        <v>545</v>
      </c>
      <c r="H73" s="36" t="s">
        <v>510</v>
      </c>
      <c r="I73" s="36" t="s">
        <v>599</v>
      </c>
      <c r="J73" s="36" t="s">
        <v>521</v>
      </c>
      <c r="K73" s="36"/>
      <c r="L73" s="36"/>
      <c r="M73" s="36"/>
      <c r="N73" s="36"/>
      <c r="O73" s="37" t="s">
        <v>24</v>
      </c>
      <c r="P73" s="36" t="s">
        <v>93</v>
      </c>
      <c r="Q73" s="36" t="s">
        <v>962</v>
      </c>
      <c r="R73" s="38"/>
      <c r="S73" s="38"/>
      <c r="T73" s="38">
        <v>9963662121</v>
      </c>
    </row>
    <row r="74" spans="1:20" x14ac:dyDescent="0.25">
      <c r="A74" s="35">
        <f t="shared" si="1"/>
        <v>73</v>
      </c>
      <c r="B74" s="36" t="s">
        <v>963</v>
      </c>
      <c r="C74" s="36" t="s">
        <v>964</v>
      </c>
      <c r="D74" s="36"/>
      <c r="E74" s="4"/>
      <c r="F74" s="36" t="s">
        <v>574</v>
      </c>
      <c r="G74" s="36" t="s">
        <v>965</v>
      </c>
      <c r="H74" s="36" t="s">
        <v>966</v>
      </c>
      <c r="I74" s="36" t="s">
        <v>967</v>
      </c>
      <c r="J74" s="36" t="s">
        <v>521</v>
      </c>
      <c r="K74" s="36" t="s">
        <v>968</v>
      </c>
      <c r="L74" s="36" t="s">
        <v>969</v>
      </c>
      <c r="M74" s="36" t="s">
        <v>970</v>
      </c>
      <c r="N74" s="36" t="s">
        <v>971</v>
      </c>
      <c r="O74" s="37" t="s">
        <v>24</v>
      </c>
      <c r="P74" s="36" t="s">
        <v>226</v>
      </c>
      <c r="Q74" s="36" t="s">
        <v>972</v>
      </c>
      <c r="R74" s="38"/>
      <c r="S74" s="38"/>
      <c r="T74" s="38" t="s">
        <v>973</v>
      </c>
    </row>
    <row r="75" spans="1:20" x14ac:dyDescent="0.25">
      <c r="A75" s="35">
        <f t="shared" si="1"/>
        <v>74</v>
      </c>
      <c r="B75" s="36" t="s">
        <v>974</v>
      </c>
      <c r="C75" s="36" t="s">
        <v>974</v>
      </c>
      <c r="D75" s="36"/>
      <c r="E75" s="4" t="s">
        <v>975</v>
      </c>
      <c r="F75" s="36" t="s">
        <v>574</v>
      </c>
      <c r="G75" s="36" t="s">
        <v>545</v>
      </c>
      <c r="H75" s="36" t="s">
        <v>598</v>
      </c>
      <c r="I75" s="36" t="s">
        <v>511</v>
      </c>
      <c r="J75" s="36" t="s">
        <v>512</v>
      </c>
      <c r="K75" s="36" t="s">
        <v>575</v>
      </c>
      <c r="L75" s="36" t="s">
        <v>976</v>
      </c>
      <c r="M75" s="36" t="s">
        <v>977</v>
      </c>
      <c r="N75" s="36" t="s">
        <v>978</v>
      </c>
      <c r="O75" s="37" t="s">
        <v>24</v>
      </c>
      <c r="P75" s="36" t="s">
        <v>226</v>
      </c>
      <c r="Q75" s="36" t="s">
        <v>979</v>
      </c>
      <c r="R75" s="38"/>
      <c r="S75" s="38"/>
      <c r="T75" s="38">
        <v>8919462686</v>
      </c>
    </row>
    <row r="76" spans="1:20" x14ac:dyDescent="0.25">
      <c r="A76" s="35">
        <f t="shared" si="1"/>
        <v>75</v>
      </c>
      <c r="B76" s="36" t="s">
        <v>980</v>
      </c>
      <c r="C76" s="36" t="s">
        <v>981</v>
      </c>
      <c r="D76" s="36"/>
      <c r="E76" s="4" t="s">
        <v>982</v>
      </c>
      <c r="F76" s="36" t="s">
        <v>574</v>
      </c>
      <c r="G76" s="36" t="s">
        <v>545</v>
      </c>
      <c r="H76" s="36" t="s">
        <v>598</v>
      </c>
      <c r="I76" s="36" t="s">
        <v>511</v>
      </c>
      <c r="J76" s="36" t="s">
        <v>512</v>
      </c>
      <c r="K76" s="36" t="s">
        <v>575</v>
      </c>
      <c r="L76" s="36" t="s">
        <v>976</v>
      </c>
      <c r="M76" s="36" t="s">
        <v>983</v>
      </c>
      <c r="N76" s="36" t="s">
        <v>984</v>
      </c>
      <c r="O76" s="37" t="s">
        <v>24</v>
      </c>
      <c r="P76" s="36" t="s">
        <v>226</v>
      </c>
      <c r="Q76" s="36" t="s">
        <v>985</v>
      </c>
      <c r="R76" s="38"/>
      <c r="S76" s="38"/>
      <c r="T76" s="38">
        <v>7814660740</v>
      </c>
    </row>
    <row r="77" spans="1:20" x14ac:dyDescent="0.25">
      <c r="A77" s="35">
        <f t="shared" si="1"/>
        <v>76</v>
      </c>
      <c r="B77" s="36" t="s">
        <v>986</v>
      </c>
      <c r="C77" s="36" t="s">
        <v>987</v>
      </c>
      <c r="D77" s="36"/>
      <c r="E77" s="4" t="s">
        <v>988</v>
      </c>
      <c r="F77" s="36" t="s">
        <v>574</v>
      </c>
      <c r="G77" s="36" t="s">
        <v>545</v>
      </c>
      <c r="H77" s="36" t="s">
        <v>598</v>
      </c>
      <c r="I77" s="36" t="s">
        <v>607</v>
      </c>
      <c r="J77" s="36" t="s">
        <v>521</v>
      </c>
      <c r="K77" s="36" t="s">
        <v>538</v>
      </c>
      <c r="L77" s="36" t="s">
        <v>989</v>
      </c>
      <c r="M77" s="36" t="s">
        <v>990</v>
      </c>
      <c r="N77" s="36" t="s">
        <v>984</v>
      </c>
      <c r="O77" s="37" t="s">
        <v>24</v>
      </c>
      <c r="P77" s="36" t="s">
        <v>95</v>
      </c>
      <c r="Q77" s="36" t="s">
        <v>991</v>
      </c>
      <c r="R77" s="38"/>
      <c r="S77" s="38"/>
      <c r="T77" s="38" t="s">
        <v>992</v>
      </c>
    </row>
    <row r="78" spans="1:20" x14ac:dyDescent="0.25">
      <c r="A78" s="35">
        <f t="shared" si="1"/>
        <v>77</v>
      </c>
      <c r="B78" s="36" t="s">
        <v>993</v>
      </c>
      <c r="C78" s="36" t="s">
        <v>460</v>
      </c>
      <c r="D78" s="36"/>
      <c r="E78" s="4" t="s">
        <v>994</v>
      </c>
      <c r="F78" s="36">
        <v>1000</v>
      </c>
      <c r="G78" s="36" t="s">
        <v>965</v>
      </c>
      <c r="H78" s="36" t="s">
        <v>598</v>
      </c>
      <c r="I78" s="36" t="s">
        <v>607</v>
      </c>
      <c r="J78" s="36" t="s">
        <v>521</v>
      </c>
      <c r="K78" s="36" t="s">
        <v>522</v>
      </c>
      <c r="L78" s="36" t="s">
        <v>995</v>
      </c>
      <c r="M78" s="36"/>
      <c r="N78" s="36"/>
      <c r="O78" s="37" t="s">
        <v>24</v>
      </c>
      <c r="P78" s="36" t="s">
        <v>95</v>
      </c>
      <c r="Q78" s="36" t="s">
        <v>996</v>
      </c>
      <c r="R78" s="38"/>
      <c r="S78" s="38"/>
      <c r="T78" s="38" t="s">
        <v>997</v>
      </c>
    </row>
    <row r="79" spans="1:20" x14ac:dyDescent="0.25">
      <c r="A79" s="35">
        <f t="shared" si="1"/>
        <v>78</v>
      </c>
      <c r="B79" s="36" t="s">
        <v>998</v>
      </c>
      <c r="C79" s="36" t="s">
        <v>998</v>
      </c>
      <c r="D79" s="36"/>
      <c r="E79" s="4"/>
      <c r="F79" s="36">
        <v>1948</v>
      </c>
      <c r="G79" s="36" t="s">
        <v>553</v>
      </c>
      <c r="H79" s="36" t="s">
        <v>510</v>
      </c>
      <c r="I79" s="36" t="s">
        <v>999</v>
      </c>
      <c r="J79" s="36" t="s">
        <v>521</v>
      </c>
      <c r="K79" s="36" t="s">
        <v>522</v>
      </c>
      <c r="L79" s="36" t="s">
        <v>120</v>
      </c>
      <c r="M79" s="36" t="s">
        <v>1000</v>
      </c>
      <c r="N79" s="36" t="s">
        <v>1001</v>
      </c>
      <c r="O79" s="37" t="s">
        <v>24</v>
      </c>
      <c r="P79" s="36" t="s">
        <v>95</v>
      </c>
      <c r="Q79" s="36" t="s">
        <v>1002</v>
      </c>
      <c r="R79" s="38"/>
      <c r="S79" s="38"/>
      <c r="T79" s="38" t="s">
        <v>1003</v>
      </c>
    </row>
    <row r="80" spans="1:20" x14ac:dyDescent="0.25">
      <c r="A80" s="35">
        <f t="shared" si="1"/>
        <v>79</v>
      </c>
      <c r="B80" s="36" t="s">
        <v>1004</v>
      </c>
      <c r="C80" s="36" t="s">
        <v>1004</v>
      </c>
      <c r="D80" s="36"/>
      <c r="E80" s="4" t="s">
        <v>1005</v>
      </c>
      <c r="F80" s="36" t="s">
        <v>574</v>
      </c>
      <c r="G80" s="36" t="s">
        <v>965</v>
      </c>
      <c r="H80" s="36" t="s">
        <v>598</v>
      </c>
      <c r="I80" s="36" t="s">
        <v>511</v>
      </c>
      <c r="J80" s="36" t="s">
        <v>521</v>
      </c>
      <c r="K80" s="36" t="s">
        <v>522</v>
      </c>
      <c r="L80" s="36" t="s">
        <v>1006</v>
      </c>
      <c r="M80" s="36" t="s">
        <v>1007</v>
      </c>
      <c r="N80" s="36" t="s">
        <v>1008</v>
      </c>
      <c r="O80" s="37" t="s">
        <v>24</v>
      </c>
      <c r="P80" s="36" t="s">
        <v>95</v>
      </c>
      <c r="Q80" s="36" t="s">
        <v>1009</v>
      </c>
      <c r="R80" s="38"/>
      <c r="S80" s="38"/>
      <c r="T80" s="38" t="s">
        <v>1010</v>
      </c>
    </row>
    <row r="81" spans="1:20" x14ac:dyDescent="0.25">
      <c r="A81" s="35">
        <f t="shared" si="1"/>
        <v>80</v>
      </c>
      <c r="B81" s="36" t="s">
        <v>1011</v>
      </c>
      <c r="C81" s="36" t="s">
        <v>1012</v>
      </c>
      <c r="D81" s="36" t="s">
        <v>1011</v>
      </c>
      <c r="E81" s="4"/>
      <c r="F81" s="36" t="s">
        <v>574</v>
      </c>
      <c r="G81" s="36" t="s">
        <v>930</v>
      </c>
      <c r="H81" s="36" t="s">
        <v>598</v>
      </c>
      <c r="I81" s="36" t="s">
        <v>607</v>
      </c>
      <c r="J81" s="36" t="s">
        <v>521</v>
      </c>
      <c r="K81" s="36" t="s">
        <v>1013</v>
      </c>
      <c r="L81" s="36" t="s">
        <v>119</v>
      </c>
      <c r="M81" s="36"/>
      <c r="N81" s="36"/>
      <c r="O81" s="37" t="s">
        <v>29</v>
      </c>
      <c r="P81" s="36" t="s">
        <v>96</v>
      </c>
      <c r="Q81" s="36" t="s">
        <v>1014</v>
      </c>
      <c r="R81" s="38"/>
      <c r="S81" s="38"/>
      <c r="T81" s="38"/>
    </row>
    <row r="82" spans="1:20" x14ac:dyDescent="0.25">
      <c r="A82" s="35">
        <f t="shared" si="1"/>
        <v>81</v>
      </c>
      <c r="B82" s="36" t="s">
        <v>486</v>
      </c>
      <c r="C82" s="36" t="s">
        <v>486</v>
      </c>
      <c r="D82" s="36" t="s">
        <v>486</v>
      </c>
      <c r="E82" s="4"/>
      <c r="F82" s="36">
        <v>425</v>
      </c>
      <c r="G82" s="36" t="s">
        <v>1015</v>
      </c>
      <c r="H82" s="36" t="s">
        <v>510</v>
      </c>
      <c r="I82" s="36" t="s">
        <v>607</v>
      </c>
      <c r="J82" s="36" t="s">
        <v>521</v>
      </c>
      <c r="K82" s="36" t="s">
        <v>1016</v>
      </c>
      <c r="L82" s="36" t="s">
        <v>1017</v>
      </c>
      <c r="M82" s="36"/>
      <c r="N82" s="36"/>
      <c r="O82" s="37" t="s">
        <v>29</v>
      </c>
      <c r="P82" s="36" t="s">
        <v>96</v>
      </c>
      <c r="Q82" s="36" t="s">
        <v>1018</v>
      </c>
      <c r="R82" s="38"/>
      <c r="S82" s="38"/>
      <c r="T82" s="38" t="s">
        <v>1019</v>
      </c>
    </row>
    <row r="83" spans="1:20" x14ac:dyDescent="0.25">
      <c r="A83" s="35">
        <f t="shared" si="1"/>
        <v>82</v>
      </c>
      <c r="B83" s="36" t="s">
        <v>1020</v>
      </c>
      <c r="C83" s="36" t="s">
        <v>1020</v>
      </c>
      <c r="D83" s="36" t="s">
        <v>1020</v>
      </c>
      <c r="E83" s="4"/>
      <c r="F83" s="36" t="s">
        <v>574</v>
      </c>
      <c r="G83" s="36" t="s">
        <v>1015</v>
      </c>
      <c r="H83" s="36" t="s">
        <v>510</v>
      </c>
      <c r="I83" s="36" t="s">
        <v>1021</v>
      </c>
      <c r="J83" s="36" t="s">
        <v>521</v>
      </c>
      <c r="K83" s="36" t="s">
        <v>1016</v>
      </c>
      <c r="L83" s="36" t="s">
        <v>539</v>
      </c>
      <c r="M83" s="36"/>
      <c r="N83" s="36"/>
      <c r="O83" s="37" t="s">
        <v>29</v>
      </c>
      <c r="P83" s="36" t="s">
        <v>96</v>
      </c>
      <c r="Q83" s="36" t="s">
        <v>1022</v>
      </c>
      <c r="R83" s="38"/>
      <c r="S83" s="38"/>
      <c r="T83" s="38"/>
    </row>
    <row r="84" spans="1:20" x14ac:dyDescent="0.25">
      <c r="A84" s="35">
        <f t="shared" si="1"/>
        <v>83</v>
      </c>
      <c r="B84" s="36" t="s">
        <v>1023</v>
      </c>
      <c r="C84" s="36" t="s">
        <v>1024</v>
      </c>
      <c r="D84" s="36" t="s">
        <v>1023</v>
      </c>
      <c r="E84" s="4"/>
      <c r="F84" s="36" t="s">
        <v>574</v>
      </c>
      <c r="G84" s="36" t="s">
        <v>1015</v>
      </c>
      <c r="H84" s="36" t="s">
        <v>510</v>
      </c>
      <c r="I84" s="36" t="s">
        <v>607</v>
      </c>
      <c r="J84" s="36" t="s">
        <v>521</v>
      </c>
      <c r="K84" s="36" t="s">
        <v>1016</v>
      </c>
      <c r="L84" s="36" t="s">
        <v>539</v>
      </c>
      <c r="M84" s="36"/>
      <c r="N84" s="36"/>
      <c r="O84" s="37"/>
      <c r="P84" s="36"/>
      <c r="Q84" s="36"/>
      <c r="R84" s="38"/>
      <c r="S84" s="38"/>
      <c r="T84" s="38"/>
    </row>
    <row r="85" spans="1:20" x14ac:dyDescent="0.25">
      <c r="A85" s="35">
        <f t="shared" si="1"/>
        <v>84</v>
      </c>
      <c r="B85" s="36"/>
      <c r="C85" s="36" t="s">
        <v>1025</v>
      </c>
      <c r="D85" s="36"/>
      <c r="E85" s="4"/>
      <c r="F85" s="36"/>
      <c r="G85" s="36"/>
      <c r="H85" s="36"/>
      <c r="I85" s="36"/>
      <c r="J85" s="36"/>
      <c r="K85" s="36"/>
      <c r="L85" s="36"/>
      <c r="M85" s="36"/>
      <c r="N85" s="36"/>
      <c r="O85" s="37" t="s">
        <v>1026</v>
      </c>
      <c r="P85" s="36" t="s">
        <v>1026</v>
      </c>
      <c r="Q85" s="36"/>
      <c r="R85" s="38"/>
      <c r="S85" s="38"/>
      <c r="T85" s="38"/>
    </row>
    <row r="86" spans="1:20" x14ac:dyDescent="0.25">
      <c r="A86" s="35">
        <f t="shared" si="1"/>
        <v>85</v>
      </c>
      <c r="B86" s="36"/>
      <c r="C86" s="36" t="s">
        <v>1027</v>
      </c>
      <c r="D86" s="36"/>
      <c r="E86" s="4"/>
      <c r="F86" s="36"/>
      <c r="G86" s="36" t="s">
        <v>1028</v>
      </c>
      <c r="H86" s="36"/>
      <c r="I86" s="36"/>
      <c r="J86" s="36"/>
      <c r="K86" s="36"/>
      <c r="L86" s="36"/>
      <c r="M86" s="36"/>
      <c r="N86" s="36"/>
      <c r="O86" s="37" t="s">
        <v>24</v>
      </c>
      <c r="P86" s="36" t="s">
        <v>95</v>
      </c>
      <c r="Q86" s="36"/>
      <c r="R86" s="38"/>
      <c r="S86" s="38"/>
      <c r="T86" s="38"/>
    </row>
    <row r="87" spans="1:20" x14ac:dyDescent="0.25">
      <c r="A87" s="35">
        <f t="shared" si="1"/>
        <v>86</v>
      </c>
      <c r="B87" s="36"/>
      <c r="C87" s="36" t="s">
        <v>649</v>
      </c>
      <c r="D87" s="36"/>
      <c r="E87" s="4"/>
      <c r="F87" s="36"/>
      <c r="G87" s="36"/>
      <c r="H87" s="36"/>
      <c r="I87" s="36"/>
      <c r="J87" s="36"/>
      <c r="K87" s="36"/>
      <c r="L87" s="36"/>
      <c r="M87" s="36"/>
      <c r="N87" s="36"/>
      <c r="O87" s="37" t="s">
        <v>24</v>
      </c>
      <c r="P87" s="36" t="s">
        <v>95</v>
      </c>
      <c r="Q87" s="36"/>
      <c r="R87" s="38"/>
      <c r="S87" s="38"/>
      <c r="T87" s="38"/>
    </row>
    <row r="88" spans="1:20" x14ac:dyDescent="0.25">
      <c r="A88" s="35">
        <f t="shared" si="1"/>
        <v>87</v>
      </c>
      <c r="B88" s="36"/>
      <c r="C88" s="36" t="s">
        <v>1029</v>
      </c>
      <c r="D88" s="36"/>
      <c r="E88" s="4"/>
      <c r="F88" s="36"/>
      <c r="G88" s="36"/>
      <c r="H88" s="36"/>
      <c r="I88" s="36"/>
      <c r="J88" s="36"/>
      <c r="K88" s="36"/>
      <c r="L88" s="36"/>
      <c r="M88" s="36"/>
      <c r="N88" s="36"/>
      <c r="O88" s="37" t="s">
        <v>1026</v>
      </c>
      <c r="P88" s="36" t="s">
        <v>1026</v>
      </c>
      <c r="Q88" s="36"/>
      <c r="R88" s="38"/>
      <c r="S88" s="38"/>
      <c r="T88" s="38"/>
    </row>
    <row r="89" spans="1:20" x14ac:dyDescent="0.25">
      <c r="A89" s="35">
        <f t="shared" si="1"/>
        <v>88</v>
      </c>
      <c r="B89" s="36"/>
      <c r="C89" s="36" t="s">
        <v>1030</v>
      </c>
      <c r="D89" s="36"/>
      <c r="E89" s="4"/>
      <c r="F89" s="36"/>
      <c r="G89" s="36"/>
      <c r="H89" s="36"/>
      <c r="I89" s="36"/>
      <c r="J89" s="36"/>
      <c r="K89" s="36"/>
      <c r="L89" s="36"/>
      <c r="M89" s="36"/>
      <c r="N89" s="36"/>
      <c r="O89" s="37" t="s">
        <v>1026</v>
      </c>
      <c r="P89" s="36" t="s">
        <v>1026</v>
      </c>
      <c r="Q89" s="36"/>
      <c r="R89" s="38"/>
      <c r="S89" s="38"/>
      <c r="T89" s="38"/>
    </row>
    <row r="90" spans="1:20" x14ac:dyDescent="0.25">
      <c r="A90" s="35">
        <f t="shared" si="1"/>
        <v>89</v>
      </c>
      <c r="B90" s="36" t="s">
        <v>1031</v>
      </c>
      <c r="C90" s="36" t="s">
        <v>1031</v>
      </c>
      <c r="D90" s="36"/>
      <c r="E90" s="4"/>
      <c r="F90" s="36" t="s">
        <v>574</v>
      </c>
      <c r="G90" s="36" t="s">
        <v>1032</v>
      </c>
      <c r="H90" s="36"/>
      <c r="I90" s="36"/>
      <c r="J90" s="36"/>
      <c r="K90" s="36"/>
      <c r="L90" s="36"/>
      <c r="M90" s="36"/>
      <c r="N90" s="36"/>
      <c r="O90" s="37" t="s">
        <v>24</v>
      </c>
      <c r="P90" s="36" t="s">
        <v>95</v>
      </c>
      <c r="Q90" s="36"/>
      <c r="R90" s="38"/>
      <c r="S90" s="38"/>
      <c r="T90" s="38"/>
    </row>
    <row r="91" spans="1:20" x14ac:dyDescent="0.25">
      <c r="A91" s="35">
        <f t="shared" si="1"/>
        <v>90</v>
      </c>
      <c r="B91" s="36"/>
      <c r="C91" s="36" t="s">
        <v>1033</v>
      </c>
      <c r="D91" s="36"/>
      <c r="E91" s="4"/>
      <c r="F91" s="36">
        <v>0</v>
      </c>
      <c r="G91" s="36" t="s">
        <v>1034</v>
      </c>
      <c r="H91" s="36"/>
      <c r="I91" s="36"/>
      <c r="J91" s="36" t="s">
        <v>521</v>
      </c>
      <c r="K91" s="36"/>
      <c r="L91" s="36"/>
      <c r="M91" s="36"/>
      <c r="N91" s="36"/>
      <c r="O91" s="37" t="s">
        <v>29</v>
      </c>
      <c r="P91" s="36" t="s">
        <v>95</v>
      </c>
      <c r="Q91" s="36"/>
      <c r="R91" s="38"/>
      <c r="S91" s="38"/>
      <c r="T91" s="38"/>
    </row>
    <row r="92" spans="1:20" x14ac:dyDescent="0.25">
      <c r="A92" s="35">
        <f t="shared" si="1"/>
        <v>91</v>
      </c>
      <c r="B92" s="36"/>
      <c r="C92" s="36" t="s">
        <v>1035</v>
      </c>
      <c r="D92" s="36"/>
      <c r="E92" s="4"/>
      <c r="F92" s="36"/>
      <c r="G92" s="36"/>
      <c r="H92" s="36"/>
      <c r="I92" s="36"/>
      <c r="J92" s="36"/>
      <c r="K92" s="36"/>
      <c r="L92" s="36"/>
      <c r="M92" s="36"/>
      <c r="N92" s="36"/>
      <c r="O92" s="37" t="s">
        <v>1026</v>
      </c>
      <c r="P92" s="36" t="s">
        <v>1026</v>
      </c>
      <c r="Q92" s="36"/>
      <c r="R92" s="38"/>
      <c r="S92" s="38"/>
      <c r="T92" s="38"/>
    </row>
    <row r="93" spans="1:20" x14ac:dyDescent="0.25">
      <c r="A93" s="35">
        <f t="shared" si="1"/>
        <v>92</v>
      </c>
      <c r="B93" s="36"/>
      <c r="C93" s="36" t="s">
        <v>1036</v>
      </c>
      <c r="D93" s="36"/>
      <c r="E93" s="4"/>
      <c r="F93" s="36"/>
      <c r="G93" s="36"/>
      <c r="H93" s="36"/>
      <c r="I93" s="36"/>
      <c r="J93" s="36"/>
      <c r="K93" s="36"/>
      <c r="L93" s="36"/>
      <c r="M93" s="36"/>
      <c r="N93" s="36"/>
      <c r="O93" s="37" t="s">
        <v>1026</v>
      </c>
      <c r="P93" s="36" t="s">
        <v>1026</v>
      </c>
      <c r="Q93" s="36"/>
      <c r="R93" s="38"/>
      <c r="S93" s="38"/>
      <c r="T93" s="38"/>
    </row>
    <row r="94" spans="1:20" x14ac:dyDescent="0.25">
      <c r="A94" s="35">
        <f t="shared" si="1"/>
        <v>93</v>
      </c>
      <c r="B94" s="36"/>
      <c r="C94" s="36" t="s">
        <v>1037</v>
      </c>
      <c r="D94" s="36"/>
      <c r="E94" s="4"/>
      <c r="F94" s="36"/>
      <c r="G94" s="36"/>
      <c r="H94" s="36"/>
      <c r="I94" s="36"/>
      <c r="J94" s="36"/>
      <c r="K94" s="36"/>
      <c r="L94" s="36"/>
      <c r="M94" s="36"/>
      <c r="N94" s="36"/>
      <c r="O94" s="37" t="s">
        <v>1026</v>
      </c>
      <c r="P94" s="36" t="s">
        <v>1026</v>
      </c>
      <c r="Q94" s="36"/>
      <c r="R94" s="38"/>
      <c r="S94" s="38"/>
      <c r="T94" s="38"/>
    </row>
    <row r="95" spans="1:20" x14ac:dyDescent="0.25">
      <c r="A95" s="35">
        <f t="shared" si="1"/>
        <v>94</v>
      </c>
      <c r="B95" s="36"/>
      <c r="C95" s="36" t="s">
        <v>1038</v>
      </c>
      <c r="D95" s="36"/>
      <c r="E95" s="4"/>
      <c r="F95" s="36"/>
      <c r="G95" s="36"/>
      <c r="H95" s="36"/>
      <c r="I95" s="36"/>
      <c r="J95" s="36"/>
      <c r="K95" s="36"/>
      <c r="L95" s="36"/>
      <c r="M95" s="36"/>
      <c r="N95" s="36"/>
      <c r="O95" s="37" t="s">
        <v>1026</v>
      </c>
      <c r="P95" s="36" t="s">
        <v>1026</v>
      </c>
      <c r="Q95" s="36"/>
      <c r="R95" s="38"/>
      <c r="S95" s="38"/>
      <c r="T95" s="38"/>
    </row>
    <row r="96" spans="1:20" x14ac:dyDescent="0.25">
      <c r="A96" s="35">
        <f t="shared" si="1"/>
        <v>95</v>
      </c>
      <c r="B96" s="36"/>
      <c r="C96" s="36" t="s">
        <v>1039</v>
      </c>
      <c r="D96" s="36"/>
      <c r="E96" s="4"/>
      <c r="F96" s="36"/>
      <c r="G96" s="36"/>
      <c r="H96" s="36"/>
      <c r="I96" s="36"/>
      <c r="J96" s="36"/>
      <c r="K96" s="36"/>
      <c r="L96" s="36"/>
      <c r="M96" s="36"/>
      <c r="N96" s="36"/>
      <c r="O96" s="37" t="s">
        <v>1026</v>
      </c>
      <c r="P96" s="36" t="s">
        <v>1026</v>
      </c>
      <c r="Q96" s="36"/>
      <c r="R96" s="38"/>
      <c r="S96" s="38"/>
      <c r="T96" s="38"/>
    </row>
    <row r="97" spans="1:20" x14ac:dyDescent="0.25">
      <c r="A97" s="35">
        <f t="shared" si="1"/>
        <v>96</v>
      </c>
      <c r="B97" s="36" t="s">
        <v>1040</v>
      </c>
      <c r="C97" s="36" t="s">
        <v>1040</v>
      </c>
      <c r="D97" s="36"/>
      <c r="E97" s="4"/>
      <c r="F97" s="36" t="s">
        <v>574</v>
      </c>
      <c r="G97" s="36" t="s">
        <v>1015</v>
      </c>
      <c r="H97" s="36"/>
      <c r="I97" s="36"/>
      <c r="J97" s="36"/>
      <c r="K97" s="36"/>
      <c r="L97" s="36"/>
      <c r="M97" s="36"/>
      <c r="N97" s="36"/>
      <c r="O97" s="37" t="s">
        <v>29</v>
      </c>
      <c r="P97" s="36" t="s">
        <v>96</v>
      </c>
      <c r="Q97" s="36"/>
      <c r="R97" s="38"/>
      <c r="S97" s="38"/>
      <c r="T97" s="38"/>
    </row>
    <row r="98" spans="1:20" x14ac:dyDescent="0.25">
      <c r="A98" s="35">
        <f t="shared" si="1"/>
        <v>97</v>
      </c>
      <c r="B98" s="36" t="s">
        <v>1041</v>
      </c>
      <c r="C98" s="36" t="s">
        <v>1041</v>
      </c>
      <c r="D98" s="36"/>
      <c r="E98" s="4"/>
      <c r="F98" s="36" t="s">
        <v>574</v>
      </c>
      <c r="G98" s="36" t="s">
        <v>1015</v>
      </c>
      <c r="H98" s="36"/>
      <c r="I98" s="36"/>
      <c r="J98" s="36"/>
      <c r="K98" s="36"/>
      <c r="L98" s="36"/>
      <c r="M98" s="36"/>
      <c r="N98" s="36"/>
      <c r="O98" s="37" t="s">
        <v>29</v>
      </c>
      <c r="P98" s="36" t="s">
        <v>96</v>
      </c>
      <c r="Q98" s="36"/>
      <c r="R98" s="38"/>
      <c r="S98" s="38"/>
      <c r="T98" s="38"/>
    </row>
    <row r="99" spans="1:20" x14ac:dyDescent="0.25">
      <c r="A99" s="35">
        <f t="shared" si="1"/>
        <v>98</v>
      </c>
      <c r="B99" s="36"/>
      <c r="C99" s="36" t="s">
        <v>1042</v>
      </c>
      <c r="D99" s="36"/>
      <c r="E99" s="4"/>
      <c r="F99" s="36"/>
      <c r="G99" s="36" t="s">
        <v>1043</v>
      </c>
      <c r="H99" s="36"/>
      <c r="I99" s="36"/>
      <c r="J99" s="36"/>
      <c r="K99" s="36"/>
      <c r="L99" s="36"/>
      <c r="M99" s="36"/>
      <c r="N99" s="36"/>
      <c r="O99" s="37" t="s">
        <v>29</v>
      </c>
      <c r="P99" s="36" t="s">
        <v>96</v>
      </c>
      <c r="Q99" s="36"/>
      <c r="R99" s="38"/>
      <c r="S99" s="38"/>
      <c r="T99" s="38"/>
    </row>
    <row r="100" spans="1:20" x14ac:dyDescent="0.25">
      <c r="A100" s="35">
        <f t="shared" si="1"/>
        <v>99</v>
      </c>
      <c r="B100" s="36" t="s">
        <v>1044</v>
      </c>
      <c r="C100" s="36" t="s">
        <v>1045</v>
      </c>
      <c r="D100" s="36"/>
      <c r="E100" s="4"/>
      <c r="F100" s="36" t="s">
        <v>574</v>
      </c>
      <c r="G100" s="36" t="s">
        <v>1015</v>
      </c>
      <c r="H100" s="36"/>
      <c r="I100" s="36"/>
      <c r="J100" s="36" t="s">
        <v>512</v>
      </c>
      <c r="K100" s="36"/>
      <c r="L100" s="36"/>
      <c r="M100" s="36"/>
      <c r="N100" s="36"/>
      <c r="O100" s="37" t="s">
        <v>29</v>
      </c>
      <c r="P100" s="36" t="s">
        <v>96</v>
      </c>
      <c r="Q100" s="36"/>
      <c r="R100" s="38"/>
      <c r="S100" s="38"/>
      <c r="T100" s="38"/>
    </row>
    <row r="101" spans="1:20" x14ac:dyDescent="0.25">
      <c r="A101" s="35">
        <f t="shared" si="1"/>
        <v>100</v>
      </c>
      <c r="B101" s="36"/>
      <c r="C101" s="36" t="s">
        <v>1046</v>
      </c>
      <c r="D101" s="36"/>
      <c r="E101" s="4"/>
      <c r="F101" s="36"/>
      <c r="G101" s="36" t="s">
        <v>1047</v>
      </c>
      <c r="H101" s="36"/>
      <c r="I101" s="36"/>
      <c r="J101" s="36"/>
      <c r="K101" s="36"/>
      <c r="L101" s="36"/>
      <c r="M101" s="36"/>
      <c r="N101" s="36"/>
      <c r="O101" s="37" t="s">
        <v>1048</v>
      </c>
      <c r="P101" s="36" t="s">
        <v>1048</v>
      </c>
      <c r="Q101" s="36"/>
      <c r="R101" s="38"/>
      <c r="S101" s="38"/>
      <c r="T101" s="38"/>
    </row>
    <row r="102" spans="1:20" x14ac:dyDescent="0.25">
      <c r="A102" s="35">
        <f t="shared" si="1"/>
        <v>101</v>
      </c>
      <c r="B102" s="36"/>
      <c r="C102" s="36" t="s">
        <v>1049</v>
      </c>
      <c r="D102" s="36"/>
      <c r="E102" s="4"/>
      <c r="F102" s="36"/>
      <c r="G102" s="36" t="s">
        <v>553</v>
      </c>
      <c r="H102" s="36"/>
      <c r="I102" s="36"/>
      <c r="J102" s="36"/>
      <c r="K102" s="36"/>
      <c r="L102" s="36"/>
      <c r="M102" s="36"/>
      <c r="N102" s="36"/>
      <c r="O102" s="37" t="s">
        <v>29</v>
      </c>
      <c r="P102" s="36" t="s">
        <v>226</v>
      </c>
      <c r="Q102" s="36"/>
      <c r="R102" s="38"/>
      <c r="S102" s="38"/>
      <c r="T102" s="38"/>
    </row>
    <row r="103" spans="1:20" x14ac:dyDescent="0.25">
      <c r="A103" s="35">
        <f t="shared" si="1"/>
        <v>102</v>
      </c>
      <c r="B103" s="36"/>
      <c r="C103" s="36" t="s">
        <v>1050</v>
      </c>
      <c r="D103" s="36"/>
      <c r="E103" s="4"/>
      <c r="F103" s="36"/>
      <c r="G103" s="36" t="s">
        <v>1032</v>
      </c>
      <c r="H103" s="36"/>
      <c r="I103" s="36"/>
      <c r="J103" s="36"/>
      <c r="K103" s="36"/>
      <c r="L103" s="36"/>
      <c r="M103" s="36"/>
      <c r="N103" s="36"/>
      <c r="O103" s="37" t="s">
        <v>1048</v>
      </c>
      <c r="P103" s="36" t="s">
        <v>1048</v>
      </c>
      <c r="Q103" s="36"/>
      <c r="R103" s="38"/>
      <c r="S103" s="38"/>
      <c r="T103" s="38"/>
    </row>
    <row r="104" spans="1:20" x14ac:dyDescent="0.25">
      <c r="A104" s="35">
        <f t="shared" si="1"/>
        <v>103</v>
      </c>
      <c r="B104" s="36"/>
      <c r="C104" s="36" t="s">
        <v>1051</v>
      </c>
      <c r="D104" s="36"/>
      <c r="E104" s="4"/>
      <c r="F104" s="36"/>
      <c r="G104" s="36" t="s">
        <v>1052</v>
      </c>
      <c r="H104" s="36"/>
      <c r="I104" s="36"/>
      <c r="J104" s="36"/>
      <c r="K104" s="36"/>
      <c r="L104" s="36"/>
      <c r="M104" s="36"/>
      <c r="N104" s="36"/>
      <c r="O104" s="37" t="s">
        <v>1048</v>
      </c>
      <c r="P104" s="36" t="s">
        <v>1048</v>
      </c>
      <c r="Q104" s="36"/>
      <c r="R104" s="38"/>
      <c r="S104" s="38"/>
      <c r="T104" s="38"/>
    </row>
    <row r="105" spans="1:20" x14ac:dyDescent="0.25">
      <c r="A105" s="35">
        <f t="shared" si="1"/>
        <v>104</v>
      </c>
      <c r="B105" s="36"/>
      <c r="C105" s="36" t="s">
        <v>1053</v>
      </c>
      <c r="D105" s="36"/>
      <c r="E105" s="4"/>
      <c r="F105" s="36"/>
      <c r="G105" s="36" t="s">
        <v>1032</v>
      </c>
      <c r="H105" s="36"/>
      <c r="I105" s="36"/>
      <c r="J105" s="36"/>
      <c r="K105" s="36"/>
      <c r="L105" s="36"/>
      <c r="M105" s="36"/>
      <c r="N105" s="36"/>
      <c r="O105" s="37" t="s">
        <v>1048</v>
      </c>
      <c r="P105" s="36" t="s">
        <v>1048</v>
      </c>
      <c r="Q105" s="36"/>
      <c r="R105" s="38"/>
      <c r="S105" s="38"/>
      <c r="T105" s="38"/>
    </row>
    <row r="106" spans="1:20" x14ac:dyDescent="0.25">
      <c r="A106" s="35">
        <f t="shared" si="1"/>
        <v>105</v>
      </c>
      <c r="B106" s="36"/>
      <c r="C106" s="36" t="s">
        <v>1054</v>
      </c>
      <c r="D106" s="36"/>
      <c r="E106" s="4"/>
      <c r="F106" s="36"/>
      <c r="G106" s="36"/>
      <c r="H106" s="36"/>
      <c r="I106" s="36"/>
      <c r="J106" s="36"/>
      <c r="K106" s="36"/>
      <c r="L106" s="36"/>
      <c r="M106" s="36"/>
      <c r="N106" s="36"/>
      <c r="O106" s="37" t="s">
        <v>1048</v>
      </c>
      <c r="P106" s="36" t="s">
        <v>1048</v>
      </c>
      <c r="Q106" s="36"/>
      <c r="R106" s="38"/>
      <c r="S106" s="38"/>
      <c r="T106" s="38"/>
    </row>
    <row r="107" spans="1:20" x14ac:dyDescent="0.25">
      <c r="A107" s="35">
        <f t="shared" si="1"/>
        <v>106</v>
      </c>
      <c r="B107" s="36"/>
      <c r="C107" s="36" t="s">
        <v>1055</v>
      </c>
      <c r="D107" s="36"/>
      <c r="E107" s="4"/>
      <c r="F107" s="36"/>
      <c r="G107" s="36" t="s">
        <v>1052</v>
      </c>
      <c r="H107" s="36"/>
      <c r="I107" s="36"/>
      <c r="J107" s="36"/>
      <c r="K107" s="36"/>
      <c r="L107" s="36"/>
      <c r="M107" s="36"/>
      <c r="N107" s="36"/>
      <c r="O107" s="37" t="s">
        <v>1048</v>
      </c>
      <c r="P107" s="36" t="s">
        <v>1048</v>
      </c>
      <c r="Q107" s="36"/>
      <c r="R107" s="38"/>
      <c r="S107" s="38"/>
      <c r="T107" s="38"/>
    </row>
    <row r="108" spans="1:20" x14ac:dyDescent="0.25">
      <c r="A108" s="35">
        <f t="shared" si="1"/>
        <v>107</v>
      </c>
      <c r="B108" s="36"/>
      <c r="C108" s="36" t="s">
        <v>1056</v>
      </c>
      <c r="D108" s="36"/>
      <c r="E108" s="4"/>
      <c r="F108" s="36"/>
      <c r="G108" s="36" t="s">
        <v>1057</v>
      </c>
      <c r="H108" s="36"/>
      <c r="I108" s="36"/>
      <c r="J108" s="36"/>
      <c r="K108" s="36"/>
      <c r="L108" s="36"/>
      <c r="M108" s="36"/>
      <c r="N108" s="36"/>
      <c r="O108" s="37" t="s">
        <v>1048</v>
      </c>
      <c r="P108" s="36" t="s">
        <v>1048</v>
      </c>
      <c r="Q108" s="36"/>
      <c r="R108" s="38"/>
      <c r="S108" s="38"/>
      <c r="T108" s="38"/>
    </row>
    <row r="109" spans="1:20" x14ac:dyDescent="0.25">
      <c r="A109" s="35">
        <f t="shared" si="1"/>
        <v>108</v>
      </c>
      <c r="B109" s="36"/>
      <c r="C109" s="36" t="s">
        <v>1058</v>
      </c>
      <c r="D109" s="36"/>
      <c r="E109" s="4"/>
      <c r="F109" s="36"/>
      <c r="G109" s="36"/>
      <c r="H109" s="36"/>
      <c r="I109" s="36"/>
      <c r="J109" s="36"/>
      <c r="K109" s="36"/>
      <c r="L109" s="36"/>
      <c r="M109" s="36"/>
      <c r="N109" s="36"/>
      <c r="O109" s="37" t="s">
        <v>1048</v>
      </c>
      <c r="P109" s="36" t="s">
        <v>1048</v>
      </c>
      <c r="Q109" s="36"/>
      <c r="R109" s="38"/>
      <c r="S109" s="38"/>
      <c r="T109" s="38"/>
    </row>
    <row r="110" spans="1:20" x14ac:dyDescent="0.25">
      <c r="A110" s="35">
        <f t="shared" si="1"/>
        <v>109</v>
      </c>
      <c r="B110" s="36"/>
      <c r="C110" s="36" t="s">
        <v>1059</v>
      </c>
      <c r="D110" s="36"/>
      <c r="E110" s="4"/>
      <c r="F110" s="36"/>
      <c r="G110" s="36" t="s">
        <v>1047</v>
      </c>
      <c r="H110" s="36"/>
      <c r="I110" s="36"/>
      <c r="J110" s="36"/>
      <c r="K110" s="36"/>
      <c r="L110" s="36"/>
      <c r="M110" s="36"/>
      <c r="N110" s="36"/>
      <c r="O110" s="37" t="s">
        <v>1048</v>
      </c>
      <c r="P110" s="36" t="s">
        <v>1048</v>
      </c>
      <c r="Q110" s="36"/>
      <c r="R110" s="38"/>
      <c r="S110" s="38"/>
      <c r="T110" s="38"/>
    </row>
    <row r="111" spans="1:20" x14ac:dyDescent="0.25">
      <c r="A111" s="35">
        <f t="shared" si="1"/>
        <v>110</v>
      </c>
      <c r="B111" s="36"/>
      <c r="C111" s="36" t="s">
        <v>1060</v>
      </c>
      <c r="D111" s="36"/>
      <c r="E111" s="4"/>
      <c r="F111" s="36"/>
      <c r="G111" s="36" t="s">
        <v>1032</v>
      </c>
      <c r="H111" s="36"/>
      <c r="I111" s="36"/>
      <c r="J111" s="36"/>
      <c r="K111" s="36"/>
      <c r="L111" s="36"/>
      <c r="M111" s="36"/>
      <c r="N111" s="36"/>
      <c r="O111" s="37" t="s">
        <v>1048</v>
      </c>
      <c r="P111" s="36" t="s">
        <v>1048</v>
      </c>
      <c r="Q111" s="36"/>
      <c r="R111" s="38"/>
      <c r="S111" s="38"/>
      <c r="T111" s="38"/>
    </row>
    <row r="112" spans="1:20" x14ac:dyDescent="0.25">
      <c r="A112" s="35">
        <f t="shared" si="1"/>
        <v>111</v>
      </c>
      <c r="B112" s="36"/>
      <c r="C112" s="36" t="s">
        <v>1061</v>
      </c>
      <c r="D112" s="36"/>
      <c r="E112" s="4"/>
      <c r="F112" s="36"/>
      <c r="G112" s="36"/>
      <c r="H112" s="36"/>
      <c r="I112" s="36"/>
      <c r="J112" s="36"/>
      <c r="K112" s="36"/>
      <c r="L112" s="36"/>
      <c r="M112" s="36"/>
      <c r="N112" s="36"/>
      <c r="O112" s="37" t="s">
        <v>1048</v>
      </c>
      <c r="P112" s="36" t="s">
        <v>1048</v>
      </c>
      <c r="Q112" s="36"/>
      <c r="R112" s="38"/>
      <c r="S112" s="38"/>
      <c r="T112" s="38"/>
    </row>
    <row r="113" spans="1:20" x14ac:dyDescent="0.25">
      <c r="A113" s="35">
        <f t="shared" si="1"/>
        <v>112</v>
      </c>
      <c r="B113" s="36"/>
      <c r="C113" s="36" t="s">
        <v>1062</v>
      </c>
      <c r="D113" s="36"/>
      <c r="E113" s="4"/>
      <c r="F113" s="36"/>
      <c r="G113" s="36" t="s">
        <v>1032</v>
      </c>
      <c r="H113" s="36"/>
      <c r="I113" s="36"/>
      <c r="J113" s="36"/>
      <c r="K113" s="36"/>
      <c r="L113" s="36"/>
      <c r="M113" s="36"/>
      <c r="N113" s="36"/>
      <c r="O113" s="37" t="s">
        <v>1048</v>
      </c>
      <c r="P113" s="36" t="s">
        <v>1048</v>
      </c>
      <c r="Q113" s="36"/>
      <c r="R113" s="38"/>
      <c r="S113" s="38"/>
      <c r="T113" s="38"/>
    </row>
    <row r="114" spans="1:20" x14ac:dyDescent="0.25">
      <c r="A114" s="35">
        <f t="shared" si="1"/>
        <v>113</v>
      </c>
      <c r="B114" s="36"/>
      <c r="C114" s="36" t="s">
        <v>1063</v>
      </c>
      <c r="D114" s="36"/>
      <c r="E114" s="4"/>
      <c r="F114" s="36"/>
      <c r="G114" s="36" t="s">
        <v>1032</v>
      </c>
      <c r="H114" s="36"/>
      <c r="I114" s="36"/>
      <c r="J114" s="36"/>
      <c r="K114" s="36"/>
      <c r="L114" s="36"/>
      <c r="M114" s="36"/>
      <c r="N114" s="36"/>
      <c r="O114" s="37" t="s">
        <v>1048</v>
      </c>
      <c r="P114" s="36" t="s">
        <v>1048</v>
      </c>
      <c r="Q114" s="36"/>
      <c r="R114" s="38"/>
      <c r="S114" s="38"/>
      <c r="T114" s="38"/>
    </row>
    <row r="115" spans="1:20" x14ac:dyDescent="0.25">
      <c r="A115" s="35">
        <f t="shared" si="1"/>
        <v>114</v>
      </c>
      <c r="B115" s="36"/>
      <c r="C115" s="36" t="s">
        <v>1064</v>
      </c>
      <c r="D115" s="36"/>
      <c r="E115" s="4"/>
      <c r="F115" s="36"/>
      <c r="G115" s="36"/>
      <c r="H115" s="36"/>
      <c r="I115" s="36"/>
      <c r="J115" s="36"/>
      <c r="K115" s="36"/>
      <c r="L115" s="36"/>
      <c r="M115" s="36"/>
      <c r="N115" s="36"/>
      <c r="O115" s="37" t="s">
        <v>1048</v>
      </c>
      <c r="P115" s="36" t="s">
        <v>1048</v>
      </c>
      <c r="Q115" s="36"/>
      <c r="R115" s="38"/>
      <c r="S115" s="38"/>
      <c r="T115" s="38"/>
    </row>
    <row r="116" spans="1:20" x14ac:dyDescent="0.25">
      <c r="A116" s="35">
        <f t="shared" si="1"/>
        <v>115</v>
      </c>
      <c r="B116" s="36"/>
      <c r="C116" s="36" t="s">
        <v>1065</v>
      </c>
      <c r="D116" s="36"/>
      <c r="E116" s="4"/>
      <c r="F116" s="36"/>
      <c r="G116" s="36"/>
      <c r="H116" s="36"/>
      <c r="I116" s="36"/>
      <c r="J116" s="36"/>
      <c r="K116" s="36"/>
      <c r="L116" s="36"/>
      <c r="M116" s="36"/>
      <c r="N116" s="36"/>
      <c r="O116" s="37" t="s">
        <v>1048</v>
      </c>
      <c r="P116" s="36" t="s">
        <v>1048</v>
      </c>
      <c r="Q116" s="36"/>
      <c r="R116" s="38"/>
      <c r="S116" s="38"/>
      <c r="T116" s="38"/>
    </row>
    <row r="117" spans="1:20" x14ac:dyDescent="0.25">
      <c r="A117" s="35">
        <f t="shared" si="1"/>
        <v>116</v>
      </c>
      <c r="B117" s="36"/>
      <c r="C117" s="36" t="s">
        <v>1066</v>
      </c>
      <c r="D117" s="36"/>
      <c r="E117" s="4"/>
      <c r="F117" s="36"/>
      <c r="G117" s="36" t="s">
        <v>1057</v>
      </c>
      <c r="H117" s="36"/>
      <c r="I117" s="36"/>
      <c r="J117" s="36"/>
      <c r="K117" s="36"/>
      <c r="L117" s="36"/>
      <c r="M117" s="36"/>
      <c r="N117" s="36"/>
      <c r="O117" s="37" t="s">
        <v>1048</v>
      </c>
      <c r="P117" s="36" t="s">
        <v>1048</v>
      </c>
      <c r="Q117" s="36"/>
      <c r="R117" s="38"/>
      <c r="S117" s="38"/>
      <c r="T117" s="38"/>
    </row>
    <row r="118" spans="1:20" x14ac:dyDescent="0.25">
      <c r="A118" s="35">
        <f t="shared" si="1"/>
        <v>117</v>
      </c>
      <c r="B118" s="36"/>
      <c r="C118" s="36" t="s">
        <v>1067</v>
      </c>
      <c r="D118" s="36"/>
      <c r="E118" s="4"/>
      <c r="F118" s="36"/>
      <c r="G118" s="36" t="s">
        <v>1032</v>
      </c>
      <c r="H118" s="36"/>
      <c r="I118" s="36"/>
      <c r="J118" s="36"/>
      <c r="K118" s="36"/>
      <c r="L118" s="36"/>
      <c r="M118" s="36"/>
      <c r="N118" s="36"/>
      <c r="O118" s="37" t="s">
        <v>1048</v>
      </c>
      <c r="P118" s="36" t="s">
        <v>1048</v>
      </c>
      <c r="Q118" s="36"/>
      <c r="R118" s="38"/>
      <c r="S118" s="38"/>
      <c r="T118" s="38"/>
    </row>
    <row r="119" spans="1:20" x14ac:dyDescent="0.25">
      <c r="A119" s="35">
        <f t="shared" si="1"/>
        <v>118</v>
      </c>
      <c r="B119" s="36"/>
      <c r="C119" s="36" t="s">
        <v>1068</v>
      </c>
      <c r="D119" s="36"/>
      <c r="E119" s="4"/>
      <c r="F119" s="36"/>
      <c r="G119" s="36" t="s">
        <v>1052</v>
      </c>
      <c r="H119" s="36"/>
      <c r="I119" s="36"/>
      <c r="J119" s="36"/>
      <c r="K119" s="36"/>
      <c r="L119" s="36"/>
      <c r="M119" s="36"/>
      <c r="N119" s="36"/>
      <c r="O119" s="37" t="s">
        <v>1048</v>
      </c>
      <c r="P119" s="36" t="s">
        <v>1048</v>
      </c>
      <c r="Q119" s="36"/>
      <c r="R119" s="38"/>
      <c r="S119" s="38"/>
      <c r="T119" s="38"/>
    </row>
    <row r="120" spans="1:20" x14ac:dyDescent="0.25">
      <c r="A120" s="35">
        <f t="shared" si="1"/>
        <v>119</v>
      </c>
      <c r="B120" s="36"/>
      <c r="C120" s="36" t="s">
        <v>1069</v>
      </c>
      <c r="D120" s="36"/>
      <c r="E120" s="4"/>
      <c r="F120" s="36"/>
      <c r="G120" s="36"/>
      <c r="H120" s="36"/>
      <c r="I120" s="36"/>
      <c r="J120" s="36"/>
      <c r="K120" s="36"/>
      <c r="L120" s="36"/>
      <c r="M120" s="36"/>
      <c r="N120" s="36"/>
      <c r="O120" s="37" t="s">
        <v>1026</v>
      </c>
      <c r="P120" s="36" t="s">
        <v>1026</v>
      </c>
      <c r="Q120" s="36"/>
      <c r="R120" s="38"/>
      <c r="S120" s="38"/>
      <c r="T120" s="38"/>
    </row>
    <row r="121" spans="1:20" x14ac:dyDescent="0.25">
      <c r="A121" s="35">
        <f t="shared" si="1"/>
        <v>120</v>
      </c>
      <c r="B121" s="36"/>
      <c r="C121" s="36" t="s">
        <v>1070</v>
      </c>
      <c r="D121" s="36"/>
      <c r="E121" s="4"/>
      <c r="F121" s="36"/>
      <c r="G121" s="36"/>
      <c r="H121" s="36"/>
      <c r="I121" s="36"/>
      <c r="J121" s="36"/>
      <c r="K121" s="36"/>
      <c r="L121" s="36"/>
      <c r="M121" s="36"/>
      <c r="N121" s="36"/>
      <c r="O121" s="37" t="s">
        <v>1071</v>
      </c>
      <c r="P121" s="36" t="s">
        <v>1071</v>
      </c>
      <c r="Q121" s="36"/>
      <c r="R121" s="38"/>
      <c r="S121" s="38"/>
      <c r="T121" s="38"/>
    </row>
    <row r="122" spans="1:20" x14ac:dyDescent="0.25">
      <c r="A122" s="35">
        <f t="shared" si="1"/>
        <v>121</v>
      </c>
      <c r="B122" s="36"/>
      <c r="C122" s="36" t="s">
        <v>1072</v>
      </c>
      <c r="D122" s="36"/>
      <c r="E122" s="4"/>
      <c r="F122" s="36"/>
      <c r="G122" s="36"/>
      <c r="H122" s="36"/>
      <c r="I122" s="36"/>
      <c r="J122" s="36"/>
      <c r="K122" s="36"/>
      <c r="L122" s="36"/>
      <c r="M122" s="36"/>
      <c r="N122" s="36"/>
      <c r="O122" s="37" t="s">
        <v>1071</v>
      </c>
      <c r="P122" s="36" t="s">
        <v>1071</v>
      </c>
      <c r="Q122" s="36"/>
      <c r="R122" s="38"/>
      <c r="S122" s="38"/>
      <c r="T122" s="38"/>
    </row>
    <row r="123" spans="1:20" x14ac:dyDescent="0.25">
      <c r="A123" s="35">
        <f t="shared" si="1"/>
        <v>122</v>
      </c>
      <c r="B123" s="36"/>
      <c r="C123" s="36" t="s">
        <v>1073</v>
      </c>
      <c r="D123" s="36"/>
      <c r="E123" s="4"/>
      <c r="F123" s="36"/>
      <c r="G123" s="36"/>
      <c r="H123" s="36"/>
      <c r="I123" s="36"/>
      <c r="J123" s="36"/>
      <c r="K123" s="36"/>
      <c r="L123" s="36"/>
      <c r="M123" s="36"/>
      <c r="N123" s="36"/>
      <c r="O123" s="37" t="s">
        <v>1071</v>
      </c>
      <c r="P123" s="36" t="s">
        <v>1071</v>
      </c>
      <c r="Q123" s="36"/>
      <c r="R123" s="38"/>
      <c r="S123" s="38"/>
      <c r="T123" s="38"/>
    </row>
    <row r="124" spans="1:20" x14ac:dyDescent="0.25">
      <c r="A124" s="35">
        <f t="shared" si="1"/>
        <v>123</v>
      </c>
      <c r="B124" s="36"/>
      <c r="C124" s="36" t="s">
        <v>1074</v>
      </c>
      <c r="D124" s="36"/>
      <c r="E124" s="4"/>
      <c r="F124" s="36"/>
      <c r="G124" s="36"/>
      <c r="H124" s="36"/>
      <c r="I124" s="36"/>
      <c r="J124" s="36"/>
      <c r="K124" s="36"/>
      <c r="L124" s="36"/>
      <c r="M124" s="36"/>
      <c r="N124" s="36"/>
      <c r="O124" s="37" t="s">
        <v>1026</v>
      </c>
      <c r="P124" s="36" t="s">
        <v>1026</v>
      </c>
      <c r="Q124" s="36"/>
      <c r="R124" s="38"/>
      <c r="S124" s="38"/>
      <c r="T124" s="38"/>
    </row>
    <row r="125" spans="1:20" x14ac:dyDescent="0.25">
      <c r="A125" s="35">
        <f t="shared" si="1"/>
        <v>124</v>
      </c>
      <c r="B125" s="36"/>
      <c r="C125" s="36" t="s">
        <v>1075</v>
      </c>
      <c r="D125" s="36"/>
      <c r="E125" s="4"/>
      <c r="F125" s="36"/>
      <c r="G125" s="36"/>
      <c r="H125" s="36"/>
      <c r="I125" s="36"/>
      <c r="J125" s="36"/>
      <c r="K125" s="36"/>
      <c r="L125" s="36"/>
      <c r="M125" s="36"/>
      <c r="N125" s="36"/>
      <c r="O125" s="37" t="s">
        <v>1026</v>
      </c>
      <c r="P125" s="36" t="s">
        <v>1026</v>
      </c>
      <c r="Q125" s="36"/>
      <c r="R125" s="38"/>
      <c r="S125" s="38"/>
      <c r="T125" s="38"/>
    </row>
    <row r="126" spans="1:20" x14ac:dyDescent="0.25">
      <c r="A126" s="35">
        <f t="shared" si="1"/>
        <v>125</v>
      </c>
      <c r="B126" s="36" t="s">
        <v>1076</v>
      </c>
      <c r="C126" s="36" t="s">
        <v>1077</v>
      </c>
      <c r="D126" s="36"/>
      <c r="E126" s="4"/>
      <c r="F126" s="36" t="s">
        <v>574</v>
      </c>
      <c r="G126" s="36" t="s">
        <v>1015</v>
      </c>
      <c r="H126" s="36"/>
      <c r="I126" s="36"/>
      <c r="J126" s="36"/>
      <c r="K126" s="36"/>
      <c r="L126" s="36"/>
      <c r="M126" s="36"/>
      <c r="N126" s="36"/>
      <c r="O126" s="37" t="s">
        <v>29</v>
      </c>
      <c r="P126" s="36" t="s">
        <v>96</v>
      </c>
      <c r="Q126" s="36"/>
      <c r="R126" s="38"/>
      <c r="S126" s="38"/>
      <c r="T126" s="38"/>
    </row>
    <row r="127" spans="1:20" x14ac:dyDescent="0.25">
      <c r="A127" s="35">
        <f t="shared" si="1"/>
        <v>126</v>
      </c>
      <c r="B127" s="36" t="s">
        <v>1078</v>
      </c>
      <c r="C127" s="36" t="s">
        <v>1079</v>
      </c>
      <c r="D127" s="36"/>
      <c r="E127" s="4"/>
      <c r="F127" s="36" t="s">
        <v>574</v>
      </c>
      <c r="G127" s="36" t="s">
        <v>1015</v>
      </c>
      <c r="H127" s="36"/>
      <c r="I127" s="36"/>
      <c r="J127" s="36"/>
      <c r="K127" s="36"/>
      <c r="L127" s="36"/>
      <c r="M127" s="36"/>
      <c r="N127" s="36"/>
      <c r="O127" s="37" t="s">
        <v>29</v>
      </c>
      <c r="P127" s="36" t="s">
        <v>96</v>
      </c>
      <c r="Q127" s="36"/>
      <c r="R127" s="38"/>
      <c r="S127" s="38"/>
      <c r="T127" s="38"/>
    </row>
    <row r="128" spans="1:20" x14ac:dyDescent="0.25">
      <c r="A128" s="35">
        <f t="shared" si="1"/>
        <v>127</v>
      </c>
      <c r="B128" s="36" t="s">
        <v>1080</v>
      </c>
      <c r="C128" s="36" t="s">
        <v>1081</v>
      </c>
      <c r="D128" s="36"/>
      <c r="E128" s="4"/>
      <c r="F128" s="36" t="s">
        <v>574</v>
      </c>
      <c r="G128" s="36" t="s">
        <v>1015</v>
      </c>
      <c r="H128" s="36"/>
      <c r="I128" s="36"/>
      <c r="J128" s="36"/>
      <c r="K128" s="36"/>
      <c r="L128" s="36"/>
      <c r="M128" s="36"/>
      <c r="N128" s="36"/>
      <c r="O128" s="37" t="s">
        <v>24</v>
      </c>
      <c r="P128" s="36" t="s">
        <v>93</v>
      </c>
      <c r="Q128" s="36" t="s">
        <v>1082</v>
      </c>
      <c r="R128" s="38"/>
      <c r="S128" s="38"/>
      <c r="T128" s="38"/>
    </row>
    <row r="129" spans="1:20" x14ac:dyDescent="0.25">
      <c r="A129" s="35">
        <f t="shared" si="1"/>
        <v>128</v>
      </c>
      <c r="B129" s="36" t="s">
        <v>1083</v>
      </c>
      <c r="C129" s="36" t="s">
        <v>1084</v>
      </c>
      <c r="D129" s="36"/>
      <c r="E129" s="4"/>
      <c r="F129" s="36">
        <v>1136</v>
      </c>
      <c r="G129" s="36" t="s">
        <v>930</v>
      </c>
      <c r="H129" s="36"/>
      <c r="I129" s="36"/>
      <c r="J129" s="36" t="s">
        <v>521</v>
      </c>
      <c r="K129" s="36"/>
      <c r="L129" s="36"/>
      <c r="M129" s="36"/>
      <c r="N129" s="36"/>
      <c r="O129" s="37" t="s">
        <v>24</v>
      </c>
      <c r="P129" s="36" t="s">
        <v>93</v>
      </c>
      <c r="Q129" s="36" t="s">
        <v>1085</v>
      </c>
      <c r="R129" s="38"/>
      <c r="S129" s="38"/>
      <c r="T129" s="38"/>
    </row>
    <row r="130" spans="1:20" x14ac:dyDescent="0.25">
      <c r="A130" s="35">
        <f t="shared" si="1"/>
        <v>129</v>
      </c>
      <c r="B130" s="36"/>
      <c r="C130" s="36" t="s">
        <v>1086</v>
      </c>
      <c r="D130" s="36"/>
      <c r="E130" s="4"/>
      <c r="F130" s="36">
        <v>450</v>
      </c>
      <c r="G130" s="36" t="s">
        <v>1015</v>
      </c>
      <c r="H130" s="36"/>
      <c r="I130" s="36"/>
      <c r="J130" s="36"/>
      <c r="K130" s="36"/>
      <c r="L130" s="36"/>
      <c r="M130" s="36"/>
      <c r="N130" s="36"/>
      <c r="O130" s="37" t="s">
        <v>24</v>
      </c>
      <c r="P130" s="36" t="s">
        <v>93</v>
      </c>
      <c r="Q130" s="36"/>
      <c r="R130" s="38"/>
      <c r="S130" s="38"/>
      <c r="T130" s="38"/>
    </row>
    <row r="131" spans="1:20" x14ac:dyDescent="0.25">
      <c r="A131" s="35">
        <f t="shared" si="1"/>
        <v>130</v>
      </c>
      <c r="B131" s="36" t="s">
        <v>1087</v>
      </c>
      <c r="C131" s="36" t="s">
        <v>1088</v>
      </c>
      <c r="D131" s="36"/>
      <c r="E131" s="4"/>
      <c r="F131" s="36" t="s">
        <v>574</v>
      </c>
      <c r="G131" s="36" t="s">
        <v>965</v>
      </c>
      <c r="H131" s="36"/>
      <c r="I131" s="36"/>
      <c r="J131" s="36"/>
      <c r="K131" s="36"/>
      <c r="L131" s="36"/>
      <c r="M131" s="36"/>
      <c r="N131" s="36"/>
      <c r="O131" s="37" t="s">
        <v>24</v>
      </c>
      <c r="P131" s="36" t="s">
        <v>93</v>
      </c>
      <c r="Q131" s="36"/>
      <c r="R131" s="38"/>
      <c r="S131" s="38"/>
      <c r="T131" s="38"/>
    </row>
    <row r="132" spans="1:20" x14ac:dyDescent="0.25">
      <c r="A132" s="35">
        <f t="shared" ref="A132:A195" si="2">+A131+1</f>
        <v>131</v>
      </c>
      <c r="B132" s="36" t="s">
        <v>1089</v>
      </c>
      <c r="C132" s="36" t="s">
        <v>1090</v>
      </c>
      <c r="D132" s="36"/>
      <c r="E132" s="4"/>
      <c r="F132" s="36" t="s">
        <v>574</v>
      </c>
      <c r="G132" s="36" t="s">
        <v>1015</v>
      </c>
      <c r="H132" s="36"/>
      <c r="I132" s="36"/>
      <c r="J132" s="36"/>
      <c r="K132" s="36"/>
      <c r="L132" s="36"/>
      <c r="M132" s="36"/>
      <c r="N132" s="36"/>
      <c r="O132" s="37" t="s">
        <v>24</v>
      </c>
      <c r="P132" s="36" t="s">
        <v>93</v>
      </c>
      <c r="Q132" s="36"/>
      <c r="R132" s="38"/>
      <c r="S132" s="38"/>
      <c r="T132" s="38"/>
    </row>
    <row r="133" spans="1:20" x14ac:dyDescent="0.25">
      <c r="A133" s="35">
        <f t="shared" si="2"/>
        <v>132</v>
      </c>
      <c r="B133" s="36"/>
      <c r="C133" s="36" t="s">
        <v>1091</v>
      </c>
      <c r="D133" s="36"/>
      <c r="E133" s="4"/>
      <c r="F133" s="36">
        <v>2139</v>
      </c>
      <c r="G133" s="36" t="s">
        <v>1032</v>
      </c>
      <c r="H133" s="36"/>
      <c r="I133" s="36"/>
      <c r="J133" s="36" t="s">
        <v>521</v>
      </c>
      <c r="K133" s="36"/>
      <c r="L133" s="36"/>
      <c r="M133" s="36"/>
      <c r="N133" s="36"/>
      <c r="O133" s="37" t="s">
        <v>24</v>
      </c>
      <c r="P133" s="36" t="s">
        <v>93</v>
      </c>
      <c r="Q133" s="36"/>
      <c r="R133" s="38"/>
      <c r="S133" s="38"/>
      <c r="T133" s="38"/>
    </row>
    <row r="134" spans="1:20" x14ac:dyDescent="0.25">
      <c r="A134" s="35">
        <f t="shared" si="2"/>
        <v>133</v>
      </c>
      <c r="B134" s="36"/>
      <c r="C134" s="36" t="s">
        <v>1092</v>
      </c>
      <c r="D134" s="36"/>
      <c r="E134" s="4"/>
      <c r="F134" s="36"/>
      <c r="G134" s="36"/>
      <c r="H134" s="36"/>
      <c r="I134" s="36"/>
      <c r="J134" s="36"/>
      <c r="K134" s="36"/>
      <c r="L134" s="36"/>
      <c r="M134" s="36"/>
      <c r="N134" s="36"/>
      <c r="O134" s="37" t="s">
        <v>1026</v>
      </c>
      <c r="P134" s="36" t="s">
        <v>1026</v>
      </c>
      <c r="Q134" s="36"/>
      <c r="R134" s="38"/>
      <c r="S134" s="38"/>
      <c r="T134" s="38"/>
    </row>
    <row r="135" spans="1:20" x14ac:dyDescent="0.25">
      <c r="A135" s="35">
        <f t="shared" si="2"/>
        <v>134</v>
      </c>
      <c r="B135" s="36"/>
      <c r="C135" s="36" t="s">
        <v>1093</v>
      </c>
      <c r="D135" s="36"/>
      <c r="E135" s="4"/>
      <c r="F135" s="36"/>
      <c r="G135" s="36"/>
      <c r="H135" s="36"/>
      <c r="I135" s="36"/>
      <c r="J135" s="36"/>
      <c r="K135" s="36"/>
      <c r="L135" s="36"/>
      <c r="M135" s="36"/>
      <c r="N135" s="36"/>
      <c r="O135" s="37" t="s">
        <v>1026</v>
      </c>
      <c r="P135" s="36" t="s">
        <v>1026</v>
      </c>
      <c r="Q135" s="36"/>
      <c r="R135" s="38"/>
      <c r="S135" s="38"/>
      <c r="T135" s="38"/>
    </row>
    <row r="136" spans="1:20" x14ac:dyDescent="0.25">
      <c r="A136" s="35">
        <f t="shared" si="2"/>
        <v>135</v>
      </c>
      <c r="B136" s="36"/>
      <c r="C136" s="36" t="s">
        <v>1094</v>
      </c>
      <c r="D136" s="36"/>
      <c r="E136" s="4"/>
      <c r="F136" s="36"/>
      <c r="G136" s="36"/>
      <c r="H136" s="36"/>
      <c r="I136" s="36"/>
      <c r="J136" s="36"/>
      <c r="K136" s="36"/>
      <c r="L136" s="36"/>
      <c r="M136" s="36"/>
      <c r="N136" s="36"/>
      <c r="O136" s="37" t="s">
        <v>1026</v>
      </c>
      <c r="P136" s="36" t="s">
        <v>1026</v>
      </c>
      <c r="Q136" s="36"/>
      <c r="R136" s="38"/>
      <c r="S136" s="38"/>
      <c r="T136" s="38"/>
    </row>
    <row r="137" spans="1:20" x14ac:dyDescent="0.25">
      <c r="A137" s="35">
        <f t="shared" si="2"/>
        <v>136</v>
      </c>
      <c r="B137" s="36"/>
      <c r="C137" s="36" t="s">
        <v>1095</v>
      </c>
      <c r="D137" s="36"/>
      <c r="E137" s="4"/>
      <c r="F137" s="36"/>
      <c r="G137" s="36"/>
      <c r="H137" s="36"/>
      <c r="I137" s="36"/>
      <c r="J137" s="36"/>
      <c r="K137" s="36"/>
      <c r="L137" s="36"/>
      <c r="M137" s="36"/>
      <c r="N137" s="36"/>
      <c r="O137" s="37" t="s">
        <v>1026</v>
      </c>
      <c r="P137" s="36" t="s">
        <v>1026</v>
      </c>
      <c r="Q137" s="36"/>
      <c r="R137" s="38"/>
      <c r="S137" s="38"/>
      <c r="T137" s="38"/>
    </row>
    <row r="138" spans="1:20" x14ac:dyDescent="0.25">
      <c r="A138" s="35">
        <f t="shared" si="2"/>
        <v>137</v>
      </c>
      <c r="B138" s="36"/>
      <c r="C138" s="36" t="s">
        <v>1096</v>
      </c>
      <c r="D138" s="36"/>
      <c r="E138" s="4"/>
      <c r="F138" s="36">
        <v>2361</v>
      </c>
      <c r="G138" s="36" t="s">
        <v>1032</v>
      </c>
      <c r="H138" s="36"/>
      <c r="I138" s="36"/>
      <c r="J138" s="36" t="s">
        <v>521</v>
      </c>
      <c r="K138" s="36"/>
      <c r="L138" s="36"/>
      <c r="M138" s="36"/>
      <c r="N138" s="36"/>
      <c r="O138" s="37" t="s">
        <v>24</v>
      </c>
      <c r="P138" s="36" t="s">
        <v>93</v>
      </c>
      <c r="Q138" s="36"/>
      <c r="R138" s="38"/>
      <c r="S138" s="38"/>
      <c r="T138" s="38"/>
    </row>
    <row r="139" spans="1:20" x14ac:dyDescent="0.25">
      <c r="A139" s="35">
        <f t="shared" si="2"/>
        <v>138</v>
      </c>
      <c r="B139" s="36" t="s">
        <v>1097</v>
      </c>
      <c r="C139" s="36" t="s">
        <v>1098</v>
      </c>
      <c r="D139" s="36"/>
      <c r="E139" s="4"/>
      <c r="F139" s="36">
        <v>1500</v>
      </c>
      <c r="G139" s="36" t="s">
        <v>553</v>
      </c>
      <c r="H139" s="36"/>
      <c r="I139" s="36"/>
      <c r="J139" s="36" t="s">
        <v>521</v>
      </c>
      <c r="K139" s="36"/>
      <c r="L139" s="36"/>
      <c r="M139" s="36"/>
      <c r="N139" s="36"/>
      <c r="O139" s="37" t="s">
        <v>29</v>
      </c>
      <c r="P139" s="36" t="s">
        <v>96</v>
      </c>
      <c r="Q139" s="36"/>
      <c r="R139" s="38"/>
      <c r="S139" s="38"/>
      <c r="T139" s="38"/>
    </row>
    <row r="140" spans="1:20" x14ac:dyDescent="0.25">
      <c r="A140" s="35">
        <f t="shared" si="2"/>
        <v>139</v>
      </c>
      <c r="B140" s="36"/>
      <c r="C140" s="36" t="s">
        <v>1099</v>
      </c>
      <c r="D140" s="36"/>
      <c r="E140" s="4"/>
      <c r="F140" s="36"/>
      <c r="G140" s="36" t="s">
        <v>1032</v>
      </c>
      <c r="H140" s="36"/>
      <c r="I140" s="36"/>
      <c r="J140" s="36"/>
      <c r="K140" s="36"/>
      <c r="L140" s="36"/>
      <c r="M140" s="36"/>
      <c r="N140" s="36"/>
      <c r="O140" s="37" t="s">
        <v>24</v>
      </c>
      <c r="P140" s="36" t="s">
        <v>93</v>
      </c>
      <c r="Q140" s="36"/>
      <c r="R140" s="38"/>
      <c r="S140" s="38"/>
      <c r="T140" s="38"/>
    </row>
    <row r="141" spans="1:20" x14ac:dyDescent="0.25">
      <c r="A141" s="35">
        <f t="shared" si="2"/>
        <v>140</v>
      </c>
      <c r="B141" s="36"/>
      <c r="C141" s="36" t="s">
        <v>1100</v>
      </c>
      <c r="D141" s="36"/>
      <c r="E141" s="4"/>
      <c r="F141" s="36"/>
      <c r="G141" s="36" t="s">
        <v>1101</v>
      </c>
      <c r="H141" s="36"/>
      <c r="I141" s="36"/>
      <c r="J141" s="36"/>
      <c r="K141" s="36"/>
      <c r="L141" s="36"/>
      <c r="M141" s="36"/>
      <c r="N141" s="36"/>
      <c r="O141" s="37" t="s">
        <v>1102</v>
      </c>
      <c r="P141" s="36" t="s">
        <v>210</v>
      </c>
      <c r="Q141" s="36"/>
      <c r="R141" s="38"/>
      <c r="S141" s="38"/>
      <c r="T141" s="38"/>
    </row>
    <row r="142" spans="1:20" x14ac:dyDescent="0.25">
      <c r="A142" s="35">
        <f t="shared" si="2"/>
        <v>141</v>
      </c>
      <c r="B142" s="36"/>
      <c r="C142" s="36" t="s">
        <v>776</v>
      </c>
      <c r="D142" s="36"/>
      <c r="E142" s="4"/>
      <c r="F142" s="36"/>
      <c r="G142" s="36"/>
      <c r="H142" s="36"/>
      <c r="I142" s="36"/>
      <c r="J142" s="36"/>
      <c r="K142" s="36"/>
      <c r="L142" s="36"/>
      <c r="M142" s="36"/>
      <c r="N142" s="36"/>
      <c r="O142" s="37" t="s">
        <v>29</v>
      </c>
      <c r="P142" s="36" t="s">
        <v>96</v>
      </c>
      <c r="Q142" s="36"/>
      <c r="R142" s="38"/>
      <c r="S142" s="38"/>
      <c r="T142" s="38"/>
    </row>
    <row r="143" spans="1:20" x14ac:dyDescent="0.25">
      <c r="A143" s="35">
        <f t="shared" si="2"/>
        <v>142</v>
      </c>
      <c r="B143" s="36" t="s">
        <v>1103</v>
      </c>
      <c r="C143" s="36" t="s">
        <v>1103</v>
      </c>
      <c r="D143" s="36"/>
      <c r="E143" s="4"/>
      <c r="F143" s="36" t="s">
        <v>574</v>
      </c>
      <c r="G143" s="36" t="s">
        <v>1015</v>
      </c>
      <c r="H143" s="36"/>
      <c r="I143" s="36"/>
      <c r="J143" s="36" t="s">
        <v>521</v>
      </c>
      <c r="K143" s="36"/>
      <c r="L143" s="36"/>
      <c r="M143" s="36"/>
      <c r="N143" s="36"/>
      <c r="O143" s="37" t="s">
        <v>24</v>
      </c>
      <c r="P143" s="36" t="s">
        <v>93</v>
      </c>
      <c r="Q143" s="36"/>
      <c r="R143" s="38"/>
      <c r="S143" s="38"/>
      <c r="T143" s="38"/>
    </row>
    <row r="144" spans="1:20" x14ac:dyDescent="0.25">
      <c r="A144" s="35">
        <f t="shared" si="2"/>
        <v>143</v>
      </c>
      <c r="B144" s="36"/>
      <c r="C144" s="36" t="s">
        <v>468</v>
      </c>
      <c r="D144" s="36"/>
      <c r="E144" s="4"/>
      <c r="F144" s="36">
        <v>758</v>
      </c>
      <c r="G144" s="36" t="s">
        <v>1015</v>
      </c>
      <c r="H144" s="36"/>
      <c r="I144" s="36"/>
      <c r="J144" s="36" t="s">
        <v>521</v>
      </c>
      <c r="K144" s="36"/>
      <c r="L144" s="36"/>
      <c r="M144" s="36"/>
      <c r="N144" s="36"/>
      <c r="O144" s="37" t="s">
        <v>24</v>
      </c>
      <c r="P144" s="36" t="s">
        <v>93</v>
      </c>
      <c r="Q144" s="36"/>
      <c r="R144" s="38"/>
      <c r="S144" s="38"/>
      <c r="T144" s="38"/>
    </row>
    <row r="145" spans="1:20" x14ac:dyDescent="0.25">
      <c r="A145" s="35">
        <f t="shared" si="2"/>
        <v>144</v>
      </c>
      <c r="B145" s="36"/>
      <c r="C145" s="36" t="s">
        <v>1104</v>
      </c>
      <c r="D145" s="36"/>
      <c r="E145" s="4"/>
      <c r="F145" s="36"/>
      <c r="G145" s="36"/>
      <c r="H145" s="36"/>
      <c r="I145" s="36"/>
      <c r="J145" s="36"/>
      <c r="K145" s="36"/>
      <c r="L145" s="36"/>
      <c r="M145" s="36"/>
      <c r="N145" s="36"/>
      <c r="O145" s="37" t="s">
        <v>1026</v>
      </c>
      <c r="P145" s="36" t="s">
        <v>1026</v>
      </c>
      <c r="Q145" s="36"/>
      <c r="R145" s="38"/>
      <c r="S145" s="38"/>
      <c r="T145" s="38"/>
    </row>
    <row r="146" spans="1:20" x14ac:dyDescent="0.25">
      <c r="A146" s="35">
        <f t="shared" si="2"/>
        <v>145</v>
      </c>
      <c r="B146" s="36"/>
      <c r="C146" s="36" t="s">
        <v>1105</v>
      </c>
      <c r="D146" s="36"/>
      <c r="E146" s="4"/>
      <c r="F146" s="36">
        <v>889</v>
      </c>
      <c r="G146" s="36" t="s">
        <v>965</v>
      </c>
      <c r="H146" s="36"/>
      <c r="I146" s="36"/>
      <c r="J146" s="36" t="s">
        <v>521</v>
      </c>
      <c r="K146" s="36" t="s">
        <v>1106</v>
      </c>
      <c r="L146" s="36"/>
      <c r="M146" s="36"/>
      <c r="N146" s="36"/>
      <c r="O146" s="37" t="s">
        <v>24</v>
      </c>
      <c r="P146" s="36" t="s">
        <v>93</v>
      </c>
      <c r="Q146" s="36"/>
      <c r="R146" s="38"/>
      <c r="S146" s="38"/>
      <c r="T146" s="38"/>
    </row>
    <row r="147" spans="1:20" x14ac:dyDescent="0.25">
      <c r="A147" s="35">
        <f t="shared" si="2"/>
        <v>146</v>
      </c>
      <c r="B147" s="36" t="s">
        <v>1107</v>
      </c>
      <c r="C147" s="36" t="s">
        <v>1108</v>
      </c>
      <c r="D147" s="36"/>
      <c r="E147" s="4"/>
      <c r="F147" s="36">
        <v>1100</v>
      </c>
      <c r="G147" s="36" t="s">
        <v>1032</v>
      </c>
      <c r="H147" s="36"/>
      <c r="I147" s="36"/>
      <c r="J147" s="36" t="s">
        <v>521</v>
      </c>
      <c r="K147" s="36" t="s">
        <v>1106</v>
      </c>
      <c r="L147" s="36"/>
      <c r="M147" s="36"/>
      <c r="N147" s="36"/>
      <c r="O147" s="37" t="s">
        <v>24</v>
      </c>
      <c r="P147" s="36" t="s">
        <v>93</v>
      </c>
      <c r="Q147" s="36"/>
      <c r="R147" s="38"/>
      <c r="S147" s="38"/>
      <c r="T147" s="38"/>
    </row>
    <row r="148" spans="1:20" x14ac:dyDescent="0.25">
      <c r="A148" s="35">
        <f t="shared" si="2"/>
        <v>147</v>
      </c>
      <c r="B148" s="36" t="s">
        <v>488</v>
      </c>
      <c r="C148" s="36" t="s">
        <v>488</v>
      </c>
      <c r="D148" s="36"/>
      <c r="E148" s="4"/>
      <c r="F148" s="36">
        <v>600</v>
      </c>
      <c r="G148" s="36" t="s">
        <v>1015</v>
      </c>
      <c r="H148" s="36"/>
      <c r="I148" s="36"/>
      <c r="J148" s="36" t="s">
        <v>521</v>
      </c>
      <c r="K148" s="36" t="s">
        <v>529</v>
      </c>
      <c r="L148" s="36"/>
      <c r="M148" s="36"/>
      <c r="N148" s="36"/>
      <c r="O148" s="37" t="s">
        <v>29</v>
      </c>
      <c r="P148" s="36" t="s">
        <v>96</v>
      </c>
      <c r="Q148" s="36"/>
      <c r="R148" s="38"/>
      <c r="S148" s="38"/>
      <c r="T148" s="38"/>
    </row>
    <row r="149" spans="1:20" x14ac:dyDescent="0.25">
      <c r="A149" s="35">
        <f t="shared" si="2"/>
        <v>148</v>
      </c>
      <c r="B149" s="36" t="s">
        <v>1109</v>
      </c>
      <c r="C149" s="36" t="s">
        <v>1110</v>
      </c>
      <c r="D149" s="36"/>
      <c r="E149" s="4"/>
      <c r="F149" s="36">
        <v>500</v>
      </c>
      <c r="G149" s="36" t="s">
        <v>1015</v>
      </c>
      <c r="H149" s="36"/>
      <c r="I149" s="36"/>
      <c r="J149" s="36" t="s">
        <v>521</v>
      </c>
      <c r="K149" s="36" t="s">
        <v>1111</v>
      </c>
      <c r="L149" s="36"/>
      <c r="M149" s="36"/>
      <c r="N149" s="36"/>
      <c r="O149" s="37" t="s">
        <v>29</v>
      </c>
      <c r="P149" s="36" t="s">
        <v>96</v>
      </c>
      <c r="Q149" s="36"/>
      <c r="R149" s="38"/>
      <c r="S149" s="38"/>
      <c r="T149" s="38"/>
    </row>
    <row r="150" spans="1:20" x14ac:dyDescent="0.25">
      <c r="A150" s="35">
        <f t="shared" si="2"/>
        <v>149</v>
      </c>
      <c r="B150" s="36" t="s">
        <v>1112</v>
      </c>
      <c r="C150" s="36" t="s">
        <v>1112</v>
      </c>
      <c r="D150" s="36"/>
      <c r="E150" s="4"/>
      <c r="F150" s="36">
        <v>550</v>
      </c>
      <c r="G150" s="36" t="s">
        <v>1015</v>
      </c>
      <c r="H150" s="36"/>
      <c r="I150" s="36"/>
      <c r="J150" s="36" t="s">
        <v>521</v>
      </c>
      <c r="K150" s="36" t="s">
        <v>529</v>
      </c>
      <c r="L150" s="36"/>
      <c r="M150" s="36"/>
      <c r="N150" s="36"/>
      <c r="O150" s="37" t="s">
        <v>29</v>
      </c>
      <c r="P150" s="36" t="s">
        <v>96</v>
      </c>
      <c r="Q150" s="36"/>
      <c r="R150" s="38"/>
      <c r="S150" s="38"/>
      <c r="T150" s="38"/>
    </row>
    <row r="151" spans="1:20" x14ac:dyDescent="0.25">
      <c r="A151" s="35">
        <f t="shared" si="2"/>
        <v>150</v>
      </c>
      <c r="B151" s="36"/>
      <c r="C151" s="36" t="s">
        <v>1113</v>
      </c>
      <c r="D151" s="36"/>
      <c r="E151" s="4"/>
      <c r="F151" s="36">
        <v>1900</v>
      </c>
      <c r="G151" s="36" t="s">
        <v>1032</v>
      </c>
      <c r="H151" s="36"/>
      <c r="I151" s="36"/>
      <c r="J151" s="36" t="s">
        <v>512</v>
      </c>
      <c r="K151" s="36" t="s">
        <v>625</v>
      </c>
      <c r="L151" s="36"/>
      <c r="M151" s="36"/>
      <c r="N151" s="36"/>
      <c r="O151" s="37" t="s">
        <v>24</v>
      </c>
      <c r="P151" s="36" t="s">
        <v>226</v>
      </c>
      <c r="Q151" s="36"/>
      <c r="R151" s="38"/>
      <c r="S151" s="38"/>
      <c r="T151" s="38"/>
    </row>
    <row r="152" spans="1:20" x14ac:dyDescent="0.25">
      <c r="A152" s="35">
        <f t="shared" si="2"/>
        <v>151</v>
      </c>
      <c r="B152" s="36"/>
      <c r="C152" s="36" t="s">
        <v>1114</v>
      </c>
      <c r="D152" s="36"/>
      <c r="E152" s="4"/>
      <c r="F152" s="36">
        <v>550</v>
      </c>
      <c r="G152" s="36" t="s">
        <v>965</v>
      </c>
      <c r="H152" s="36"/>
      <c r="I152" s="36"/>
      <c r="J152" s="36" t="s">
        <v>521</v>
      </c>
      <c r="K152" s="36" t="s">
        <v>1106</v>
      </c>
      <c r="L152" s="36"/>
      <c r="M152" s="36"/>
      <c r="N152" s="36"/>
      <c r="O152" s="37" t="s">
        <v>24</v>
      </c>
      <c r="P152" s="36" t="s">
        <v>93</v>
      </c>
      <c r="Q152" s="36"/>
      <c r="R152" s="38"/>
      <c r="S152" s="38"/>
      <c r="T152" s="38"/>
    </row>
    <row r="153" spans="1:20" x14ac:dyDescent="0.25">
      <c r="A153" s="35">
        <f t="shared" si="2"/>
        <v>152</v>
      </c>
      <c r="B153" s="36"/>
      <c r="C153" s="36" t="s">
        <v>1115</v>
      </c>
      <c r="D153" s="36"/>
      <c r="E153" s="4"/>
      <c r="F153" s="36" t="s">
        <v>574</v>
      </c>
      <c r="G153" s="36" t="s">
        <v>1015</v>
      </c>
      <c r="H153" s="36"/>
      <c r="I153" s="36"/>
      <c r="J153" s="36" t="s">
        <v>521</v>
      </c>
      <c r="K153" s="36"/>
      <c r="L153" s="36"/>
      <c r="M153" s="36"/>
      <c r="N153" s="36"/>
      <c r="O153" s="37" t="s">
        <v>24</v>
      </c>
      <c r="P153" s="36" t="s">
        <v>93</v>
      </c>
      <c r="Q153" s="36"/>
      <c r="R153" s="38"/>
      <c r="S153" s="38"/>
      <c r="T153" s="38"/>
    </row>
    <row r="154" spans="1:20" x14ac:dyDescent="0.25">
      <c r="A154" s="35">
        <f t="shared" si="2"/>
        <v>153</v>
      </c>
      <c r="B154" s="36"/>
      <c r="C154" s="36" t="s">
        <v>1116</v>
      </c>
      <c r="D154" s="36"/>
      <c r="E154" s="4"/>
      <c r="F154" s="36" t="s">
        <v>574</v>
      </c>
      <c r="G154" s="36" t="s">
        <v>965</v>
      </c>
      <c r="H154" s="36"/>
      <c r="I154" s="36"/>
      <c r="J154" s="36" t="s">
        <v>521</v>
      </c>
      <c r="K154" s="36"/>
      <c r="L154" s="36"/>
      <c r="M154" s="36"/>
      <c r="N154" s="36"/>
      <c r="O154" s="37" t="s">
        <v>24</v>
      </c>
      <c r="P154" s="36" t="s">
        <v>93</v>
      </c>
      <c r="Q154" s="36"/>
      <c r="R154" s="38"/>
      <c r="S154" s="38"/>
      <c r="T154" s="38"/>
    </row>
    <row r="155" spans="1:20" x14ac:dyDescent="0.25">
      <c r="A155" s="35">
        <f t="shared" si="2"/>
        <v>154</v>
      </c>
      <c r="B155" s="36"/>
      <c r="C155" s="36" t="s">
        <v>1117</v>
      </c>
      <c r="D155" s="36"/>
      <c r="E155" s="4"/>
      <c r="F155" s="36">
        <v>400</v>
      </c>
      <c r="G155" s="36" t="s">
        <v>965</v>
      </c>
      <c r="H155" s="36"/>
      <c r="I155" s="36"/>
      <c r="J155" s="36" t="s">
        <v>512</v>
      </c>
      <c r="K155" s="36"/>
      <c r="L155" s="36"/>
      <c r="M155" s="36"/>
      <c r="N155" s="36"/>
      <c r="O155" s="37" t="s">
        <v>24</v>
      </c>
      <c r="P155" s="36" t="s">
        <v>1118</v>
      </c>
      <c r="Q155" s="36"/>
      <c r="R155" s="38"/>
      <c r="S155" s="38"/>
      <c r="T155" s="38"/>
    </row>
    <row r="156" spans="1:20" x14ac:dyDescent="0.25">
      <c r="A156" s="35">
        <f t="shared" si="2"/>
        <v>155</v>
      </c>
      <c r="B156" s="36"/>
      <c r="C156" s="36" t="s">
        <v>1119</v>
      </c>
      <c r="D156" s="36"/>
      <c r="E156" s="4"/>
      <c r="F156" s="36">
        <v>669</v>
      </c>
      <c r="G156" s="36" t="s">
        <v>1015</v>
      </c>
      <c r="H156" s="36"/>
      <c r="I156" s="36"/>
      <c r="J156" s="36" t="s">
        <v>512</v>
      </c>
      <c r="K156" s="36"/>
      <c r="L156" s="36"/>
      <c r="M156" s="36"/>
      <c r="N156" s="36"/>
      <c r="O156" s="37" t="s">
        <v>24</v>
      </c>
      <c r="P156" s="36" t="s">
        <v>93</v>
      </c>
      <c r="Q156" s="36"/>
      <c r="R156" s="38"/>
      <c r="S156" s="38"/>
      <c r="T156" s="38"/>
    </row>
    <row r="157" spans="1:20" x14ac:dyDescent="0.25">
      <c r="A157" s="35">
        <f t="shared" si="2"/>
        <v>156</v>
      </c>
      <c r="B157" s="36"/>
      <c r="C157" s="36" t="s">
        <v>1120</v>
      </c>
      <c r="D157" s="36"/>
      <c r="E157" s="4"/>
      <c r="F157" s="36" t="s">
        <v>574</v>
      </c>
      <c r="G157" s="36" t="s">
        <v>965</v>
      </c>
      <c r="H157" s="36"/>
      <c r="I157" s="36"/>
      <c r="J157" s="36" t="s">
        <v>521</v>
      </c>
      <c r="K157" s="36"/>
      <c r="L157" s="36"/>
      <c r="M157" s="36"/>
      <c r="N157" s="36"/>
      <c r="O157" s="37" t="s">
        <v>24</v>
      </c>
      <c r="P157" s="36" t="s">
        <v>93</v>
      </c>
      <c r="Q157" s="36"/>
      <c r="R157" s="38"/>
      <c r="S157" s="38"/>
      <c r="T157" s="38"/>
    </row>
    <row r="158" spans="1:20" x14ac:dyDescent="0.25">
      <c r="A158" s="35">
        <f t="shared" si="2"/>
        <v>157</v>
      </c>
      <c r="B158" s="36"/>
      <c r="C158" s="36" t="s">
        <v>1121</v>
      </c>
      <c r="D158" s="36"/>
      <c r="E158" s="4"/>
      <c r="F158" s="36" t="s">
        <v>574</v>
      </c>
      <c r="G158" s="36" t="s">
        <v>965</v>
      </c>
      <c r="H158" s="36"/>
      <c r="I158" s="36"/>
      <c r="J158" s="36" t="s">
        <v>512</v>
      </c>
      <c r="K158" s="36"/>
      <c r="L158" s="36"/>
      <c r="M158" s="36"/>
      <c r="N158" s="36"/>
      <c r="O158" s="37" t="s">
        <v>24</v>
      </c>
      <c r="P158" s="36" t="s">
        <v>93</v>
      </c>
      <c r="Q158" s="36"/>
      <c r="R158" s="38"/>
      <c r="S158" s="38"/>
      <c r="T158" s="38"/>
    </row>
    <row r="159" spans="1:20" x14ac:dyDescent="0.25">
      <c r="A159" s="35">
        <f t="shared" si="2"/>
        <v>158</v>
      </c>
      <c r="B159" s="36"/>
      <c r="C159" s="36" t="s">
        <v>1122</v>
      </c>
      <c r="D159" s="36"/>
      <c r="E159" s="4"/>
      <c r="F159" s="36" t="s">
        <v>574</v>
      </c>
      <c r="G159" s="36" t="s">
        <v>965</v>
      </c>
      <c r="H159" s="36"/>
      <c r="I159" s="36"/>
      <c r="J159" s="36" t="s">
        <v>521</v>
      </c>
      <c r="K159" s="36"/>
      <c r="L159" s="36"/>
      <c r="M159" s="36"/>
      <c r="N159" s="36"/>
      <c r="O159" s="37" t="s">
        <v>24</v>
      </c>
      <c r="P159" s="36" t="s">
        <v>226</v>
      </c>
      <c r="Q159" s="36"/>
      <c r="R159" s="38"/>
      <c r="S159" s="38"/>
      <c r="T159" s="38"/>
    </row>
    <row r="160" spans="1:20" x14ac:dyDescent="0.25">
      <c r="A160" s="35">
        <f t="shared" si="2"/>
        <v>159</v>
      </c>
      <c r="B160" s="36"/>
      <c r="C160" s="36" t="s">
        <v>1123</v>
      </c>
      <c r="D160" s="36"/>
      <c r="E160" s="4"/>
      <c r="F160" s="36" t="s">
        <v>574</v>
      </c>
      <c r="G160" s="36" t="s">
        <v>965</v>
      </c>
      <c r="H160" s="36"/>
      <c r="I160" s="36"/>
      <c r="J160" s="36" t="s">
        <v>521</v>
      </c>
      <c r="K160" s="36"/>
      <c r="L160" s="36"/>
      <c r="M160" s="36"/>
      <c r="N160" s="36"/>
      <c r="O160" s="37" t="s">
        <v>24</v>
      </c>
      <c r="P160" s="36" t="s">
        <v>93</v>
      </c>
      <c r="Q160" s="36"/>
      <c r="R160" s="38"/>
      <c r="S160" s="38"/>
      <c r="T160" s="38"/>
    </row>
    <row r="161" spans="1:20" x14ac:dyDescent="0.25">
      <c r="A161" s="35">
        <f t="shared" si="2"/>
        <v>160</v>
      </c>
      <c r="B161" s="36"/>
      <c r="C161" s="36" t="s">
        <v>1124</v>
      </c>
      <c r="D161" s="36"/>
      <c r="E161" s="4"/>
      <c r="F161" s="36" t="s">
        <v>574</v>
      </c>
      <c r="G161" s="36" t="s">
        <v>965</v>
      </c>
      <c r="H161" s="36"/>
      <c r="I161" s="36"/>
      <c r="J161" s="36" t="s">
        <v>512</v>
      </c>
      <c r="K161" s="36"/>
      <c r="L161" s="36"/>
      <c r="M161" s="36"/>
      <c r="N161" s="36"/>
      <c r="O161" s="37" t="s">
        <v>24</v>
      </c>
      <c r="P161" s="36" t="s">
        <v>93</v>
      </c>
      <c r="Q161" s="36"/>
      <c r="R161" s="38"/>
      <c r="S161" s="38"/>
      <c r="T161" s="38"/>
    </row>
    <row r="162" spans="1:20" x14ac:dyDescent="0.25">
      <c r="A162" s="35">
        <f t="shared" si="2"/>
        <v>161</v>
      </c>
      <c r="B162" s="36"/>
      <c r="C162" s="36" t="s">
        <v>1125</v>
      </c>
      <c r="D162" s="36"/>
      <c r="E162" s="4"/>
      <c r="F162" s="36">
        <v>1010</v>
      </c>
      <c r="G162" s="36" t="s">
        <v>965</v>
      </c>
      <c r="H162" s="36"/>
      <c r="I162" s="36"/>
      <c r="J162" s="36" t="s">
        <v>512</v>
      </c>
      <c r="K162" s="36"/>
      <c r="L162" s="36"/>
      <c r="M162" s="36"/>
      <c r="N162" s="36"/>
      <c r="O162" s="37" t="s">
        <v>24</v>
      </c>
      <c r="P162" s="36" t="s">
        <v>93</v>
      </c>
      <c r="Q162" s="36"/>
      <c r="R162" s="38"/>
      <c r="S162" s="38"/>
      <c r="T162" s="38"/>
    </row>
    <row r="163" spans="1:20" x14ac:dyDescent="0.25">
      <c r="A163" s="35">
        <f t="shared" si="2"/>
        <v>162</v>
      </c>
      <c r="B163" s="36"/>
      <c r="C163" s="36" t="s">
        <v>1126</v>
      </c>
      <c r="D163" s="36"/>
      <c r="E163" s="4"/>
      <c r="F163" s="36">
        <v>1300</v>
      </c>
      <c r="G163" s="36" t="s">
        <v>1015</v>
      </c>
      <c r="H163" s="36"/>
      <c r="I163" s="36"/>
      <c r="J163" s="36" t="s">
        <v>521</v>
      </c>
      <c r="K163" s="36"/>
      <c r="L163" s="36"/>
      <c r="M163" s="36"/>
      <c r="N163" s="36"/>
      <c r="O163" s="37" t="s">
        <v>24</v>
      </c>
      <c r="P163" s="36" t="s">
        <v>93</v>
      </c>
      <c r="Q163" s="36"/>
      <c r="R163" s="38"/>
      <c r="S163" s="38"/>
      <c r="T163" s="38"/>
    </row>
    <row r="164" spans="1:20" x14ac:dyDescent="0.25">
      <c r="A164" s="35">
        <f t="shared" si="2"/>
        <v>163</v>
      </c>
      <c r="B164" s="36"/>
      <c r="C164" s="36" t="s">
        <v>1127</v>
      </c>
      <c r="D164" s="36"/>
      <c r="E164" s="4"/>
      <c r="F164" s="36">
        <v>2100</v>
      </c>
      <c r="G164" s="36" t="s">
        <v>1032</v>
      </c>
      <c r="H164" s="36"/>
      <c r="I164" s="36"/>
      <c r="J164" s="36" t="s">
        <v>521</v>
      </c>
      <c r="K164" s="36"/>
      <c r="L164" s="36"/>
      <c r="M164" s="36"/>
      <c r="N164" s="36"/>
      <c r="O164" s="37" t="s">
        <v>24</v>
      </c>
      <c r="P164" s="36" t="s">
        <v>93</v>
      </c>
      <c r="Q164" s="36"/>
      <c r="R164" s="38"/>
      <c r="S164" s="38"/>
      <c r="T164" s="38"/>
    </row>
    <row r="165" spans="1:20" x14ac:dyDescent="0.25">
      <c r="A165" s="35">
        <f t="shared" si="2"/>
        <v>164</v>
      </c>
      <c r="B165" s="36"/>
      <c r="C165" s="36" t="s">
        <v>1128</v>
      </c>
      <c r="D165" s="36"/>
      <c r="E165" s="4"/>
      <c r="F165" s="36">
        <v>2100</v>
      </c>
      <c r="G165" s="36" t="s">
        <v>1015</v>
      </c>
      <c r="H165" s="36"/>
      <c r="I165" s="36"/>
      <c r="J165" s="36" t="s">
        <v>512</v>
      </c>
      <c r="K165" s="36"/>
      <c r="L165" s="36"/>
      <c r="M165" s="36"/>
      <c r="N165" s="36"/>
      <c r="O165" s="37" t="s">
        <v>24</v>
      </c>
      <c r="P165" s="36" t="s">
        <v>93</v>
      </c>
      <c r="Q165" s="36"/>
      <c r="R165" s="38"/>
      <c r="S165" s="38"/>
      <c r="T165" s="38"/>
    </row>
    <row r="166" spans="1:20" x14ac:dyDescent="0.25">
      <c r="A166" s="35">
        <f t="shared" si="2"/>
        <v>165</v>
      </c>
      <c r="B166" s="36"/>
      <c r="C166" s="36" t="s">
        <v>1129</v>
      </c>
      <c r="D166" s="36"/>
      <c r="E166" s="4"/>
      <c r="F166" s="36">
        <v>2361</v>
      </c>
      <c r="G166" s="36" t="s">
        <v>1032</v>
      </c>
      <c r="H166" s="36"/>
      <c r="I166" s="36"/>
      <c r="J166" s="36" t="s">
        <v>521</v>
      </c>
      <c r="K166" s="36"/>
      <c r="L166" s="36"/>
      <c r="M166" s="36"/>
      <c r="N166" s="36"/>
      <c r="O166" s="37" t="s">
        <v>24</v>
      </c>
      <c r="P166" s="36" t="s">
        <v>93</v>
      </c>
      <c r="Q166" s="36"/>
      <c r="R166" s="38"/>
      <c r="S166" s="38"/>
      <c r="T166" s="38"/>
    </row>
    <row r="167" spans="1:20" x14ac:dyDescent="0.25">
      <c r="A167" s="35">
        <f t="shared" si="2"/>
        <v>166</v>
      </c>
      <c r="B167" s="36"/>
      <c r="C167" s="36" t="s">
        <v>1130</v>
      </c>
      <c r="D167" s="36"/>
      <c r="E167" s="4"/>
      <c r="F167" s="36"/>
      <c r="G167" s="36" t="s">
        <v>1034</v>
      </c>
      <c r="H167" s="36"/>
      <c r="I167" s="36"/>
      <c r="J167" s="36" t="s">
        <v>521</v>
      </c>
      <c r="K167" s="36"/>
      <c r="L167" s="36"/>
      <c r="M167" s="36"/>
      <c r="N167" s="36"/>
      <c r="O167" s="37" t="s">
        <v>24</v>
      </c>
      <c r="P167" s="36" t="s">
        <v>95</v>
      </c>
      <c r="Q167" s="36"/>
      <c r="R167" s="38"/>
      <c r="S167" s="38"/>
      <c r="T167" s="38"/>
    </row>
    <row r="168" spans="1:20" x14ac:dyDescent="0.25">
      <c r="A168" s="35">
        <f t="shared" si="2"/>
        <v>167</v>
      </c>
      <c r="B168" s="36"/>
      <c r="C168" s="36" t="s">
        <v>482</v>
      </c>
      <c r="D168" s="36"/>
      <c r="E168" s="4"/>
      <c r="F168" s="36">
        <v>2361</v>
      </c>
      <c r="G168" s="36" t="s">
        <v>1032</v>
      </c>
      <c r="H168" s="36"/>
      <c r="I168" s="36"/>
      <c r="J168" s="36" t="s">
        <v>512</v>
      </c>
      <c r="K168" s="36"/>
      <c r="L168" s="36"/>
      <c r="M168" s="36"/>
      <c r="N168" s="36"/>
      <c r="O168" s="37" t="s">
        <v>24</v>
      </c>
      <c r="P168" s="36" t="s">
        <v>93</v>
      </c>
      <c r="Q168" s="36"/>
      <c r="R168" s="38"/>
      <c r="S168" s="38"/>
      <c r="T168" s="38"/>
    </row>
    <row r="169" spans="1:20" x14ac:dyDescent="0.25">
      <c r="A169" s="35">
        <f t="shared" si="2"/>
        <v>168</v>
      </c>
      <c r="B169" s="36"/>
      <c r="C169" s="36" t="s">
        <v>1131</v>
      </c>
      <c r="D169" s="36"/>
      <c r="E169" s="4"/>
      <c r="F169" s="36">
        <v>669</v>
      </c>
      <c r="G169" s="36" t="s">
        <v>1015</v>
      </c>
      <c r="H169" s="36"/>
      <c r="I169" s="36"/>
      <c r="J169" s="36" t="s">
        <v>512</v>
      </c>
      <c r="K169" s="36"/>
      <c r="L169" s="36"/>
      <c r="M169" s="36"/>
      <c r="N169" s="36"/>
      <c r="O169" s="37" t="s">
        <v>24</v>
      </c>
      <c r="P169" s="36" t="s">
        <v>93</v>
      </c>
      <c r="Q169" s="36"/>
      <c r="R169" s="38"/>
      <c r="S169" s="38"/>
      <c r="T169" s="38"/>
    </row>
    <row r="170" spans="1:20" x14ac:dyDescent="0.25">
      <c r="A170" s="35">
        <f t="shared" si="2"/>
        <v>169</v>
      </c>
      <c r="B170" s="36"/>
      <c r="C170" s="36" t="s">
        <v>1132</v>
      </c>
      <c r="D170" s="36"/>
      <c r="E170" s="4"/>
      <c r="F170" s="36">
        <v>550</v>
      </c>
      <c r="G170" s="36" t="s">
        <v>1015</v>
      </c>
      <c r="H170" s="36"/>
      <c r="I170" s="36"/>
      <c r="J170" s="36" t="s">
        <v>521</v>
      </c>
      <c r="K170" s="36"/>
      <c r="L170" s="36"/>
      <c r="M170" s="36"/>
      <c r="N170" s="36"/>
      <c r="O170" s="37" t="s">
        <v>24</v>
      </c>
      <c r="P170" s="36" t="s">
        <v>93</v>
      </c>
      <c r="Q170" s="36"/>
      <c r="R170" s="38"/>
      <c r="S170" s="38"/>
      <c r="T170" s="38"/>
    </row>
    <row r="171" spans="1:20" x14ac:dyDescent="0.25">
      <c r="A171" s="35">
        <f t="shared" si="2"/>
        <v>170</v>
      </c>
      <c r="B171" s="36" t="s">
        <v>1133</v>
      </c>
      <c r="C171" s="36" t="s">
        <v>1134</v>
      </c>
      <c r="D171" s="36" t="s">
        <v>1133</v>
      </c>
      <c r="E171" s="4"/>
      <c r="F171" s="36">
        <v>1000</v>
      </c>
      <c r="G171" s="36" t="s">
        <v>553</v>
      </c>
      <c r="H171" s="36" t="s">
        <v>966</v>
      </c>
      <c r="I171" s="36" t="s">
        <v>1021</v>
      </c>
      <c r="J171" s="36" t="s">
        <v>521</v>
      </c>
      <c r="K171" s="36" t="s">
        <v>1111</v>
      </c>
      <c r="L171" s="36"/>
      <c r="M171" s="36"/>
      <c r="N171" s="36"/>
      <c r="O171" s="37" t="s">
        <v>29</v>
      </c>
      <c r="P171" s="36" t="s">
        <v>96</v>
      </c>
      <c r="Q171" s="36"/>
      <c r="R171" s="38"/>
      <c r="S171" s="38"/>
      <c r="T171" s="38"/>
    </row>
    <row r="172" spans="1:20" x14ac:dyDescent="0.25">
      <c r="A172" s="35">
        <f t="shared" si="2"/>
        <v>171</v>
      </c>
      <c r="B172" s="36" t="s">
        <v>1135</v>
      </c>
      <c r="C172" s="36" t="s">
        <v>1135</v>
      </c>
      <c r="D172" s="36" t="s">
        <v>1135</v>
      </c>
      <c r="E172" s="4" t="s">
        <v>1136</v>
      </c>
      <c r="F172" s="36">
        <v>750</v>
      </c>
      <c r="G172" s="36" t="s">
        <v>930</v>
      </c>
      <c r="H172" s="36" t="s">
        <v>510</v>
      </c>
      <c r="I172" s="36" t="s">
        <v>1137</v>
      </c>
      <c r="J172" s="36" t="s">
        <v>512</v>
      </c>
      <c r="K172" s="36" t="s">
        <v>1138</v>
      </c>
      <c r="L172" s="36" t="s">
        <v>240</v>
      </c>
      <c r="M172" s="36"/>
      <c r="N172" s="36"/>
      <c r="O172" s="37" t="s">
        <v>1139</v>
      </c>
      <c r="P172" s="36" t="s">
        <v>226</v>
      </c>
      <c r="Q172" s="36" t="s">
        <v>1140</v>
      </c>
      <c r="R172" s="38"/>
      <c r="S172" s="38"/>
      <c r="T172" s="38">
        <v>7874379269</v>
      </c>
    </row>
    <row r="173" spans="1:20" x14ac:dyDescent="0.25">
      <c r="A173" s="35">
        <f t="shared" si="2"/>
        <v>172</v>
      </c>
      <c r="B173" s="36"/>
      <c r="C173" s="36" t="s">
        <v>1141</v>
      </c>
      <c r="D173" s="36"/>
      <c r="E173" s="4"/>
      <c r="F173" s="36"/>
      <c r="G173" s="36"/>
      <c r="H173" s="36"/>
      <c r="I173" s="36"/>
      <c r="J173" s="36"/>
      <c r="K173" s="36"/>
      <c r="L173" s="36"/>
      <c r="M173" s="36"/>
      <c r="N173" s="36"/>
      <c r="O173" s="37" t="s">
        <v>1071</v>
      </c>
      <c r="P173" s="36" t="s">
        <v>1071</v>
      </c>
      <c r="Q173" s="36"/>
      <c r="R173" s="38"/>
      <c r="S173" s="38"/>
      <c r="T173" s="38"/>
    </row>
    <row r="174" spans="1:20" x14ac:dyDescent="0.25">
      <c r="A174" s="35">
        <f t="shared" si="2"/>
        <v>173</v>
      </c>
      <c r="B174" s="36"/>
      <c r="C174" s="36" t="s">
        <v>1142</v>
      </c>
      <c r="D174" s="36"/>
      <c r="E174" s="4"/>
      <c r="F174" s="36" t="s">
        <v>574</v>
      </c>
      <c r="G174" s="36" t="s">
        <v>965</v>
      </c>
      <c r="H174" s="36"/>
      <c r="I174" s="36"/>
      <c r="J174" s="36" t="s">
        <v>512</v>
      </c>
      <c r="K174" s="36"/>
      <c r="L174" s="36"/>
      <c r="M174" s="36"/>
      <c r="N174" s="36"/>
      <c r="O174" s="37" t="s">
        <v>24</v>
      </c>
      <c r="P174" s="36" t="s">
        <v>93</v>
      </c>
      <c r="Q174" s="36"/>
      <c r="R174" s="38"/>
      <c r="S174" s="38"/>
      <c r="T174" s="38"/>
    </row>
    <row r="175" spans="1:20" x14ac:dyDescent="0.25">
      <c r="A175" s="35">
        <f t="shared" si="2"/>
        <v>174</v>
      </c>
      <c r="B175" s="36"/>
      <c r="C175" s="36" t="s">
        <v>1143</v>
      </c>
      <c r="D175" s="36"/>
      <c r="E175" s="4"/>
      <c r="F175" s="36" t="s">
        <v>574</v>
      </c>
      <c r="G175" s="36" t="s">
        <v>1032</v>
      </c>
      <c r="H175" s="36"/>
      <c r="I175" s="36"/>
      <c r="J175" s="36" t="s">
        <v>512</v>
      </c>
      <c r="K175" s="36"/>
      <c r="L175" s="36"/>
      <c r="M175" s="36"/>
      <c r="N175" s="36"/>
      <c r="O175" s="37" t="s">
        <v>24</v>
      </c>
      <c r="P175" s="36" t="s">
        <v>93</v>
      </c>
      <c r="Q175" s="36"/>
      <c r="R175" s="38"/>
      <c r="S175" s="38"/>
      <c r="T175" s="38"/>
    </row>
    <row r="176" spans="1:20" x14ac:dyDescent="0.25">
      <c r="A176" s="35">
        <f t="shared" si="2"/>
        <v>175</v>
      </c>
      <c r="B176" s="36"/>
      <c r="C176" s="36" t="s">
        <v>1144</v>
      </c>
      <c r="D176" s="36"/>
      <c r="E176" s="4"/>
      <c r="F176" s="36" t="s">
        <v>574</v>
      </c>
      <c r="G176" s="36" t="s">
        <v>1015</v>
      </c>
      <c r="H176" s="36"/>
      <c r="I176" s="36"/>
      <c r="J176" s="36" t="s">
        <v>512</v>
      </c>
      <c r="K176" s="36"/>
      <c r="L176" s="36"/>
      <c r="M176" s="36"/>
      <c r="N176" s="36"/>
      <c r="O176" s="37" t="s">
        <v>24</v>
      </c>
      <c r="P176" s="36" t="s">
        <v>93</v>
      </c>
      <c r="Q176" s="36"/>
      <c r="R176" s="38"/>
      <c r="S176" s="38"/>
      <c r="T176" s="38"/>
    </row>
    <row r="177" spans="1:20" x14ac:dyDescent="0.25">
      <c r="A177" s="35">
        <f t="shared" si="2"/>
        <v>176</v>
      </c>
      <c r="B177" s="36"/>
      <c r="C177" s="36" t="s">
        <v>1145</v>
      </c>
      <c r="D177" s="36"/>
      <c r="E177" s="4"/>
      <c r="F177" s="36" t="s">
        <v>574</v>
      </c>
      <c r="G177" s="36" t="s">
        <v>965</v>
      </c>
      <c r="H177" s="36"/>
      <c r="I177" s="36"/>
      <c r="J177" s="36" t="s">
        <v>512</v>
      </c>
      <c r="K177" s="36"/>
      <c r="L177" s="36"/>
      <c r="M177" s="36"/>
      <c r="N177" s="36"/>
      <c r="O177" s="37" t="s">
        <v>29</v>
      </c>
      <c r="P177" s="36" t="s">
        <v>96</v>
      </c>
      <c r="Q177" s="36"/>
      <c r="R177" s="38"/>
      <c r="S177" s="38"/>
      <c r="T177" s="38"/>
    </row>
    <row r="178" spans="1:20" x14ac:dyDescent="0.25">
      <c r="A178" s="35">
        <f t="shared" si="2"/>
        <v>177</v>
      </c>
      <c r="B178" s="36"/>
      <c r="C178" s="36" t="s">
        <v>1146</v>
      </c>
      <c r="D178" s="36"/>
      <c r="E178" s="4"/>
      <c r="F178" s="36">
        <v>2100</v>
      </c>
      <c r="G178" s="36" t="s">
        <v>632</v>
      </c>
      <c r="H178" s="36"/>
      <c r="I178" s="36"/>
      <c r="J178" s="36" t="s">
        <v>512</v>
      </c>
      <c r="K178" s="36"/>
      <c r="L178" s="36"/>
      <c r="M178" s="36"/>
      <c r="N178" s="36"/>
      <c r="O178" s="37" t="s">
        <v>24</v>
      </c>
      <c r="P178" s="36" t="s">
        <v>93</v>
      </c>
      <c r="Q178" s="36"/>
      <c r="R178" s="38"/>
      <c r="S178" s="38"/>
      <c r="T178" s="38"/>
    </row>
    <row r="179" spans="1:20" x14ac:dyDescent="0.25">
      <c r="A179" s="35">
        <f t="shared" si="2"/>
        <v>178</v>
      </c>
      <c r="B179" s="36"/>
      <c r="C179" s="36" t="s">
        <v>1147</v>
      </c>
      <c r="D179" s="36"/>
      <c r="E179" s="4"/>
      <c r="F179" s="36">
        <v>700</v>
      </c>
      <c r="G179" s="36" t="s">
        <v>965</v>
      </c>
      <c r="H179" s="36"/>
      <c r="I179" s="36"/>
      <c r="J179" s="36" t="s">
        <v>521</v>
      </c>
      <c r="K179" s="36"/>
      <c r="L179" s="36"/>
      <c r="M179" s="36"/>
      <c r="N179" s="36"/>
      <c r="O179" s="37" t="s">
        <v>29</v>
      </c>
      <c r="P179" s="36" t="s">
        <v>96</v>
      </c>
      <c r="Q179" s="36"/>
      <c r="R179" s="38"/>
      <c r="S179" s="38"/>
      <c r="T179" s="38"/>
    </row>
    <row r="180" spans="1:20" x14ac:dyDescent="0.25">
      <c r="A180" s="35">
        <f t="shared" si="2"/>
        <v>179</v>
      </c>
      <c r="B180" s="36"/>
      <c r="C180" s="36" t="s">
        <v>1148</v>
      </c>
      <c r="D180" s="36"/>
      <c r="E180" s="4"/>
      <c r="F180" s="36">
        <v>2100</v>
      </c>
      <c r="G180" s="36" t="s">
        <v>1015</v>
      </c>
      <c r="H180" s="36"/>
      <c r="I180" s="36"/>
      <c r="J180" s="36" t="s">
        <v>512</v>
      </c>
      <c r="K180" s="36"/>
      <c r="L180" s="36"/>
      <c r="M180" s="36"/>
      <c r="N180" s="36"/>
      <c r="O180" s="37" t="s">
        <v>24</v>
      </c>
      <c r="P180" s="36" t="s">
        <v>93</v>
      </c>
      <c r="Q180" s="36"/>
      <c r="R180" s="38"/>
      <c r="S180" s="38"/>
      <c r="T180" s="38"/>
    </row>
    <row r="181" spans="1:20" x14ac:dyDescent="0.25">
      <c r="A181" s="35">
        <f t="shared" si="2"/>
        <v>180</v>
      </c>
      <c r="B181" s="36"/>
      <c r="C181" s="36" t="s">
        <v>1149</v>
      </c>
      <c r="D181" s="36"/>
      <c r="E181" s="4"/>
      <c r="F181" s="36" t="s">
        <v>574</v>
      </c>
      <c r="G181" s="36" t="s">
        <v>1015</v>
      </c>
      <c r="H181" s="36"/>
      <c r="I181" s="36"/>
      <c r="J181" s="36" t="s">
        <v>512</v>
      </c>
      <c r="K181" s="36"/>
      <c r="L181" s="36"/>
      <c r="M181" s="36"/>
      <c r="N181" s="36"/>
      <c r="O181" s="37" t="s">
        <v>24</v>
      </c>
      <c r="P181" s="36" t="s">
        <v>93</v>
      </c>
      <c r="Q181" s="36"/>
      <c r="R181" s="38"/>
      <c r="S181" s="38"/>
      <c r="T181" s="38"/>
    </row>
    <row r="182" spans="1:20" x14ac:dyDescent="0.25">
      <c r="A182" s="35">
        <f t="shared" si="2"/>
        <v>181</v>
      </c>
      <c r="B182" s="36"/>
      <c r="C182" s="36" t="s">
        <v>1150</v>
      </c>
      <c r="D182" s="36"/>
      <c r="E182" s="4"/>
      <c r="F182" s="36"/>
      <c r="G182" s="36" t="s">
        <v>965</v>
      </c>
      <c r="H182" s="36"/>
      <c r="I182" s="36"/>
      <c r="J182" s="36"/>
      <c r="K182" s="36"/>
      <c r="L182" s="36"/>
      <c r="M182" s="36"/>
      <c r="N182" s="36"/>
      <c r="O182" s="37" t="s">
        <v>1151</v>
      </c>
      <c r="P182" s="36" t="s">
        <v>93</v>
      </c>
      <c r="Q182" s="36"/>
      <c r="R182" s="38"/>
      <c r="S182" s="38"/>
      <c r="T182" s="38"/>
    </row>
    <row r="183" spans="1:20" x14ac:dyDescent="0.25">
      <c r="A183" s="35">
        <f t="shared" si="2"/>
        <v>182</v>
      </c>
      <c r="B183" s="36"/>
      <c r="C183" s="36" t="s">
        <v>1152</v>
      </c>
      <c r="D183" s="36"/>
      <c r="E183" s="4"/>
      <c r="F183" s="36">
        <v>600</v>
      </c>
      <c r="G183" s="36" t="s">
        <v>1015</v>
      </c>
      <c r="H183" s="36"/>
      <c r="I183" s="36"/>
      <c r="J183" s="36" t="s">
        <v>512</v>
      </c>
      <c r="K183" s="36"/>
      <c r="L183" s="36"/>
      <c r="M183" s="36"/>
      <c r="N183" s="36"/>
      <c r="O183" s="37" t="s">
        <v>24</v>
      </c>
      <c r="P183" s="36" t="s">
        <v>93</v>
      </c>
      <c r="Q183" s="36"/>
      <c r="R183" s="38"/>
      <c r="S183" s="38"/>
      <c r="T183" s="38"/>
    </row>
    <row r="184" spans="1:20" x14ac:dyDescent="0.25">
      <c r="A184" s="35">
        <f t="shared" si="2"/>
        <v>183</v>
      </c>
      <c r="B184" s="36"/>
      <c r="C184" s="36" t="s">
        <v>1153</v>
      </c>
      <c r="D184" s="36"/>
      <c r="E184" s="4"/>
      <c r="F184" s="36"/>
      <c r="G184" s="36" t="s">
        <v>1034</v>
      </c>
      <c r="H184" s="36"/>
      <c r="I184" s="36"/>
      <c r="J184" s="36" t="s">
        <v>521</v>
      </c>
      <c r="K184" s="36"/>
      <c r="L184" s="36"/>
      <c r="M184" s="36"/>
      <c r="N184" s="36"/>
      <c r="O184" s="37" t="s">
        <v>24</v>
      </c>
      <c r="P184" s="36" t="s">
        <v>95</v>
      </c>
      <c r="Q184" s="36"/>
      <c r="R184" s="38"/>
      <c r="S184" s="38"/>
      <c r="T184" s="38"/>
    </row>
    <row r="185" spans="1:20" x14ac:dyDescent="0.25">
      <c r="A185" s="35">
        <f t="shared" si="2"/>
        <v>184</v>
      </c>
      <c r="B185" s="36"/>
      <c r="C185" s="36" t="s">
        <v>1154</v>
      </c>
      <c r="D185" s="36"/>
      <c r="E185" s="4"/>
      <c r="F185" s="36" t="s">
        <v>574</v>
      </c>
      <c r="G185" s="36" t="s">
        <v>965</v>
      </c>
      <c r="H185" s="36"/>
      <c r="I185" s="36"/>
      <c r="J185" s="36" t="s">
        <v>512</v>
      </c>
      <c r="K185" s="36"/>
      <c r="L185" s="36"/>
      <c r="M185" s="36"/>
      <c r="N185" s="36"/>
      <c r="O185" s="37" t="s">
        <v>24</v>
      </c>
      <c r="P185" s="36" t="s">
        <v>93</v>
      </c>
      <c r="Q185" s="36"/>
      <c r="R185" s="38"/>
      <c r="S185" s="38"/>
      <c r="T185" s="38"/>
    </row>
    <row r="186" spans="1:20" x14ac:dyDescent="0.25">
      <c r="A186" s="35">
        <f t="shared" si="2"/>
        <v>185</v>
      </c>
      <c r="B186" s="36"/>
      <c r="C186" s="36" t="s">
        <v>1155</v>
      </c>
      <c r="D186" s="36"/>
      <c r="E186" s="4"/>
      <c r="F186" s="36">
        <v>1136</v>
      </c>
      <c r="G186" s="36" t="s">
        <v>930</v>
      </c>
      <c r="H186" s="36"/>
      <c r="I186" s="36"/>
      <c r="J186" s="36" t="s">
        <v>521</v>
      </c>
      <c r="K186" s="36"/>
      <c r="L186" s="36"/>
      <c r="M186" s="36"/>
      <c r="N186" s="36"/>
      <c r="O186" s="37" t="s">
        <v>24</v>
      </c>
      <c r="P186" s="36" t="s">
        <v>93</v>
      </c>
      <c r="Q186" s="36"/>
      <c r="R186" s="38"/>
      <c r="S186" s="38"/>
      <c r="T186" s="38"/>
    </row>
    <row r="187" spans="1:20" x14ac:dyDescent="0.25">
      <c r="A187" s="35">
        <f t="shared" si="2"/>
        <v>186</v>
      </c>
      <c r="B187" s="36"/>
      <c r="C187" s="36" t="s">
        <v>1156</v>
      </c>
      <c r="D187" s="36"/>
      <c r="E187" s="4"/>
      <c r="F187" s="36">
        <v>2361</v>
      </c>
      <c r="G187" s="36" t="s">
        <v>1032</v>
      </c>
      <c r="H187" s="36"/>
      <c r="I187" s="36"/>
      <c r="J187" s="36" t="s">
        <v>521</v>
      </c>
      <c r="K187" s="36"/>
      <c r="L187" s="36"/>
      <c r="M187" s="36"/>
      <c r="N187" s="36"/>
      <c r="O187" s="37" t="s">
        <v>24</v>
      </c>
      <c r="P187" s="36" t="s">
        <v>93</v>
      </c>
      <c r="Q187" s="36"/>
      <c r="R187" s="38"/>
      <c r="S187" s="38"/>
      <c r="T187" s="38"/>
    </row>
    <row r="188" spans="1:20" x14ac:dyDescent="0.25">
      <c r="A188" s="35">
        <f t="shared" si="2"/>
        <v>187</v>
      </c>
      <c r="B188" s="36"/>
      <c r="C188" s="36" t="s">
        <v>1157</v>
      </c>
      <c r="D188" s="36"/>
      <c r="E188" s="4"/>
      <c r="F188" s="36">
        <v>1845</v>
      </c>
      <c r="G188" s="36" t="s">
        <v>1032</v>
      </c>
      <c r="H188" s="36"/>
      <c r="I188" s="36"/>
      <c r="J188" s="36" t="s">
        <v>521</v>
      </c>
      <c r="K188" s="36"/>
      <c r="L188" s="36"/>
      <c r="M188" s="36"/>
      <c r="N188" s="36"/>
      <c r="O188" s="37" t="s">
        <v>24</v>
      </c>
      <c r="P188" s="36" t="s">
        <v>93</v>
      </c>
      <c r="Q188" s="36"/>
      <c r="R188" s="38"/>
      <c r="S188" s="38"/>
      <c r="T188" s="38"/>
    </row>
    <row r="189" spans="1:20" x14ac:dyDescent="0.25">
      <c r="A189" s="35">
        <f t="shared" si="2"/>
        <v>188</v>
      </c>
      <c r="B189" s="36"/>
      <c r="C189" s="36" t="s">
        <v>1158</v>
      </c>
      <c r="D189" s="36"/>
      <c r="E189" s="4"/>
      <c r="F189" s="36">
        <v>500</v>
      </c>
      <c r="G189" s="36" t="s">
        <v>1015</v>
      </c>
      <c r="H189" s="36"/>
      <c r="I189" s="36"/>
      <c r="J189" s="36" t="s">
        <v>512</v>
      </c>
      <c r="K189" s="36"/>
      <c r="L189" s="36"/>
      <c r="M189" s="36"/>
      <c r="N189" s="36"/>
      <c r="O189" s="37" t="s">
        <v>24</v>
      </c>
      <c r="P189" s="36" t="s">
        <v>93</v>
      </c>
      <c r="Q189" s="36"/>
      <c r="R189" s="38"/>
      <c r="S189" s="38"/>
      <c r="T189" s="38"/>
    </row>
    <row r="190" spans="1:20" x14ac:dyDescent="0.25">
      <c r="A190" s="35">
        <f t="shared" si="2"/>
        <v>189</v>
      </c>
      <c r="B190" s="36"/>
      <c r="C190" s="36" t="s">
        <v>1159</v>
      </c>
      <c r="D190" s="36"/>
      <c r="E190" s="4"/>
      <c r="F190" s="36" t="s">
        <v>574</v>
      </c>
      <c r="G190" s="36" t="s">
        <v>965</v>
      </c>
      <c r="H190" s="36"/>
      <c r="I190" s="36"/>
      <c r="J190" s="36" t="s">
        <v>512</v>
      </c>
      <c r="K190" s="36"/>
      <c r="L190" s="36"/>
      <c r="M190" s="36"/>
      <c r="N190" s="36"/>
      <c r="O190" s="37" t="s">
        <v>24</v>
      </c>
      <c r="P190" s="36" t="s">
        <v>1118</v>
      </c>
      <c r="Q190" s="36"/>
      <c r="R190" s="38"/>
      <c r="S190" s="38"/>
      <c r="T190" s="38"/>
    </row>
    <row r="191" spans="1:20" x14ac:dyDescent="0.25">
      <c r="A191" s="35">
        <f t="shared" si="2"/>
        <v>190</v>
      </c>
      <c r="B191" s="36"/>
      <c r="C191" s="36" t="s">
        <v>1160</v>
      </c>
      <c r="D191" s="36"/>
      <c r="E191" s="4"/>
      <c r="F191" s="36" t="s">
        <v>574</v>
      </c>
      <c r="G191" s="36" t="s">
        <v>1032</v>
      </c>
      <c r="H191" s="36"/>
      <c r="I191" s="36"/>
      <c r="J191" s="36" t="s">
        <v>521</v>
      </c>
      <c r="K191" s="36"/>
      <c r="L191" s="36"/>
      <c r="M191" s="36"/>
      <c r="N191" s="36"/>
      <c r="O191" s="37" t="s">
        <v>24</v>
      </c>
      <c r="P191" s="36" t="s">
        <v>93</v>
      </c>
      <c r="Q191" s="36"/>
      <c r="R191" s="38"/>
      <c r="S191" s="38"/>
      <c r="T191" s="38"/>
    </row>
    <row r="192" spans="1:20" x14ac:dyDescent="0.25">
      <c r="A192" s="35">
        <f t="shared" si="2"/>
        <v>191</v>
      </c>
      <c r="B192" s="36"/>
      <c r="C192" s="36" t="s">
        <v>1161</v>
      </c>
      <c r="D192" s="36"/>
      <c r="E192" s="4"/>
      <c r="F192" s="36" t="s">
        <v>574</v>
      </c>
      <c r="G192" s="36" t="s">
        <v>1032</v>
      </c>
      <c r="H192" s="36"/>
      <c r="I192" s="36"/>
      <c r="J192" s="36" t="s">
        <v>521</v>
      </c>
      <c r="K192" s="36"/>
      <c r="L192" s="36"/>
      <c r="M192" s="36"/>
      <c r="N192" s="36"/>
      <c r="O192" s="37" t="s">
        <v>24</v>
      </c>
      <c r="P192" s="36" t="s">
        <v>93</v>
      </c>
      <c r="Q192" s="36"/>
      <c r="R192" s="38"/>
      <c r="S192" s="38"/>
      <c r="T192" s="38"/>
    </row>
    <row r="193" spans="1:20" x14ac:dyDescent="0.25">
      <c r="A193" s="35">
        <f t="shared" si="2"/>
        <v>192</v>
      </c>
      <c r="B193" s="36"/>
      <c r="C193" s="36" t="s">
        <v>1162</v>
      </c>
      <c r="D193" s="36"/>
      <c r="E193" s="4"/>
      <c r="F193" s="36" t="s">
        <v>574</v>
      </c>
      <c r="G193" s="36" t="s">
        <v>965</v>
      </c>
      <c r="H193" s="36"/>
      <c r="I193" s="36"/>
      <c r="J193" s="36" t="s">
        <v>521</v>
      </c>
      <c r="K193" s="36"/>
      <c r="L193" s="36"/>
      <c r="M193" s="36"/>
      <c r="N193" s="36"/>
      <c r="O193" s="37" t="s">
        <v>24</v>
      </c>
      <c r="P193" s="36" t="s">
        <v>93</v>
      </c>
      <c r="Q193" s="36"/>
      <c r="R193" s="38"/>
      <c r="S193" s="38"/>
      <c r="T193" s="38"/>
    </row>
    <row r="194" spans="1:20" x14ac:dyDescent="0.25">
      <c r="A194" s="35">
        <f t="shared" si="2"/>
        <v>193</v>
      </c>
      <c r="B194" s="36"/>
      <c r="C194" s="36" t="s">
        <v>1163</v>
      </c>
      <c r="D194" s="36"/>
      <c r="E194" s="4"/>
      <c r="F194" s="36">
        <v>500</v>
      </c>
      <c r="G194" s="36" t="s">
        <v>1015</v>
      </c>
      <c r="H194" s="36"/>
      <c r="I194" s="36"/>
      <c r="J194" s="36" t="s">
        <v>521</v>
      </c>
      <c r="K194" s="36"/>
      <c r="L194" s="36"/>
      <c r="M194" s="36"/>
      <c r="N194" s="36"/>
      <c r="O194" s="37" t="s">
        <v>24</v>
      </c>
      <c r="P194" s="36" t="s">
        <v>93</v>
      </c>
      <c r="Q194" s="36"/>
      <c r="R194" s="38"/>
      <c r="S194" s="38"/>
      <c r="T194" s="38"/>
    </row>
    <row r="195" spans="1:20" x14ac:dyDescent="0.25">
      <c r="A195" s="35">
        <f t="shared" si="2"/>
        <v>194</v>
      </c>
      <c r="B195" s="36"/>
      <c r="C195" s="36" t="s">
        <v>1164</v>
      </c>
      <c r="D195" s="36"/>
      <c r="E195" s="4"/>
      <c r="F195" s="36" t="s">
        <v>574</v>
      </c>
      <c r="G195" s="36" t="s">
        <v>1032</v>
      </c>
      <c r="H195" s="36"/>
      <c r="I195" s="36"/>
      <c r="J195" s="36" t="s">
        <v>521</v>
      </c>
      <c r="K195" s="36"/>
      <c r="L195" s="36"/>
      <c r="M195" s="36"/>
      <c r="N195" s="36"/>
      <c r="O195" s="37" t="s">
        <v>24</v>
      </c>
      <c r="P195" s="36" t="s">
        <v>93</v>
      </c>
      <c r="Q195" s="36"/>
      <c r="R195" s="38"/>
      <c r="S195" s="38"/>
      <c r="T195" s="38"/>
    </row>
    <row r="196" spans="1:20" x14ac:dyDescent="0.25">
      <c r="A196" s="35">
        <f t="shared" ref="A196:A259" si="3">+A195+1</f>
        <v>195</v>
      </c>
      <c r="B196" s="36"/>
      <c r="C196" s="36" t="s">
        <v>1165</v>
      </c>
      <c r="D196" s="36"/>
      <c r="E196" s="4"/>
      <c r="F196" s="36"/>
      <c r="G196" s="36" t="s">
        <v>1102</v>
      </c>
      <c r="H196" s="36"/>
      <c r="I196" s="36"/>
      <c r="J196" s="36"/>
      <c r="K196" s="36"/>
      <c r="L196" s="36"/>
      <c r="M196" s="36"/>
      <c r="N196" s="36"/>
      <c r="O196" s="37" t="s">
        <v>1102</v>
      </c>
      <c r="P196" s="36" t="s">
        <v>1102</v>
      </c>
      <c r="Q196" s="36"/>
      <c r="R196" s="38"/>
      <c r="S196" s="38"/>
      <c r="T196" s="38"/>
    </row>
    <row r="197" spans="1:20" x14ac:dyDescent="0.25">
      <c r="A197" s="35">
        <f t="shared" si="3"/>
        <v>196</v>
      </c>
      <c r="B197" s="36"/>
      <c r="C197" s="36" t="s">
        <v>1166</v>
      </c>
      <c r="D197" s="36"/>
      <c r="E197" s="4"/>
      <c r="F197" s="36"/>
      <c r="G197" s="36" t="s">
        <v>1102</v>
      </c>
      <c r="H197" s="36"/>
      <c r="I197" s="36"/>
      <c r="J197" s="36"/>
      <c r="K197" s="36"/>
      <c r="L197" s="36"/>
      <c r="M197" s="36"/>
      <c r="N197" s="36"/>
      <c r="O197" s="37" t="s">
        <v>1102</v>
      </c>
      <c r="P197" s="36" t="s">
        <v>1102</v>
      </c>
      <c r="Q197" s="36"/>
      <c r="R197" s="38"/>
      <c r="S197" s="38"/>
      <c r="T197" s="38"/>
    </row>
    <row r="198" spans="1:20" x14ac:dyDescent="0.25">
      <c r="A198" s="35">
        <f t="shared" si="3"/>
        <v>197</v>
      </c>
      <c r="B198" s="36"/>
      <c r="C198" s="36" t="s">
        <v>1167</v>
      </c>
      <c r="D198" s="36"/>
      <c r="E198" s="4"/>
      <c r="F198" s="36"/>
      <c r="G198" s="36" t="s">
        <v>1168</v>
      </c>
      <c r="H198" s="36"/>
      <c r="I198" s="36"/>
      <c r="J198" s="36"/>
      <c r="K198" s="36"/>
      <c r="L198" s="36"/>
      <c r="M198" s="36"/>
      <c r="N198" s="36"/>
      <c r="O198" s="37" t="s">
        <v>1168</v>
      </c>
      <c r="P198" s="36" t="s">
        <v>1168</v>
      </c>
      <c r="Q198" s="36"/>
      <c r="R198" s="38"/>
      <c r="S198" s="38"/>
      <c r="T198" s="38"/>
    </row>
    <row r="199" spans="1:20" x14ac:dyDescent="0.25">
      <c r="A199" s="35">
        <f t="shared" si="3"/>
        <v>198</v>
      </c>
      <c r="B199" s="36"/>
      <c r="C199" s="36" t="s">
        <v>1169</v>
      </c>
      <c r="D199" s="36"/>
      <c r="E199" s="4"/>
      <c r="F199" s="36"/>
      <c r="G199" s="36" t="s">
        <v>1168</v>
      </c>
      <c r="H199" s="36"/>
      <c r="I199" s="36"/>
      <c r="J199" s="36"/>
      <c r="K199" s="36"/>
      <c r="L199" s="36"/>
      <c r="M199" s="36"/>
      <c r="N199" s="36"/>
      <c r="O199" s="37" t="s">
        <v>1168</v>
      </c>
      <c r="P199" s="36" t="s">
        <v>1168</v>
      </c>
      <c r="Q199" s="36"/>
      <c r="R199" s="38"/>
      <c r="S199" s="38"/>
      <c r="T199" s="38"/>
    </row>
    <row r="200" spans="1:20" x14ac:dyDescent="0.25">
      <c r="A200" s="35">
        <f t="shared" si="3"/>
        <v>199</v>
      </c>
      <c r="B200" s="36"/>
      <c r="C200" s="36" t="s">
        <v>1170</v>
      </c>
      <c r="D200" s="36"/>
      <c r="E200" s="4"/>
      <c r="F200" s="36"/>
      <c r="G200" s="36" t="s">
        <v>1168</v>
      </c>
      <c r="H200" s="36"/>
      <c r="I200" s="36"/>
      <c r="J200" s="36"/>
      <c r="K200" s="36"/>
      <c r="L200" s="36"/>
      <c r="M200" s="36"/>
      <c r="N200" s="36"/>
      <c r="O200" s="37" t="s">
        <v>1168</v>
      </c>
      <c r="P200" s="36" t="s">
        <v>1168</v>
      </c>
      <c r="Q200" s="36"/>
      <c r="R200" s="38"/>
      <c r="S200" s="38"/>
      <c r="T200" s="38"/>
    </row>
    <row r="201" spans="1:20" x14ac:dyDescent="0.25">
      <c r="A201" s="35">
        <f t="shared" si="3"/>
        <v>200</v>
      </c>
      <c r="B201" s="36"/>
      <c r="C201" s="36" t="s">
        <v>1171</v>
      </c>
      <c r="D201" s="36"/>
      <c r="E201" s="4"/>
      <c r="F201" s="36"/>
      <c r="G201" s="36" t="s">
        <v>1168</v>
      </c>
      <c r="H201" s="36"/>
      <c r="I201" s="36"/>
      <c r="J201" s="36"/>
      <c r="K201" s="36"/>
      <c r="L201" s="36"/>
      <c r="M201" s="36"/>
      <c r="N201" s="36"/>
      <c r="O201" s="37" t="s">
        <v>1168</v>
      </c>
      <c r="P201" s="36" t="s">
        <v>1168</v>
      </c>
      <c r="Q201" s="36"/>
      <c r="R201" s="38"/>
      <c r="S201" s="38"/>
      <c r="T201" s="38"/>
    </row>
    <row r="202" spans="1:20" x14ac:dyDescent="0.25">
      <c r="A202" s="35">
        <f t="shared" si="3"/>
        <v>201</v>
      </c>
      <c r="B202" s="36"/>
      <c r="C202" s="36" t="s">
        <v>1172</v>
      </c>
      <c r="D202" s="36"/>
      <c r="E202" s="4"/>
      <c r="F202" s="36"/>
      <c r="G202" s="36" t="s">
        <v>1102</v>
      </c>
      <c r="H202" s="36"/>
      <c r="I202" s="36"/>
      <c r="J202" s="36"/>
      <c r="K202" s="36"/>
      <c r="L202" s="36"/>
      <c r="M202" s="36"/>
      <c r="N202" s="36"/>
      <c r="O202" s="37" t="s">
        <v>1102</v>
      </c>
      <c r="P202" s="36" t="s">
        <v>1102</v>
      </c>
      <c r="Q202" s="36"/>
      <c r="R202" s="38"/>
      <c r="S202" s="38"/>
      <c r="T202" s="38"/>
    </row>
    <row r="203" spans="1:20" x14ac:dyDescent="0.25">
      <c r="A203" s="35">
        <f t="shared" si="3"/>
        <v>202</v>
      </c>
      <c r="B203" s="36"/>
      <c r="C203" s="36" t="s">
        <v>1173</v>
      </c>
      <c r="D203" s="36"/>
      <c r="E203" s="4"/>
      <c r="F203" s="36"/>
      <c r="G203" s="36" t="s">
        <v>1102</v>
      </c>
      <c r="H203" s="36"/>
      <c r="I203" s="36"/>
      <c r="J203" s="36"/>
      <c r="K203" s="36"/>
      <c r="L203" s="36"/>
      <c r="M203" s="36"/>
      <c r="N203" s="36"/>
      <c r="O203" s="37" t="s">
        <v>1168</v>
      </c>
      <c r="P203" s="36" t="s">
        <v>1168</v>
      </c>
      <c r="Q203" s="36"/>
      <c r="R203" s="38"/>
      <c r="S203" s="38"/>
      <c r="T203" s="38"/>
    </row>
    <row r="204" spans="1:20" x14ac:dyDescent="0.25">
      <c r="A204" s="35">
        <f t="shared" si="3"/>
        <v>203</v>
      </c>
      <c r="B204" s="36"/>
      <c r="C204" s="36" t="s">
        <v>1174</v>
      </c>
      <c r="D204" s="36"/>
      <c r="E204" s="4"/>
      <c r="F204" s="36"/>
      <c r="G204" s="36" t="s">
        <v>1175</v>
      </c>
      <c r="H204" s="36"/>
      <c r="I204" s="36"/>
      <c r="J204" s="36"/>
      <c r="K204" s="36"/>
      <c r="L204" s="36"/>
      <c r="M204" s="36"/>
      <c r="N204" s="36"/>
      <c r="O204" s="37" t="s">
        <v>24</v>
      </c>
      <c r="P204" s="36" t="s">
        <v>1176</v>
      </c>
      <c r="Q204" s="36"/>
      <c r="R204" s="38"/>
      <c r="S204" s="38"/>
      <c r="T204" s="38"/>
    </row>
    <row r="205" spans="1:20" x14ac:dyDescent="0.25">
      <c r="A205" s="35">
        <f t="shared" si="3"/>
        <v>204</v>
      </c>
      <c r="B205" s="36"/>
      <c r="C205" s="36" t="s">
        <v>1177</v>
      </c>
      <c r="D205" s="36"/>
      <c r="E205" s="4"/>
      <c r="F205" s="36"/>
      <c r="G205" s="36" t="s">
        <v>1102</v>
      </c>
      <c r="H205" s="36"/>
      <c r="I205" s="36"/>
      <c r="J205" s="36"/>
      <c r="K205" s="36"/>
      <c r="L205" s="36"/>
      <c r="M205" s="36"/>
      <c r="N205" s="36"/>
      <c r="O205" s="37" t="s">
        <v>1168</v>
      </c>
      <c r="P205" s="36" t="s">
        <v>1168</v>
      </c>
      <c r="Q205" s="36"/>
      <c r="R205" s="38"/>
      <c r="S205" s="38"/>
      <c r="T205" s="38"/>
    </row>
    <row r="206" spans="1:20" x14ac:dyDescent="0.25">
      <c r="A206" s="35">
        <f t="shared" si="3"/>
        <v>205</v>
      </c>
      <c r="B206" s="36"/>
      <c r="C206" s="36" t="s">
        <v>1178</v>
      </c>
      <c r="D206" s="36"/>
      <c r="E206" s="4"/>
      <c r="F206" s="36"/>
      <c r="G206" s="36" t="s">
        <v>1168</v>
      </c>
      <c r="H206" s="36"/>
      <c r="I206" s="36"/>
      <c r="J206" s="36"/>
      <c r="K206" s="36"/>
      <c r="L206" s="36"/>
      <c r="M206" s="36"/>
      <c r="N206" s="36"/>
      <c r="O206" s="37" t="s">
        <v>1168</v>
      </c>
      <c r="P206" s="36" t="s">
        <v>1168</v>
      </c>
      <c r="Q206" s="36"/>
      <c r="R206" s="38"/>
      <c r="S206" s="38"/>
      <c r="T206" s="38"/>
    </row>
    <row r="207" spans="1:20" x14ac:dyDescent="0.25">
      <c r="A207" s="35">
        <f t="shared" si="3"/>
        <v>206</v>
      </c>
      <c r="B207" s="36"/>
      <c r="C207" s="36" t="s">
        <v>1179</v>
      </c>
      <c r="D207" s="36"/>
      <c r="E207" s="4"/>
      <c r="F207" s="36"/>
      <c r="G207" s="36" t="s">
        <v>1102</v>
      </c>
      <c r="H207" s="36"/>
      <c r="I207" s="36"/>
      <c r="J207" s="36"/>
      <c r="K207" s="36"/>
      <c r="L207" s="36"/>
      <c r="M207" s="36"/>
      <c r="N207" s="36"/>
      <c r="O207" s="37" t="s">
        <v>1168</v>
      </c>
      <c r="P207" s="36" t="s">
        <v>1168</v>
      </c>
      <c r="Q207" s="36"/>
      <c r="R207" s="38"/>
      <c r="S207" s="38"/>
      <c r="T207" s="38"/>
    </row>
    <row r="208" spans="1:20" x14ac:dyDescent="0.25">
      <c r="A208" s="35">
        <f t="shared" si="3"/>
        <v>207</v>
      </c>
      <c r="B208" s="36"/>
      <c r="C208" s="36" t="s">
        <v>1180</v>
      </c>
      <c r="D208" s="36"/>
      <c r="E208" s="4"/>
      <c r="F208" s="36"/>
      <c r="G208" s="36" t="s">
        <v>1015</v>
      </c>
      <c r="H208" s="36"/>
      <c r="I208" s="36"/>
      <c r="J208" s="36"/>
      <c r="K208" s="36"/>
      <c r="L208" s="36"/>
      <c r="M208" s="36"/>
      <c r="N208" s="36"/>
      <c r="O208" s="37" t="s">
        <v>24</v>
      </c>
      <c r="P208" s="36" t="s">
        <v>93</v>
      </c>
      <c r="Q208" s="36"/>
      <c r="R208" s="38"/>
      <c r="S208" s="38"/>
      <c r="T208" s="38"/>
    </row>
    <row r="209" spans="1:20" x14ac:dyDescent="0.25">
      <c r="A209" s="35">
        <f t="shared" si="3"/>
        <v>208</v>
      </c>
      <c r="B209" s="36"/>
      <c r="C209" s="36" t="s">
        <v>1181</v>
      </c>
      <c r="D209" s="36"/>
      <c r="E209" s="4"/>
      <c r="F209" s="36" t="s">
        <v>574</v>
      </c>
      <c r="G209" s="36" t="s">
        <v>965</v>
      </c>
      <c r="H209" s="36"/>
      <c r="I209" s="36"/>
      <c r="J209" s="36" t="s">
        <v>512</v>
      </c>
      <c r="K209" s="36"/>
      <c r="L209" s="36"/>
      <c r="M209" s="36"/>
      <c r="N209" s="36"/>
      <c r="O209" s="37" t="s">
        <v>24</v>
      </c>
      <c r="P209" s="36" t="s">
        <v>93</v>
      </c>
      <c r="Q209" s="36"/>
      <c r="R209" s="38"/>
      <c r="S209" s="38"/>
      <c r="T209" s="38"/>
    </row>
    <row r="210" spans="1:20" x14ac:dyDescent="0.25">
      <c r="A210" s="35">
        <f t="shared" si="3"/>
        <v>209</v>
      </c>
      <c r="B210" s="36"/>
      <c r="C210" s="36" t="s">
        <v>1141</v>
      </c>
      <c r="D210" s="36"/>
      <c r="E210" s="4"/>
      <c r="F210" s="36"/>
      <c r="G210" s="36"/>
      <c r="H210" s="36"/>
      <c r="I210" s="36"/>
      <c r="J210" s="36"/>
      <c r="K210" s="36"/>
      <c r="L210" s="36"/>
      <c r="M210" s="36"/>
      <c r="N210" s="36"/>
      <c r="O210" s="37" t="s">
        <v>1168</v>
      </c>
      <c r="P210" s="36" t="s">
        <v>1168</v>
      </c>
      <c r="Q210" s="36"/>
      <c r="R210" s="38"/>
      <c r="S210" s="38"/>
      <c r="T210" s="38"/>
    </row>
    <row r="211" spans="1:20" x14ac:dyDescent="0.25">
      <c r="A211" s="35">
        <f t="shared" si="3"/>
        <v>210</v>
      </c>
      <c r="B211" s="36"/>
      <c r="C211" s="36" t="s">
        <v>1182</v>
      </c>
      <c r="D211" s="36"/>
      <c r="E211" s="4"/>
      <c r="F211" s="36"/>
      <c r="G211" s="36"/>
      <c r="H211" s="36"/>
      <c r="I211" s="36"/>
      <c r="J211" s="36"/>
      <c r="K211" s="36"/>
      <c r="L211" s="36"/>
      <c r="M211" s="36"/>
      <c r="N211" s="36"/>
      <c r="O211" s="37" t="s">
        <v>1102</v>
      </c>
      <c r="P211" s="36" t="s">
        <v>1102</v>
      </c>
      <c r="Q211" s="36"/>
      <c r="R211" s="38"/>
      <c r="S211" s="38"/>
      <c r="T211" s="38"/>
    </row>
    <row r="212" spans="1:20" x14ac:dyDescent="0.25">
      <c r="A212" s="35">
        <f t="shared" si="3"/>
        <v>211</v>
      </c>
      <c r="B212" s="36"/>
      <c r="C212" s="36" t="s">
        <v>1183</v>
      </c>
      <c r="D212" s="36"/>
      <c r="E212" s="4"/>
      <c r="F212" s="36"/>
      <c r="G212" s="36"/>
      <c r="H212" s="36"/>
      <c r="I212" s="36"/>
      <c r="J212" s="36"/>
      <c r="K212" s="36"/>
      <c r="L212" s="36"/>
      <c r="M212" s="36"/>
      <c r="N212" s="36"/>
      <c r="O212" s="37" t="s">
        <v>1102</v>
      </c>
      <c r="P212" s="36" t="s">
        <v>1102</v>
      </c>
      <c r="Q212" s="36"/>
      <c r="R212" s="38"/>
      <c r="S212" s="38"/>
      <c r="T212" s="38"/>
    </row>
    <row r="213" spans="1:20" x14ac:dyDescent="0.25">
      <c r="A213" s="35">
        <f t="shared" si="3"/>
        <v>212</v>
      </c>
      <c r="B213" s="36"/>
      <c r="C213" s="36" t="s">
        <v>1184</v>
      </c>
      <c r="D213" s="36"/>
      <c r="E213" s="4"/>
      <c r="F213" s="36"/>
      <c r="G213" s="36"/>
      <c r="H213" s="36"/>
      <c r="I213" s="36"/>
      <c r="J213" s="36"/>
      <c r="K213" s="36"/>
      <c r="L213" s="36"/>
      <c r="M213" s="36"/>
      <c r="N213" s="36"/>
      <c r="O213" s="37" t="s">
        <v>1102</v>
      </c>
      <c r="P213" s="36" t="s">
        <v>1102</v>
      </c>
      <c r="Q213" s="36"/>
      <c r="R213" s="38"/>
      <c r="S213" s="38"/>
      <c r="T213" s="38"/>
    </row>
    <row r="214" spans="1:20" x14ac:dyDescent="0.25">
      <c r="A214" s="35">
        <f t="shared" si="3"/>
        <v>213</v>
      </c>
      <c r="B214" s="36"/>
      <c r="C214" s="36" t="s">
        <v>1185</v>
      </c>
      <c r="D214" s="36"/>
      <c r="E214" s="4"/>
      <c r="F214" s="36" t="s">
        <v>574</v>
      </c>
      <c r="G214" s="36" t="s">
        <v>965</v>
      </c>
      <c r="H214" s="36"/>
      <c r="I214" s="36"/>
      <c r="J214" s="36" t="s">
        <v>512</v>
      </c>
      <c r="K214" s="36"/>
      <c r="L214" s="36"/>
      <c r="M214" s="36"/>
      <c r="N214" s="36"/>
      <c r="O214" s="37" t="s">
        <v>24</v>
      </c>
      <c r="P214" s="36" t="s">
        <v>93</v>
      </c>
      <c r="Q214" s="36"/>
      <c r="R214" s="38"/>
      <c r="S214" s="38"/>
      <c r="T214" s="38"/>
    </row>
    <row r="215" spans="1:20" x14ac:dyDescent="0.25">
      <c r="A215" s="35">
        <f t="shared" si="3"/>
        <v>214</v>
      </c>
      <c r="B215" s="36"/>
      <c r="C215" s="36" t="s">
        <v>1186</v>
      </c>
      <c r="D215" s="36"/>
      <c r="E215" s="4"/>
      <c r="F215" s="36"/>
      <c r="G215" s="36"/>
      <c r="H215" s="36"/>
      <c r="I215" s="36"/>
      <c r="J215" s="36"/>
      <c r="K215" s="36"/>
      <c r="L215" s="36"/>
      <c r="M215" s="36"/>
      <c r="N215" s="36"/>
      <c r="O215" s="37" t="s">
        <v>1071</v>
      </c>
      <c r="P215" s="36" t="s">
        <v>1071</v>
      </c>
      <c r="Q215" s="36"/>
      <c r="R215" s="38"/>
      <c r="S215" s="38"/>
      <c r="T215" s="38"/>
    </row>
    <row r="216" spans="1:20" x14ac:dyDescent="0.25">
      <c r="A216" s="35">
        <f t="shared" si="3"/>
        <v>215</v>
      </c>
      <c r="B216" s="36"/>
      <c r="C216" s="36" t="s">
        <v>1187</v>
      </c>
      <c r="D216" s="36"/>
      <c r="E216" s="4"/>
      <c r="F216" s="36">
        <v>1136</v>
      </c>
      <c r="G216" s="36" t="s">
        <v>1015</v>
      </c>
      <c r="H216" s="36"/>
      <c r="I216" s="36"/>
      <c r="J216" s="36" t="s">
        <v>521</v>
      </c>
      <c r="K216" s="36"/>
      <c r="L216" s="36"/>
      <c r="M216" s="36"/>
      <c r="N216" s="36"/>
      <c r="O216" s="37" t="s">
        <v>24</v>
      </c>
      <c r="P216" s="36" t="s">
        <v>93</v>
      </c>
      <c r="Q216" s="36"/>
      <c r="R216" s="38"/>
      <c r="S216" s="38"/>
      <c r="T216" s="38"/>
    </row>
    <row r="217" spans="1:20" x14ac:dyDescent="0.25">
      <c r="A217" s="35">
        <f t="shared" si="3"/>
        <v>216</v>
      </c>
      <c r="B217" s="36"/>
      <c r="C217" s="36" t="s">
        <v>1188</v>
      </c>
      <c r="D217" s="36"/>
      <c r="E217" s="4"/>
      <c r="F217" s="36"/>
      <c r="G217" s="36"/>
      <c r="H217" s="36"/>
      <c r="I217" s="36"/>
      <c r="J217" s="36" t="s">
        <v>1026</v>
      </c>
      <c r="K217" s="36"/>
      <c r="L217" s="36"/>
      <c r="M217" s="36"/>
      <c r="N217" s="36"/>
      <c r="O217" s="37" t="s">
        <v>1026</v>
      </c>
      <c r="P217" s="36" t="s">
        <v>1026</v>
      </c>
      <c r="Q217" s="36"/>
      <c r="R217" s="38"/>
      <c r="S217" s="38"/>
      <c r="T217" s="38"/>
    </row>
    <row r="218" spans="1:20" x14ac:dyDescent="0.25">
      <c r="A218" s="35">
        <f t="shared" si="3"/>
        <v>217</v>
      </c>
      <c r="B218" s="36"/>
      <c r="C218" s="36" t="s">
        <v>1189</v>
      </c>
      <c r="D218" s="36"/>
      <c r="E218" s="4"/>
      <c r="F218" s="36"/>
      <c r="G218" s="36"/>
      <c r="H218" s="36"/>
      <c r="I218" s="36"/>
      <c r="J218" s="36" t="s">
        <v>1026</v>
      </c>
      <c r="K218" s="36"/>
      <c r="L218" s="36"/>
      <c r="M218" s="36"/>
      <c r="N218" s="36"/>
      <c r="O218" s="37" t="s">
        <v>1026</v>
      </c>
      <c r="P218" s="36" t="s">
        <v>1026</v>
      </c>
      <c r="Q218" s="36"/>
      <c r="R218" s="38"/>
      <c r="S218" s="38"/>
      <c r="T218" s="38"/>
    </row>
    <row r="219" spans="1:20" x14ac:dyDescent="0.25">
      <c r="A219" s="35">
        <f t="shared" si="3"/>
        <v>218</v>
      </c>
      <c r="B219" s="36"/>
      <c r="C219" s="36" t="s">
        <v>1190</v>
      </c>
      <c r="D219" s="36"/>
      <c r="E219" s="4"/>
      <c r="F219" s="36"/>
      <c r="G219" s="36"/>
      <c r="H219" s="36"/>
      <c r="I219" s="36"/>
      <c r="J219" s="36" t="s">
        <v>1026</v>
      </c>
      <c r="K219" s="36"/>
      <c r="L219" s="36"/>
      <c r="M219" s="36"/>
      <c r="N219" s="36"/>
      <c r="O219" s="37" t="s">
        <v>1026</v>
      </c>
      <c r="P219" s="36" t="s">
        <v>1026</v>
      </c>
      <c r="Q219" s="36"/>
      <c r="R219" s="38"/>
      <c r="S219" s="38"/>
      <c r="T219" s="38"/>
    </row>
    <row r="220" spans="1:20" x14ac:dyDescent="0.25">
      <c r="A220" s="35">
        <f t="shared" si="3"/>
        <v>219</v>
      </c>
      <c r="B220" s="36"/>
      <c r="C220" s="36" t="s">
        <v>1191</v>
      </c>
      <c r="D220" s="36"/>
      <c r="E220" s="4"/>
      <c r="F220" s="36"/>
      <c r="G220" s="36"/>
      <c r="H220" s="36"/>
      <c r="I220" s="36"/>
      <c r="J220" s="36" t="s">
        <v>1102</v>
      </c>
      <c r="K220" s="36"/>
      <c r="L220" s="36"/>
      <c r="M220" s="36"/>
      <c r="N220" s="36"/>
      <c r="O220" s="37" t="s">
        <v>1102</v>
      </c>
      <c r="P220" s="36" t="s">
        <v>1102</v>
      </c>
      <c r="Q220" s="36"/>
      <c r="R220" s="38"/>
      <c r="S220" s="38"/>
      <c r="T220" s="38"/>
    </row>
    <row r="221" spans="1:20" x14ac:dyDescent="0.25">
      <c r="A221" s="35">
        <f t="shared" si="3"/>
        <v>220</v>
      </c>
      <c r="B221" s="36"/>
      <c r="C221" s="36" t="s">
        <v>1192</v>
      </c>
      <c r="D221" s="36"/>
      <c r="E221" s="4"/>
      <c r="F221" s="36"/>
      <c r="G221" s="36"/>
      <c r="H221" s="36"/>
      <c r="I221" s="36"/>
      <c r="J221" s="36" t="s">
        <v>1026</v>
      </c>
      <c r="K221" s="36"/>
      <c r="L221" s="36"/>
      <c r="M221" s="36"/>
      <c r="N221" s="36"/>
      <c r="O221" s="37" t="s">
        <v>1026</v>
      </c>
      <c r="P221" s="36" t="s">
        <v>1026</v>
      </c>
      <c r="Q221" s="36"/>
      <c r="R221" s="38"/>
      <c r="S221" s="38"/>
      <c r="T221" s="38"/>
    </row>
    <row r="222" spans="1:20" x14ac:dyDescent="0.25">
      <c r="A222" s="35">
        <f t="shared" si="3"/>
        <v>221</v>
      </c>
      <c r="B222" s="36"/>
      <c r="C222" s="36" t="s">
        <v>1193</v>
      </c>
      <c r="D222" s="36"/>
      <c r="E222" s="4"/>
      <c r="F222" s="36"/>
      <c r="G222" s="36"/>
      <c r="H222" s="36"/>
      <c r="I222" s="36"/>
      <c r="J222" s="36" t="s">
        <v>1026</v>
      </c>
      <c r="K222" s="36"/>
      <c r="L222" s="36"/>
      <c r="M222" s="36"/>
      <c r="N222" s="36"/>
      <c r="O222" s="37" t="s">
        <v>1026</v>
      </c>
      <c r="P222" s="36" t="s">
        <v>1026</v>
      </c>
      <c r="Q222" s="36"/>
      <c r="R222" s="38"/>
      <c r="S222" s="38"/>
      <c r="T222" s="38"/>
    </row>
    <row r="223" spans="1:20" x14ac:dyDescent="0.25">
      <c r="A223" s="35">
        <f t="shared" si="3"/>
        <v>222</v>
      </c>
      <c r="B223" s="36"/>
      <c r="C223" s="36" t="s">
        <v>1194</v>
      </c>
      <c r="D223" s="36"/>
      <c r="E223" s="4"/>
      <c r="F223" s="36"/>
      <c r="G223" s="36"/>
      <c r="H223" s="36"/>
      <c r="I223" s="36"/>
      <c r="J223" s="36" t="s">
        <v>1026</v>
      </c>
      <c r="K223" s="36"/>
      <c r="L223" s="36"/>
      <c r="M223" s="36"/>
      <c r="N223" s="36"/>
      <c r="O223" s="37" t="s">
        <v>1026</v>
      </c>
      <c r="P223" s="36" t="s">
        <v>1026</v>
      </c>
      <c r="Q223" s="36"/>
      <c r="R223" s="38"/>
      <c r="S223" s="38"/>
      <c r="T223" s="38"/>
    </row>
    <row r="224" spans="1:20" x14ac:dyDescent="0.25">
      <c r="A224" s="35">
        <f t="shared" si="3"/>
        <v>223</v>
      </c>
      <c r="B224" s="36"/>
      <c r="C224" s="36" t="s">
        <v>181</v>
      </c>
      <c r="D224" s="36"/>
      <c r="E224" s="4"/>
      <c r="F224" s="36">
        <v>606</v>
      </c>
      <c r="G224" s="36" t="s">
        <v>930</v>
      </c>
      <c r="H224" s="36" t="s">
        <v>966</v>
      </c>
      <c r="I224" s="36"/>
      <c r="J224" s="36" t="s">
        <v>521</v>
      </c>
      <c r="K224" s="36"/>
      <c r="L224" s="36"/>
      <c r="M224" s="36"/>
      <c r="N224" s="36"/>
      <c r="O224" s="37" t="s">
        <v>24</v>
      </c>
      <c r="P224" s="36" t="s">
        <v>93</v>
      </c>
      <c r="Q224" s="36"/>
      <c r="R224" s="38"/>
      <c r="S224" s="38"/>
      <c r="T224" s="38"/>
    </row>
    <row r="225" spans="1:20" x14ac:dyDescent="0.25">
      <c r="A225" s="35">
        <f t="shared" si="3"/>
        <v>224</v>
      </c>
      <c r="B225" s="36"/>
      <c r="C225" s="36" t="s">
        <v>1195</v>
      </c>
      <c r="D225" s="36"/>
      <c r="E225" s="4"/>
      <c r="F225" s="36">
        <v>500</v>
      </c>
      <c r="G225" s="36" t="s">
        <v>1015</v>
      </c>
      <c r="H225" s="36"/>
      <c r="I225" s="36"/>
      <c r="J225" s="36" t="s">
        <v>521</v>
      </c>
      <c r="K225" s="36"/>
      <c r="L225" s="36"/>
      <c r="M225" s="36"/>
      <c r="N225" s="36"/>
      <c r="O225" s="37" t="s">
        <v>24</v>
      </c>
      <c r="P225" s="36" t="s">
        <v>93</v>
      </c>
      <c r="Q225" s="36"/>
      <c r="R225" s="38"/>
      <c r="S225" s="38"/>
      <c r="T225" s="38"/>
    </row>
    <row r="226" spans="1:20" x14ac:dyDescent="0.25">
      <c r="A226" s="35">
        <f t="shared" si="3"/>
        <v>225</v>
      </c>
      <c r="B226" s="36"/>
      <c r="C226" s="36" t="s">
        <v>181</v>
      </c>
      <c r="D226" s="36"/>
      <c r="E226" s="4"/>
      <c r="F226" s="36">
        <v>606</v>
      </c>
      <c r="G226" s="36" t="s">
        <v>965</v>
      </c>
      <c r="H226" s="36" t="s">
        <v>966</v>
      </c>
      <c r="I226" s="36"/>
      <c r="J226" s="36" t="s">
        <v>521</v>
      </c>
      <c r="K226" s="36"/>
      <c r="L226" s="36"/>
      <c r="M226" s="36"/>
      <c r="N226" s="36"/>
      <c r="O226" s="37" t="s">
        <v>24</v>
      </c>
      <c r="P226" s="36" t="s">
        <v>93</v>
      </c>
      <c r="Q226" s="36"/>
      <c r="R226" s="38"/>
      <c r="S226" s="38"/>
      <c r="T226" s="38"/>
    </row>
    <row r="227" spans="1:20" x14ac:dyDescent="0.25">
      <c r="A227" s="35">
        <f t="shared" si="3"/>
        <v>226</v>
      </c>
      <c r="B227" s="36"/>
      <c r="C227" s="36" t="s">
        <v>1195</v>
      </c>
      <c r="D227" s="36"/>
      <c r="E227" s="4"/>
      <c r="F227" s="36">
        <v>500</v>
      </c>
      <c r="G227" s="36" t="s">
        <v>1015</v>
      </c>
      <c r="H227" s="36"/>
      <c r="I227" s="36"/>
      <c r="J227" s="36" t="s">
        <v>521</v>
      </c>
      <c r="K227" s="36"/>
      <c r="L227" s="36"/>
      <c r="M227" s="36"/>
      <c r="N227" s="36"/>
      <c r="O227" s="37" t="s">
        <v>24</v>
      </c>
      <c r="P227" s="36" t="s">
        <v>93</v>
      </c>
      <c r="Q227" s="36"/>
      <c r="R227" s="38"/>
      <c r="S227" s="38"/>
      <c r="T227" s="38"/>
    </row>
    <row r="228" spans="1:20" x14ac:dyDescent="0.25">
      <c r="A228" s="35">
        <f t="shared" si="3"/>
        <v>227</v>
      </c>
      <c r="B228" s="36"/>
      <c r="C228" s="36" t="s">
        <v>1196</v>
      </c>
      <c r="D228" s="36"/>
      <c r="E228" s="4"/>
      <c r="F228" s="36"/>
      <c r="G228" s="36" t="s">
        <v>1015</v>
      </c>
      <c r="H228" s="36"/>
      <c r="I228" s="36"/>
      <c r="J228" s="36" t="s">
        <v>512</v>
      </c>
      <c r="K228" s="36"/>
      <c r="L228" s="36"/>
      <c r="M228" s="36"/>
      <c r="N228" s="36"/>
      <c r="O228" s="37" t="s">
        <v>1197</v>
      </c>
      <c r="P228" s="36" t="s">
        <v>1197</v>
      </c>
      <c r="Q228" s="36"/>
      <c r="R228" s="38"/>
      <c r="S228" s="38"/>
      <c r="T228" s="38"/>
    </row>
    <row r="229" spans="1:20" x14ac:dyDescent="0.25">
      <c r="A229" s="35">
        <f t="shared" si="3"/>
        <v>228</v>
      </c>
      <c r="B229" s="36"/>
      <c r="C229" s="36" t="s">
        <v>1198</v>
      </c>
      <c r="D229" s="36"/>
      <c r="E229" s="4"/>
      <c r="F229" s="36"/>
      <c r="G229" s="36" t="s">
        <v>1032</v>
      </c>
      <c r="H229" s="36"/>
      <c r="I229" s="36"/>
      <c r="J229" s="36" t="s">
        <v>521</v>
      </c>
      <c r="K229" s="36"/>
      <c r="L229" s="36"/>
      <c r="M229" s="36"/>
      <c r="N229" s="36"/>
      <c r="O229" s="37" t="s">
        <v>1197</v>
      </c>
      <c r="P229" s="36" t="s">
        <v>1197</v>
      </c>
      <c r="Q229" s="36"/>
      <c r="R229" s="38"/>
      <c r="S229" s="38"/>
      <c r="T229" s="38"/>
    </row>
    <row r="230" spans="1:20" x14ac:dyDescent="0.25">
      <c r="A230" s="35">
        <f t="shared" si="3"/>
        <v>229</v>
      </c>
      <c r="B230" s="36"/>
      <c r="C230" s="36" t="s">
        <v>1199</v>
      </c>
      <c r="D230" s="36"/>
      <c r="E230" s="4"/>
      <c r="F230" s="36"/>
      <c r="G230" s="36" t="s">
        <v>965</v>
      </c>
      <c r="H230" s="36"/>
      <c r="I230" s="36"/>
      <c r="J230" s="36" t="s">
        <v>512</v>
      </c>
      <c r="K230" s="36"/>
      <c r="L230" s="36"/>
      <c r="M230" s="36"/>
      <c r="N230" s="36"/>
      <c r="O230" s="37" t="s">
        <v>1197</v>
      </c>
      <c r="P230" s="36" t="s">
        <v>1197</v>
      </c>
      <c r="Q230" s="36"/>
      <c r="R230" s="38"/>
      <c r="S230" s="38"/>
      <c r="T230" s="38"/>
    </row>
    <row r="231" spans="1:20" x14ac:dyDescent="0.25">
      <c r="A231" s="35">
        <f t="shared" si="3"/>
        <v>230</v>
      </c>
      <c r="B231" s="36"/>
      <c r="C231" s="36" t="s">
        <v>1200</v>
      </c>
      <c r="D231" s="36"/>
      <c r="E231" s="4"/>
      <c r="F231" s="36"/>
      <c r="G231" s="36"/>
      <c r="H231" s="36"/>
      <c r="I231" s="36"/>
      <c r="J231" s="36" t="s">
        <v>1026</v>
      </c>
      <c r="K231" s="36"/>
      <c r="L231" s="36"/>
      <c r="M231" s="36"/>
      <c r="N231" s="36"/>
      <c r="O231" s="37" t="s">
        <v>1026</v>
      </c>
      <c r="P231" s="36" t="s">
        <v>1026</v>
      </c>
      <c r="Q231" s="36"/>
      <c r="R231" s="38"/>
      <c r="S231" s="38"/>
      <c r="T231" s="38"/>
    </row>
    <row r="232" spans="1:20" x14ac:dyDescent="0.25">
      <c r="A232" s="35">
        <f t="shared" si="3"/>
        <v>231</v>
      </c>
      <c r="B232" s="36"/>
      <c r="C232" s="36" t="s">
        <v>1201</v>
      </c>
      <c r="D232" s="36"/>
      <c r="E232" s="4"/>
      <c r="F232" s="36">
        <v>0</v>
      </c>
      <c r="G232" s="36" t="s">
        <v>632</v>
      </c>
      <c r="H232" s="36"/>
      <c r="I232" s="36"/>
      <c r="J232" s="36" t="s">
        <v>1202</v>
      </c>
      <c r="K232" s="36"/>
      <c r="L232" s="36"/>
      <c r="M232" s="36"/>
      <c r="N232" s="36"/>
      <c r="O232" s="37" t="s">
        <v>24</v>
      </c>
      <c r="P232" s="36" t="s">
        <v>95</v>
      </c>
      <c r="Q232" s="36"/>
      <c r="R232" s="38"/>
      <c r="S232" s="38"/>
      <c r="T232" s="38"/>
    </row>
    <row r="233" spans="1:20" x14ac:dyDescent="0.25">
      <c r="A233" s="35">
        <f t="shared" si="3"/>
        <v>232</v>
      </c>
      <c r="B233" s="36"/>
      <c r="C233" s="36" t="s">
        <v>1203</v>
      </c>
      <c r="D233" s="36"/>
      <c r="E233" s="4"/>
      <c r="F233" s="36">
        <v>0</v>
      </c>
      <c r="G233" s="36" t="s">
        <v>965</v>
      </c>
      <c r="H233" s="36"/>
      <c r="I233" s="36"/>
      <c r="J233" s="36" t="s">
        <v>521</v>
      </c>
      <c r="K233" s="36"/>
      <c r="L233" s="36"/>
      <c r="M233" s="36"/>
      <c r="N233" s="36"/>
      <c r="O233" s="37" t="s">
        <v>29</v>
      </c>
      <c r="P233" s="36" t="s">
        <v>96</v>
      </c>
      <c r="Q233" s="36"/>
      <c r="R233" s="38"/>
      <c r="S233" s="38"/>
      <c r="T233" s="38"/>
    </row>
    <row r="234" spans="1:20" x14ac:dyDescent="0.25">
      <c r="A234" s="35">
        <f t="shared" si="3"/>
        <v>233</v>
      </c>
      <c r="B234" s="36"/>
      <c r="C234" s="36" t="s">
        <v>1204</v>
      </c>
      <c r="D234" s="36"/>
      <c r="E234" s="4"/>
      <c r="F234" s="36">
        <v>0</v>
      </c>
      <c r="G234" s="36" t="s">
        <v>965</v>
      </c>
      <c r="H234" s="36"/>
      <c r="I234" s="36"/>
      <c r="J234" s="36" t="s">
        <v>521</v>
      </c>
      <c r="K234" s="36"/>
      <c r="L234" s="36"/>
      <c r="M234" s="36"/>
      <c r="N234" s="36"/>
      <c r="O234" s="37" t="s">
        <v>29</v>
      </c>
      <c r="P234" s="36" t="s">
        <v>96</v>
      </c>
      <c r="Q234" s="36"/>
      <c r="R234" s="38"/>
      <c r="S234" s="38"/>
      <c r="T234" s="38"/>
    </row>
    <row r="235" spans="1:20" x14ac:dyDescent="0.25">
      <c r="A235" s="35">
        <f t="shared" si="3"/>
        <v>234</v>
      </c>
      <c r="B235" s="36"/>
      <c r="C235" s="36" t="s">
        <v>1205</v>
      </c>
      <c r="D235" s="36"/>
      <c r="E235" s="4"/>
      <c r="F235" s="36">
        <v>0</v>
      </c>
      <c r="G235" s="36" t="s">
        <v>965</v>
      </c>
      <c r="H235" s="36"/>
      <c r="I235" s="36"/>
      <c r="J235" s="36" t="s">
        <v>521</v>
      </c>
      <c r="K235" s="36"/>
      <c r="L235" s="36"/>
      <c r="M235" s="36"/>
      <c r="N235" s="36"/>
      <c r="O235" s="37" t="s">
        <v>29</v>
      </c>
      <c r="P235" s="36" t="s">
        <v>96</v>
      </c>
      <c r="Q235" s="36"/>
      <c r="R235" s="38"/>
      <c r="S235" s="38"/>
      <c r="T235" s="38"/>
    </row>
    <row r="236" spans="1:20" x14ac:dyDescent="0.25">
      <c r="A236" s="35">
        <f t="shared" si="3"/>
        <v>235</v>
      </c>
      <c r="B236" s="36"/>
      <c r="C236" s="36" t="s">
        <v>1206</v>
      </c>
      <c r="D236" s="36"/>
      <c r="E236" s="4"/>
      <c r="F236" s="36">
        <v>0</v>
      </c>
      <c r="G236" s="36" t="s">
        <v>965</v>
      </c>
      <c r="H236" s="36"/>
      <c r="I236" s="36"/>
      <c r="J236" s="36" t="s">
        <v>521</v>
      </c>
      <c r="K236" s="36"/>
      <c r="L236" s="36"/>
      <c r="M236" s="36"/>
      <c r="N236" s="36"/>
      <c r="O236" s="37" t="s">
        <v>24</v>
      </c>
      <c r="P236" s="36" t="s">
        <v>93</v>
      </c>
      <c r="Q236" s="36"/>
      <c r="R236" s="38"/>
      <c r="S236" s="38"/>
      <c r="T236" s="38"/>
    </row>
    <row r="237" spans="1:20" x14ac:dyDescent="0.25">
      <c r="A237" s="35">
        <f t="shared" si="3"/>
        <v>236</v>
      </c>
      <c r="B237" s="36"/>
      <c r="C237" s="36" t="s">
        <v>1207</v>
      </c>
      <c r="D237" s="36"/>
      <c r="E237" s="4"/>
      <c r="F237" s="36" t="s">
        <v>1208</v>
      </c>
      <c r="G237" s="36" t="s">
        <v>965</v>
      </c>
      <c r="H237" s="36"/>
      <c r="I237" s="36"/>
      <c r="J237" s="36" t="s">
        <v>521</v>
      </c>
      <c r="K237" s="36"/>
      <c r="L237" s="36"/>
      <c r="M237" s="36"/>
      <c r="N237" s="36"/>
      <c r="O237" s="37" t="s">
        <v>24</v>
      </c>
      <c r="P237" s="36" t="s">
        <v>1209</v>
      </c>
      <c r="Q237" s="36"/>
      <c r="R237" s="38"/>
      <c r="S237" s="38"/>
      <c r="T237" s="38"/>
    </row>
    <row r="238" spans="1:20" x14ac:dyDescent="0.25">
      <c r="A238" s="35">
        <f t="shared" si="3"/>
        <v>237</v>
      </c>
      <c r="B238" s="36"/>
      <c r="C238" s="36" t="s">
        <v>1210</v>
      </c>
      <c r="D238" s="36"/>
      <c r="E238" s="4"/>
      <c r="F238" s="36">
        <v>0</v>
      </c>
      <c r="G238" s="36" t="s">
        <v>965</v>
      </c>
      <c r="H238" s="36"/>
      <c r="I238" s="36"/>
      <c r="J238" s="36" t="s">
        <v>521</v>
      </c>
      <c r="K238" s="36"/>
      <c r="L238" s="36"/>
      <c r="M238" s="36"/>
      <c r="N238" s="36"/>
      <c r="O238" s="37" t="s">
        <v>29</v>
      </c>
      <c r="P238" s="36" t="s">
        <v>96</v>
      </c>
      <c r="Q238" s="36"/>
      <c r="R238" s="38"/>
      <c r="S238" s="38"/>
      <c r="T238" s="38"/>
    </row>
    <row r="239" spans="1:20" x14ac:dyDescent="0.25">
      <c r="A239" s="35">
        <f t="shared" si="3"/>
        <v>238</v>
      </c>
      <c r="B239" s="36"/>
      <c r="C239" s="36" t="s">
        <v>1211</v>
      </c>
      <c r="D239" s="36"/>
      <c r="E239" s="4"/>
      <c r="F239" s="36">
        <v>0</v>
      </c>
      <c r="G239" s="36" t="s">
        <v>965</v>
      </c>
      <c r="H239" s="36"/>
      <c r="I239" s="36"/>
      <c r="J239" s="36" t="s">
        <v>521</v>
      </c>
      <c r="K239" s="36"/>
      <c r="L239" s="36"/>
      <c r="M239" s="36"/>
      <c r="N239" s="36"/>
      <c r="O239" s="37" t="s">
        <v>29</v>
      </c>
      <c r="P239" s="36" t="s">
        <v>96</v>
      </c>
      <c r="Q239" s="36"/>
      <c r="R239" s="38"/>
      <c r="S239" s="38"/>
      <c r="T239" s="38"/>
    </row>
    <row r="240" spans="1:20" x14ac:dyDescent="0.25">
      <c r="A240" s="35">
        <f t="shared" si="3"/>
        <v>239</v>
      </c>
      <c r="B240" s="36"/>
      <c r="C240" s="36" t="s">
        <v>1212</v>
      </c>
      <c r="D240" s="36"/>
      <c r="E240" s="4"/>
      <c r="F240" s="36">
        <v>0</v>
      </c>
      <c r="G240" s="36" t="s">
        <v>1213</v>
      </c>
      <c r="H240" s="36"/>
      <c r="I240" s="36"/>
      <c r="J240" s="36" t="s">
        <v>521</v>
      </c>
      <c r="K240" s="36"/>
      <c r="L240" s="36"/>
      <c r="M240" s="36"/>
      <c r="N240" s="36"/>
      <c r="O240" s="37" t="s">
        <v>24</v>
      </c>
      <c r="P240" s="36" t="s">
        <v>95</v>
      </c>
      <c r="Q240" s="36"/>
      <c r="R240" s="38"/>
      <c r="S240" s="38"/>
      <c r="T240" s="38"/>
    </row>
    <row r="241" spans="1:20" x14ac:dyDescent="0.25">
      <c r="A241" s="35">
        <f t="shared" si="3"/>
        <v>240</v>
      </c>
      <c r="B241" s="36"/>
      <c r="C241" s="36" t="s">
        <v>1214</v>
      </c>
      <c r="D241" s="36"/>
      <c r="E241" s="4"/>
      <c r="F241" s="36">
        <v>0</v>
      </c>
      <c r="G241" s="36" t="s">
        <v>965</v>
      </c>
      <c r="H241" s="36"/>
      <c r="I241" s="36"/>
      <c r="J241" s="36" t="s">
        <v>521</v>
      </c>
      <c r="K241" s="36"/>
      <c r="L241" s="36"/>
      <c r="M241" s="36"/>
      <c r="N241" s="36"/>
      <c r="O241" s="37" t="s">
        <v>24</v>
      </c>
      <c r="P241" s="36" t="s">
        <v>93</v>
      </c>
      <c r="Q241" s="36"/>
      <c r="R241" s="38"/>
      <c r="S241" s="38"/>
      <c r="T241" s="38"/>
    </row>
    <row r="242" spans="1:20" x14ac:dyDescent="0.25">
      <c r="A242" s="35">
        <f t="shared" si="3"/>
        <v>241</v>
      </c>
      <c r="B242" s="36"/>
      <c r="C242" s="36" t="s">
        <v>1215</v>
      </c>
      <c r="D242" s="36"/>
      <c r="E242" s="4"/>
      <c r="F242" s="36" t="s">
        <v>1208</v>
      </c>
      <c r="G242" s="36" t="s">
        <v>965</v>
      </c>
      <c r="H242" s="36"/>
      <c r="I242" s="36"/>
      <c r="J242" s="36" t="s">
        <v>521</v>
      </c>
      <c r="K242" s="36"/>
      <c r="L242" s="36"/>
      <c r="M242" s="36"/>
      <c r="N242" s="36"/>
      <c r="O242" s="37" t="s">
        <v>24</v>
      </c>
      <c r="P242" s="36" t="s">
        <v>93</v>
      </c>
      <c r="Q242" s="36"/>
      <c r="R242" s="38"/>
      <c r="S242" s="38"/>
      <c r="T242" s="38"/>
    </row>
    <row r="243" spans="1:20" x14ac:dyDescent="0.25">
      <c r="A243" s="35">
        <f t="shared" si="3"/>
        <v>242</v>
      </c>
      <c r="B243" s="36"/>
      <c r="C243" s="36" t="s">
        <v>1216</v>
      </c>
      <c r="D243" s="36"/>
      <c r="E243" s="4"/>
      <c r="F243" s="36" t="s">
        <v>1208</v>
      </c>
      <c r="G243" s="36" t="s">
        <v>965</v>
      </c>
      <c r="H243" s="36"/>
      <c r="I243" s="36"/>
      <c r="J243" s="36" t="s">
        <v>521</v>
      </c>
      <c r="K243" s="36"/>
      <c r="L243" s="36"/>
      <c r="M243" s="36"/>
      <c r="N243" s="36"/>
      <c r="O243" s="37" t="s">
        <v>24</v>
      </c>
      <c r="P243" s="36" t="s">
        <v>93</v>
      </c>
      <c r="Q243" s="36"/>
      <c r="R243" s="38"/>
      <c r="S243" s="38"/>
      <c r="T243" s="38"/>
    </row>
    <row r="244" spans="1:20" x14ac:dyDescent="0.25">
      <c r="A244" s="35">
        <f t="shared" si="3"/>
        <v>243</v>
      </c>
      <c r="B244" s="36"/>
      <c r="C244" s="36" t="s">
        <v>1217</v>
      </c>
      <c r="D244" s="36"/>
      <c r="E244" s="4"/>
      <c r="F244" s="36" t="s">
        <v>1208</v>
      </c>
      <c r="G244" s="36" t="s">
        <v>965</v>
      </c>
      <c r="H244" s="36"/>
      <c r="I244" s="36"/>
      <c r="J244" s="36" t="s">
        <v>521</v>
      </c>
      <c r="K244" s="36"/>
      <c r="L244" s="36"/>
      <c r="M244" s="36"/>
      <c r="N244" s="36"/>
      <c r="O244" s="37" t="s">
        <v>24</v>
      </c>
      <c r="P244" s="36" t="s">
        <v>93</v>
      </c>
      <c r="Q244" s="36"/>
      <c r="R244" s="38"/>
      <c r="S244" s="38"/>
      <c r="T244" s="38"/>
    </row>
    <row r="245" spans="1:20" x14ac:dyDescent="0.25">
      <c r="A245" s="35">
        <f t="shared" si="3"/>
        <v>244</v>
      </c>
      <c r="B245" s="36"/>
      <c r="C245" s="36" t="s">
        <v>1218</v>
      </c>
      <c r="D245" s="36"/>
      <c r="E245" s="4"/>
      <c r="F245" s="36" t="s">
        <v>1208</v>
      </c>
      <c r="G245" s="36" t="s">
        <v>965</v>
      </c>
      <c r="H245" s="36"/>
      <c r="I245" s="36"/>
      <c r="J245" s="36" t="s">
        <v>521</v>
      </c>
      <c r="K245" s="36"/>
      <c r="L245" s="36"/>
      <c r="M245" s="36"/>
      <c r="N245" s="36"/>
      <c r="O245" s="37" t="s">
        <v>24</v>
      </c>
      <c r="P245" s="36" t="s">
        <v>93</v>
      </c>
      <c r="Q245" s="36"/>
      <c r="R245" s="38"/>
      <c r="S245" s="38"/>
      <c r="T245" s="38"/>
    </row>
    <row r="246" spans="1:20" x14ac:dyDescent="0.25">
      <c r="A246" s="35">
        <f t="shared" si="3"/>
        <v>245</v>
      </c>
      <c r="B246" s="36"/>
      <c r="C246" s="36" t="s">
        <v>1219</v>
      </c>
      <c r="D246" s="36"/>
      <c r="E246" s="4"/>
      <c r="F246" s="36" t="s">
        <v>1208</v>
      </c>
      <c r="G246" s="36" t="s">
        <v>965</v>
      </c>
      <c r="H246" s="36"/>
      <c r="I246" s="36"/>
      <c r="J246" s="36" t="s">
        <v>521</v>
      </c>
      <c r="K246" s="36"/>
      <c r="L246" s="36"/>
      <c r="M246" s="36"/>
      <c r="N246" s="36"/>
      <c r="O246" s="37" t="s">
        <v>24</v>
      </c>
      <c r="P246" s="36" t="s">
        <v>93</v>
      </c>
      <c r="Q246" s="36"/>
      <c r="R246" s="38"/>
      <c r="S246" s="38"/>
      <c r="T246" s="38"/>
    </row>
    <row r="247" spans="1:20" x14ac:dyDescent="0.25">
      <c r="A247" s="35">
        <f t="shared" si="3"/>
        <v>246</v>
      </c>
      <c r="B247" s="36"/>
      <c r="C247" s="36" t="s">
        <v>1220</v>
      </c>
      <c r="D247" s="36"/>
      <c r="E247" s="4"/>
      <c r="F247" s="36" t="s">
        <v>1208</v>
      </c>
      <c r="G247" s="36" t="s">
        <v>965</v>
      </c>
      <c r="H247" s="36"/>
      <c r="I247" s="36"/>
      <c r="J247" s="36" t="s">
        <v>521</v>
      </c>
      <c r="K247" s="36"/>
      <c r="L247" s="36"/>
      <c r="M247" s="36"/>
      <c r="N247" s="36"/>
      <c r="O247" s="37" t="s">
        <v>24</v>
      </c>
      <c r="P247" s="36" t="s">
        <v>93</v>
      </c>
      <c r="Q247" s="36"/>
      <c r="R247" s="38"/>
      <c r="S247" s="38"/>
      <c r="T247" s="38"/>
    </row>
    <row r="248" spans="1:20" x14ac:dyDescent="0.25">
      <c r="A248" s="35">
        <f t="shared" si="3"/>
        <v>247</v>
      </c>
      <c r="B248" s="36"/>
      <c r="C248" s="36" t="s">
        <v>1221</v>
      </c>
      <c r="D248" s="36"/>
      <c r="E248" s="4"/>
      <c r="F248" s="36" t="s">
        <v>1208</v>
      </c>
      <c r="G248" s="36" t="s">
        <v>965</v>
      </c>
      <c r="H248" s="36"/>
      <c r="I248" s="36"/>
      <c r="J248" s="36" t="s">
        <v>521</v>
      </c>
      <c r="K248" s="36"/>
      <c r="L248" s="36"/>
      <c r="M248" s="36"/>
      <c r="N248" s="36"/>
      <c r="O248" s="37" t="s">
        <v>29</v>
      </c>
      <c r="P248" s="36" t="s">
        <v>96</v>
      </c>
      <c r="Q248" s="36"/>
      <c r="R248" s="38"/>
      <c r="S248" s="38"/>
      <c r="T248" s="38"/>
    </row>
    <row r="249" spans="1:20" x14ac:dyDescent="0.25">
      <c r="A249" s="35">
        <f t="shared" si="3"/>
        <v>248</v>
      </c>
      <c r="B249" s="36"/>
      <c r="C249" s="36" t="s">
        <v>1222</v>
      </c>
      <c r="D249" s="36"/>
      <c r="E249" s="4"/>
      <c r="F249" s="36" t="s">
        <v>1208</v>
      </c>
      <c r="G249" s="36" t="s">
        <v>965</v>
      </c>
      <c r="H249" s="36"/>
      <c r="I249" s="36"/>
      <c r="J249" s="36" t="s">
        <v>521</v>
      </c>
      <c r="K249" s="36"/>
      <c r="L249" s="36"/>
      <c r="M249" s="36"/>
      <c r="N249" s="36"/>
      <c r="O249" s="37" t="s">
        <v>29</v>
      </c>
      <c r="P249" s="36" t="s">
        <v>96</v>
      </c>
      <c r="Q249" s="36"/>
      <c r="R249" s="38"/>
      <c r="S249" s="38"/>
      <c r="T249" s="38"/>
    </row>
    <row r="250" spans="1:20" x14ac:dyDescent="0.25">
      <c r="A250" s="35">
        <f t="shared" si="3"/>
        <v>249</v>
      </c>
      <c r="B250" s="36"/>
      <c r="C250" s="36" t="s">
        <v>1223</v>
      </c>
      <c r="D250" s="36"/>
      <c r="E250" s="4"/>
      <c r="F250" s="36" t="s">
        <v>1208</v>
      </c>
      <c r="G250" s="36" t="s">
        <v>965</v>
      </c>
      <c r="H250" s="36"/>
      <c r="I250" s="36"/>
      <c r="J250" s="36" t="s">
        <v>521</v>
      </c>
      <c r="K250" s="36"/>
      <c r="L250" s="36"/>
      <c r="M250" s="36"/>
      <c r="N250" s="36"/>
      <c r="O250" s="37" t="s">
        <v>29</v>
      </c>
      <c r="P250" s="36" t="s">
        <v>96</v>
      </c>
      <c r="Q250" s="36"/>
      <c r="R250" s="38"/>
      <c r="S250" s="38"/>
      <c r="T250" s="38"/>
    </row>
    <row r="251" spans="1:20" x14ac:dyDescent="0.25">
      <c r="A251" s="35">
        <f t="shared" si="3"/>
        <v>250</v>
      </c>
      <c r="B251" s="36"/>
      <c r="C251" s="36" t="s">
        <v>1224</v>
      </c>
      <c r="D251" s="36"/>
      <c r="E251" s="4"/>
      <c r="F251" s="36" t="s">
        <v>1208</v>
      </c>
      <c r="G251" s="36" t="s">
        <v>965</v>
      </c>
      <c r="H251" s="36"/>
      <c r="I251" s="36"/>
      <c r="J251" s="36" t="s">
        <v>521</v>
      </c>
      <c r="K251" s="36"/>
      <c r="L251" s="36"/>
      <c r="M251" s="36"/>
      <c r="N251" s="36"/>
      <c r="O251" s="37" t="s">
        <v>29</v>
      </c>
      <c r="P251" s="36" t="s">
        <v>96</v>
      </c>
      <c r="Q251" s="36"/>
      <c r="R251" s="38"/>
      <c r="S251" s="38"/>
      <c r="T251" s="38"/>
    </row>
    <row r="252" spans="1:20" x14ac:dyDescent="0.25">
      <c r="A252" s="35">
        <f t="shared" si="3"/>
        <v>251</v>
      </c>
      <c r="B252" s="36"/>
      <c r="C252" s="36" t="s">
        <v>1225</v>
      </c>
      <c r="D252" s="36"/>
      <c r="E252" s="4"/>
      <c r="F252" s="36"/>
      <c r="G252" s="36"/>
      <c r="H252" s="36"/>
      <c r="I252" s="36"/>
      <c r="J252" s="36"/>
      <c r="K252" s="36"/>
      <c r="L252" s="36"/>
      <c r="M252" s="36"/>
      <c r="N252" s="36"/>
      <c r="O252" s="37" t="s">
        <v>1026</v>
      </c>
      <c r="P252" s="36" t="s">
        <v>1026</v>
      </c>
      <c r="Q252" s="36"/>
      <c r="R252" s="38"/>
      <c r="S252" s="38"/>
      <c r="T252" s="38"/>
    </row>
    <row r="253" spans="1:20" x14ac:dyDescent="0.25">
      <c r="A253" s="35">
        <f t="shared" si="3"/>
        <v>252</v>
      </c>
      <c r="B253" s="36"/>
      <c r="C253" s="36" t="s">
        <v>1226</v>
      </c>
      <c r="D253" s="36" t="s">
        <v>1226</v>
      </c>
      <c r="E253" s="4"/>
      <c r="F253" s="36" t="s">
        <v>574</v>
      </c>
      <c r="G253" s="36" t="s">
        <v>965</v>
      </c>
      <c r="H253" s="36" t="s">
        <v>598</v>
      </c>
      <c r="I253" s="36" t="s">
        <v>607</v>
      </c>
      <c r="J253" s="36" t="s">
        <v>521</v>
      </c>
      <c r="K253" s="36" t="s">
        <v>529</v>
      </c>
      <c r="L253" s="36" t="s">
        <v>102</v>
      </c>
      <c r="M253" s="36" t="s">
        <v>199</v>
      </c>
      <c r="N253" s="36" t="s">
        <v>218</v>
      </c>
      <c r="O253" s="37" t="s">
        <v>24</v>
      </c>
      <c r="P253" s="36" t="s">
        <v>93</v>
      </c>
      <c r="Q253" s="36"/>
      <c r="R253" s="38" t="s">
        <v>1227</v>
      </c>
      <c r="S253" s="38"/>
      <c r="T253" s="38"/>
    </row>
    <row r="254" spans="1:20" x14ac:dyDescent="0.25">
      <c r="A254" s="35">
        <f t="shared" si="3"/>
        <v>253</v>
      </c>
      <c r="B254" s="36"/>
      <c r="C254" s="36" t="s">
        <v>1228</v>
      </c>
      <c r="D254" s="36"/>
      <c r="E254" s="4"/>
      <c r="F254" s="36"/>
      <c r="G254" s="36"/>
      <c r="H254" s="36"/>
      <c r="I254" s="36"/>
      <c r="J254" s="36" t="s">
        <v>1026</v>
      </c>
      <c r="K254" s="36"/>
      <c r="L254" s="36"/>
      <c r="M254" s="36"/>
      <c r="N254" s="36"/>
      <c r="O254" s="37" t="s">
        <v>1026</v>
      </c>
      <c r="P254" s="36" t="s">
        <v>1026</v>
      </c>
      <c r="Q254" s="36"/>
      <c r="R254" s="38"/>
      <c r="S254" s="38"/>
      <c r="T254" s="38"/>
    </row>
    <row r="255" spans="1:20" x14ac:dyDescent="0.25">
      <c r="A255" s="35">
        <f t="shared" si="3"/>
        <v>254</v>
      </c>
      <c r="B255" s="36"/>
      <c r="C255" s="36" t="s">
        <v>1229</v>
      </c>
      <c r="D255" s="36"/>
      <c r="E255" s="4"/>
      <c r="F255" s="36"/>
      <c r="G255" s="36"/>
      <c r="H255" s="36"/>
      <c r="I255" s="36"/>
      <c r="J255" s="36" t="s">
        <v>1026</v>
      </c>
      <c r="K255" s="36"/>
      <c r="L255" s="36"/>
      <c r="M255" s="36"/>
      <c r="N255" s="36"/>
      <c r="O255" s="37" t="s">
        <v>1026</v>
      </c>
      <c r="P255" s="36" t="s">
        <v>1026</v>
      </c>
      <c r="Q255" s="36"/>
      <c r="R255" s="38"/>
      <c r="S255" s="38"/>
      <c r="T255" s="38"/>
    </row>
    <row r="256" spans="1:20" x14ac:dyDescent="0.25">
      <c r="A256" s="35">
        <f t="shared" si="3"/>
        <v>255</v>
      </c>
      <c r="B256" s="36"/>
      <c r="C256" s="36" t="s">
        <v>1230</v>
      </c>
      <c r="D256" s="36"/>
      <c r="E256" s="4"/>
      <c r="F256" s="36"/>
      <c r="G256" s="36"/>
      <c r="H256" s="36"/>
      <c r="I256" s="36"/>
      <c r="J256" s="36" t="s">
        <v>1026</v>
      </c>
      <c r="K256" s="36"/>
      <c r="L256" s="36"/>
      <c r="M256" s="36"/>
      <c r="N256" s="36"/>
      <c r="O256" s="37" t="s">
        <v>1026</v>
      </c>
      <c r="P256" s="36" t="s">
        <v>1026</v>
      </c>
      <c r="Q256" s="36"/>
      <c r="R256" s="38"/>
      <c r="S256" s="38"/>
      <c r="T256" s="38"/>
    </row>
    <row r="257" spans="1:20" x14ac:dyDescent="0.25">
      <c r="A257" s="35">
        <f t="shared" si="3"/>
        <v>256</v>
      </c>
      <c r="B257" s="36"/>
      <c r="C257" s="36" t="s">
        <v>1231</v>
      </c>
      <c r="D257" s="36"/>
      <c r="E257" s="4"/>
      <c r="F257" s="36"/>
      <c r="G257" s="36"/>
      <c r="H257" s="36"/>
      <c r="I257" s="36"/>
      <c r="J257" s="36" t="s">
        <v>1026</v>
      </c>
      <c r="K257" s="36"/>
      <c r="L257" s="36"/>
      <c r="M257" s="36"/>
      <c r="N257" s="36"/>
      <c r="O257" s="37" t="s">
        <v>1026</v>
      </c>
      <c r="P257" s="36" t="s">
        <v>1026</v>
      </c>
      <c r="Q257" s="36"/>
      <c r="R257" s="38"/>
      <c r="S257" s="38"/>
      <c r="T257" s="38"/>
    </row>
    <row r="258" spans="1:20" x14ac:dyDescent="0.25">
      <c r="A258" s="35">
        <f t="shared" si="3"/>
        <v>257</v>
      </c>
      <c r="B258" s="39"/>
      <c r="C258" s="1" t="s">
        <v>1232</v>
      </c>
      <c r="D258" s="39"/>
      <c r="E258" s="39"/>
      <c r="F258" s="39">
        <v>400</v>
      </c>
      <c r="G258" s="1" t="s">
        <v>965</v>
      </c>
      <c r="H258" s="39"/>
      <c r="I258" s="39"/>
      <c r="J258" s="39" t="s">
        <v>521</v>
      </c>
      <c r="K258" s="39"/>
      <c r="L258" s="39" t="s">
        <v>107</v>
      </c>
      <c r="M258" s="39" t="s">
        <v>118</v>
      </c>
      <c r="N258" s="39" t="s">
        <v>138</v>
      </c>
      <c r="O258" s="39" t="s">
        <v>29</v>
      </c>
      <c r="P258" s="36" t="s">
        <v>96</v>
      </c>
      <c r="Q258" s="39"/>
      <c r="R258" s="39"/>
      <c r="S258" s="39"/>
      <c r="T258" s="39"/>
    </row>
    <row r="259" spans="1:20" x14ac:dyDescent="0.25">
      <c r="A259" s="35">
        <f t="shared" si="3"/>
        <v>258</v>
      </c>
      <c r="C259" s="13" t="s">
        <v>1233</v>
      </c>
      <c r="F259" s="36">
        <v>580</v>
      </c>
      <c r="G259" t="s">
        <v>965</v>
      </c>
      <c r="J259" s="39" t="s">
        <v>512</v>
      </c>
      <c r="O259" s="40" t="s">
        <v>24</v>
      </c>
      <c r="P259" s="41" t="s">
        <v>93</v>
      </c>
    </row>
    <row r="260" spans="1:20" x14ac:dyDescent="0.25">
      <c r="A260" s="35">
        <f>+A259+1</f>
        <v>259</v>
      </c>
      <c r="C260" s="13" t="s">
        <v>1234</v>
      </c>
      <c r="F260" s="36" t="s">
        <v>574</v>
      </c>
      <c r="G260" t="s">
        <v>965</v>
      </c>
      <c r="J260" s="39" t="s">
        <v>521</v>
      </c>
      <c r="O260" s="40" t="s">
        <v>24</v>
      </c>
      <c r="P260" s="41" t="s">
        <v>93</v>
      </c>
    </row>
    <row r="261" spans="1:20" x14ac:dyDescent="0.25">
      <c r="A261" s="35">
        <f>+A260+1</f>
        <v>260</v>
      </c>
      <c r="C261" s="30" t="s">
        <v>1235</v>
      </c>
      <c r="F261" s="36" t="s">
        <v>574</v>
      </c>
      <c r="G261" t="s">
        <v>965</v>
      </c>
      <c r="J261" s="39" t="s">
        <v>521</v>
      </c>
      <c r="O261" s="40" t="s">
        <v>24</v>
      </c>
      <c r="P261" s="41" t="s">
        <v>93</v>
      </c>
    </row>
    <row r="262" spans="1:20" x14ac:dyDescent="0.25">
      <c r="A262" s="35">
        <f>+A261+1</f>
        <v>261</v>
      </c>
      <c r="C262" t="s">
        <v>1236</v>
      </c>
      <c r="F262" s="36" t="s">
        <v>574</v>
      </c>
      <c r="G262" t="s">
        <v>965</v>
      </c>
      <c r="J262" s="39" t="s">
        <v>521</v>
      </c>
      <c r="O262" s="40" t="s">
        <v>29</v>
      </c>
      <c r="P262" s="41" t="s">
        <v>96</v>
      </c>
    </row>
    <row r="263" spans="1:20" x14ac:dyDescent="0.25">
      <c r="A263" s="35">
        <v>262</v>
      </c>
      <c r="C263" t="s">
        <v>477</v>
      </c>
      <c r="F263" s="36">
        <v>620</v>
      </c>
      <c r="G263" t="s">
        <v>965</v>
      </c>
      <c r="J263" s="39" t="s">
        <v>521</v>
      </c>
      <c r="O263" s="40" t="s">
        <v>24</v>
      </c>
      <c r="P263" s="41" t="s">
        <v>93</v>
      </c>
    </row>
    <row r="264" spans="1:20" x14ac:dyDescent="0.25">
      <c r="A264" s="35">
        <v>263</v>
      </c>
      <c r="C264" t="s">
        <v>1237</v>
      </c>
      <c r="F264" s="36" t="s">
        <v>574</v>
      </c>
      <c r="G264" t="s">
        <v>965</v>
      </c>
      <c r="J264" s="39" t="s">
        <v>521</v>
      </c>
      <c r="O264" s="40" t="s">
        <v>24</v>
      </c>
      <c r="P264" s="41" t="s">
        <v>93</v>
      </c>
    </row>
  </sheetData>
  <hyperlinks>
    <hyperlink ref="Q54" r:id="rId1" xr:uid="{00000000-0004-0000-0B00-000000000000}"/>
    <hyperlink ref="Q75" r:id="rId2" xr:uid="{00000000-0004-0000-0B00-000001000000}"/>
    <hyperlink ref="Q78" r:id="rId3" xr:uid="{00000000-0004-0000-0B00-000002000000}"/>
    <hyperlink ref="Q79" r:id="rId4" xr:uid="{00000000-0004-0000-0B00-000003000000}"/>
    <hyperlink ref="Q129" r:id="rId5" xr:uid="{00000000-0004-0000-0B00-000004000000}"/>
  </hyperlinks>
  <pageMargins left="0.7" right="0.7" top="0.75" bottom="0.75" header="0.3" footer="0.3"/>
  <legacy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BH2845"/>
  <sheetViews>
    <sheetView workbookViewId="0"/>
  </sheetViews>
  <sheetFormatPr defaultRowHeight="15" x14ac:dyDescent="0.25"/>
  <cols>
    <col min="1" max="1" width="18.28515625" customWidth="1"/>
    <col min="2" max="2" width="17.42578125" customWidth="1"/>
    <col min="3" max="3" width="17.140625" customWidth="1"/>
    <col min="4" max="4" width="16.140625" customWidth="1"/>
    <col min="5" max="5" width="27" customWidth="1"/>
    <col min="6" max="6" width="26.28515625" customWidth="1"/>
    <col min="7" max="7" width="14.140625" customWidth="1"/>
    <col min="8" max="8" width="37.140625" customWidth="1"/>
    <col min="9" max="9" width="30.140625" customWidth="1"/>
    <col min="10" max="10" width="16.85546875" customWidth="1"/>
    <col min="11" max="11" width="9.7109375" customWidth="1"/>
    <col min="12" max="12" width="42" bestFit="1" customWidth="1"/>
    <col min="13" max="13" width="40.5703125" bestFit="1" customWidth="1"/>
    <col min="14" max="14" width="18.42578125" customWidth="1"/>
    <col min="15" max="15" width="32.5703125" bestFit="1" customWidth="1"/>
    <col min="16" max="16" width="22.28515625" customWidth="1"/>
    <col min="17" max="17" width="10.7109375" customWidth="1"/>
    <col min="18" max="18" width="14.28515625" customWidth="1"/>
    <col min="19" max="19" width="10.140625" customWidth="1"/>
    <col min="20" max="20" width="13.85546875" style="8" customWidth="1"/>
    <col min="21" max="21" width="36.5703125" bestFit="1" customWidth="1"/>
    <col min="22" max="22" width="34" customWidth="1"/>
    <col min="23" max="23" width="8.28515625" customWidth="1"/>
    <col min="24" max="24" width="38.5703125" bestFit="1" customWidth="1"/>
    <col min="25" max="25" width="10.7109375" customWidth="1"/>
    <col min="26" max="26" width="27.5703125" customWidth="1"/>
    <col min="27" max="27" width="5" customWidth="1"/>
    <col min="28" max="28" width="16.5703125" customWidth="1"/>
    <col min="29" max="29" width="16.140625" customWidth="1"/>
    <col min="30" max="30" width="19.140625" customWidth="1"/>
    <col min="31" max="31" width="15.85546875" customWidth="1"/>
    <col min="32" max="32" width="17" customWidth="1"/>
    <col min="33" max="33" width="18.28515625" customWidth="1"/>
    <col min="34" max="34" width="30.5703125" customWidth="1"/>
    <col min="35" max="35" width="10.7109375" customWidth="1"/>
    <col min="36" max="36" width="27.42578125" customWidth="1"/>
    <col min="37" max="37" width="12.140625" customWidth="1"/>
    <col min="38" max="38" width="7.7109375" customWidth="1"/>
    <col min="39" max="39" width="10.7109375" bestFit="1" customWidth="1"/>
    <col min="40" max="40" width="9.140625" customWidth="1"/>
    <col min="41" max="41" width="8.7109375" style="8" customWidth="1"/>
    <col min="42" max="42" width="10.5703125" customWidth="1"/>
    <col min="43" max="43" width="12.140625" customWidth="1"/>
    <col min="44" max="44" width="14.5703125" customWidth="1"/>
    <col min="45" max="45" width="11.42578125" customWidth="1"/>
    <col min="46" max="46" width="15.140625" customWidth="1"/>
    <col min="47" max="47" width="9.7109375" style="13" customWidth="1"/>
    <col min="48" max="48" width="28.28515625" bestFit="1" customWidth="1"/>
    <col min="49" max="49" width="6.7109375" customWidth="1"/>
    <col min="50" max="50" width="5.7109375" customWidth="1"/>
    <col min="51" max="51" width="10.7109375" customWidth="1"/>
    <col min="52" max="52" width="5.85546875" customWidth="1"/>
    <col min="53" max="53" width="15.5703125" customWidth="1"/>
    <col min="54" max="54" width="20.7109375" customWidth="1"/>
    <col min="55" max="55" width="18" bestFit="1" customWidth="1"/>
    <col min="56" max="56" width="22.5703125" customWidth="1"/>
    <col min="57" max="57" width="16.140625" customWidth="1"/>
    <col min="58" max="58" width="6.5703125" customWidth="1"/>
    <col min="59" max="59" width="11.7109375" bestFit="1" customWidth="1"/>
    <col min="60" max="60" width="27.28515625" customWidth="1"/>
  </cols>
  <sheetData>
    <row r="1" spans="1:60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79</v>
      </c>
      <c r="F1" s="9" t="s">
        <v>80</v>
      </c>
      <c r="G1" s="9" t="s">
        <v>4</v>
      </c>
      <c r="H1" s="9" t="s">
        <v>81</v>
      </c>
      <c r="I1" s="9" t="s">
        <v>82</v>
      </c>
      <c r="J1" s="9" t="s">
        <v>5</v>
      </c>
      <c r="K1" s="9" t="s">
        <v>6</v>
      </c>
      <c r="L1" s="9" t="s">
        <v>7</v>
      </c>
      <c r="M1" s="9" t="s">
        <v>8</v>
      </c>
      <c r="N1" s="9" t="s">
        <v>92</v>
      </c>
      <c r="O1" s="9" t="s">
        <v>73</v>
      </c>
      <c r="P1" s="9" t="s">
        <v>9</v>
      </c>
      <c r="Q1" s="9" t="s">
        <v>10</v>
      </c>
      <c r="R1" s="9" t="s">
        <v>77</v>
      </c>
      <c r="S1" s="9" t="s">
        <v>89</v>
      </c>
      <c r="T1" s="9" t="s">
        <v>78</v>
      </c>
      <c r="U1" s="9" t="s">
        <v>12</v>
      </c>
      <c r="V1" s="9" t="s">
        <v>13</v>
      </c>
      <c r="W1" s="9" t="s">
        <v>14</v>
      </c>
      <c r="X1" s="9" t="s">
        <v>15</v>
      </c>
      <c r="Y1" s="9" t="s">
        <v>76</v>
      </c>
      <c r="Z1" s="9" t="s">
        <v>83</v>
      </c>
      <c r="AA1" s="9" t="s">
        <v>16</v>
      </c>
      <c r="AB1" s="9" t="s">
        <v>17</v>
      </c>
      <c r="AC1" s="9" t="s">
        <v>18</v>
      </c>
      <c r="AD1" s="9" t="s">
        <v>19</v>
      </c>
      <c r="AE1" s="9" t="s">
        <v>20</v>
      </c>
      <c r="AF1" s="9" t="s">
        <v>21</v>
      </c>
      <c r="AG1" s="9" t="s">
        <v>22</v>
      </c>
      <c r="AH1" s="9" t="s">
        <v>74</v>
      </c>
      <c r="AI1" s="9" t="s">
        <v>23</v>
      </c>
      <c r="AJ1" s="9" t="s">
        <v>84</v>
      </c>
      <c r="AK1" s="10" t="s">
        <v>91</v>
      </c>
      <c r="AL1" s="10" t="s">
        <v>31</v>
      </c>
      <c r="AM1" s="10" t="s">
        <v>46</v>
      </c>
      <c r="AN1" s="10" t="s">
        <v>33</v>
      </c>
      <c r="AO1" s="10" t="s">
        <v>11</v>
      </c>
      <c r="AP1" s="10" t="s">
        <v>63</v>
      </c>
      <c r="AQ1" s="10" t="s">
        <v>35</v>
      </c>
      <c r="AR1" s="10" t="s">
        <v>38</v>
      </c>
      <c r="AS1" s="10" t="s">
        <v>39</v>
      </c>
      <c r="AT1" s="10" t="s">
        <v>40</v>
      </c>
      <c r="AU1" s="10" t="s">
        <v>41</v>
      </c>
      <c r="AV1" s="10" t="s">
        <v>64</v>
      </c>
      <c r="AW1" s="10" t="s">
        <v>85</v>
      </c>
      <c r="AX1" s="10" t="s">
        <v>34</v>
      </c>
      <c r="AY1" s="10" t="s">
        <v>86</v>
      </c>
      <c r="AZ1" s="10" t="s">
        <v>45</v>
      </c>
      <c r="BA1" s="10" t="s">
        <v>36</v>
      </c>
      <c r="BB1" s="10" t="s">
        <v>37</v>
      </c>
      <c r="BC1" s="11" t="s">
        <v>87</v>
      </c>
      <c r="BD1" s="11" t="s">
        <v>32</v>
      </c>
      <c r="BE1" s="11" t="s">
        <v>42</v>
      </c>
      <c r="BF1" s="11" t="s">
        <v>69</v>
      </c>
      <c r="BG1" s="42" t="s">
        <v>200</v>
      </c>
      <c r="BH1" s="42" t="s">
        <v>489</v>
      </c>
    </row>
    <row r="2" spans="1:60" x14ac:dyDescent="0.25">
      <c r="A2" s="14">
        <v>46084.375555555554</v>
      </c>
      <c r="B2" s="14">
        <v>46084.604722222219</v>
      </c>
      <c r="C2" s="14">
        <v>46091.208518518521</v>
      </c>
      <c r="D2" s="14">
        <v>46091.437685185185</v>
      </c>
      <c r="E2" s="14">
        <v>46086.629432870373</v>
      </c>
      <c r="F2" s="14">
        <v>46091.437685185185</v>
      </c>
      <c r="G2" t="s">
        <v>470</v>
      </c>
      <c r="H2">
        <v>291</v>
      </c>
      <c r="I2">
        <v>6923.8833000000004</v>
      </c>
      <c r="J2" t="s">
        <v>104</v>
      </c>
      <c r="K2">
        <v>12825718</v>
      </c>
      <c r="L2" t="s">
        <v>1257</v>
      </c>
      <c r="M2" t="s">
        <v>162</v>
      </c>
      <c r="N2" t="s">
        <v>88</v>
      </c>
      <c r="O2" t="s">
        <v>105</v>
      </c>
      <c r="P2" t="s">
        <v>103</v>
      </c>
      <c r="Q2" t="s">
        <v>29</v>
      </c>
      <c r="R2" t="s">
        <v>25</v>
      </c>
      <c r="S2">
        <v>54.15</v>
      </c>
      <c r="T2">
        <v>100</v>
      </c>
      <c r="V2">
        <v>0</v>
      </c>
      <c r="X2" t="s">
        <v>1258</v>
      </c>
      <c r="AA2">
        <v>120</v>
      </c>
      <c r="AB2" t="s">
        <v>26</v>
      </c>
      <c r="AC2">
        <v>262</v>
      </c>
      <c r="AD2" t="s">
        <v>27</v>
      </c>
      <c r="AE2" t="s">
        <v>28</v>
      </c>
      <c r="AF2">
        <v>0</v>
      </c>
      <c r="AK2" s="12">
        <f t="shared" ref="AK2:AK65" si="0">INT(D2)</f>
        <v>46091</v>
      </c>
      <c r="AL2" s="1" t="str">
        <f t="shared" ref="AL2:AL65" si="1">"Week"&amp;WEEKNUM(D2)</f>
        <v>Week11</v>
      </c>
      <c r="AM2" s="1" t="s">
        <v>168</v>
      </c>
      <c r="AN2" s="1" t="str">
        <f t="shared" ref="AN2:AN65" si="2">IF(AO2&gt;98.5,"Go","NoGo")</f>
        <v>Go</v>
      </c>
      <c r="AO2" s="2">
        <f t="shared" ref="AO2:AO65" si="3">100-(AQ2/S2*100)</f>
        <v>100</v>
      </c>
      <c r="AP2" s="1">
        <f t="shared" ref="AP2:AP65" si="4">IFERROR(AX2*V2,0)</f>
        <v>0</v>
      </c>
      <c r="AQ2" s="1">
        <f t="shared" ref="AQ2:AQ65" si="5">100-T2</f>
        <v>0</v>
      </c>
      <c r="AR2" s="1" t="s">
        <v>96</v>
      </c>
      <c r="AS2" s="1" t="s">
        <v>96</v>
      </c>
      <c r="AT2" s="1" t="s">
        <v>96</v>
      </c>
      <c r="AU2" s="1" t="str">
        <f t="shared" ref="AU2:AU65" si="6">IF(AX2="","",IF(AX2=1,"Major",IF(AX2=3,"Critical",IF(AX2=0,"Minor",""))))</f>
        <v/>
      </c>
      <c r="AV2" s="1" t="str">
        <f t="shared" ref="AV2:AV65" si="7">K2&amp;P2</f>
        <v>12825718Vijay Babu</v>
      </c>
      <c r="AW2" s="1" t="str">
        <f t="shared" ref="AW2:AW65" si="8">IF(U2="","",LEFT(U2,FIND("-",U2,1)-1))</f>
        <v/>
      </c>
      <c r="AX2" s="1" t="str">
        <f t="shared" ref="AX2:AX65" si="9">IF(AW2="Minor",0,IF(AW2="Major",1,IF(AW2="Critical",3,"")))</f>
        <v/>
      </c>
      <c r="AY2" s="1" t="s">
        <v>29</v>
      </c>
      <c r="AZ2" s="1" t="b">
        <v>0</v>
      </c>
      <c r="BA2" s="1" t="str">
        <f t="shared" ref="BA2:BA65" si="10">IF(U2="","",COUNTIF(U2,U2:U2))</f>
        <v/>
      </c>
      <c r="BB2" s="1">
        <f t="shared" ref="BB2:BB65" si="11">V2</f>
        <v>0</v>
      </c>
      <c r="BC2" s="1" t="s">
        <v>103</v>
      </c>
      <c r="BD2" s="1" t="s">
        <v>43</v>
      </c>
      <c r="BE2" s="1" t="s">
        <v>98</v>
      </c>
      <c r="BF2" s="1" t="b">
        <v>0</v>
      </c>
      <c r="BG2" s="1" t="str">
        <f>VLOOKUP(AM2,Group!$C:$H,5,0)</f>
        <v>Others</v>
      </c>
      <c r="BH2" s="1" t="str">
        <f>VLOOKUP(P2,others!$C:$G,5,0)</f>
        <v>MTX - India</v>
      </c>
    </row>
    <row r="3" spans="1:60" x14ac:dyDescent="0.25">
      <c r="A3" s="14">
        <v>46084.535995370374</v>
      </c>
      <c r="B3" s="14">
        <v>46084.765162037038</v>
      </c>
      <c r="C3" s="14">
        <v>46091.213425925926</v>
      </c>
      <c r="D3" s="14">
        <v>46091.44259259259</v>
      </c>
      <c r="E3" s="14">
        <v>46086.629675925928</v>
      </c>
      <c r="F3" s="14">
        <v>46091.44259259259</v>
      </c>
      <c r="G3" t="s">
        <v>470</v>
      </c>
      <c r="H3">
        <v>891</v>
      </c>
      <c r="I3">
        <v>6930.6</v>
      </c>
      <c r="J3" t="s">
        <v>104</v>
      </c>
      <c r="K3">
        <v>12825779</v>
      </c>
      <c r="L3" t="s">
        <v>1257</v>
      </c>
      <c r="M3" t="s">
        <v>162</v>
      </c>
      <c r="N3" t="s">
        <v>88</v>
      </c>
      <c r="O3" t="s">
        <v>105</v>
      </c>
      <c r="P3" t="s">
        <v>103</v>
      </c>
      <c r="Q3" t="s">
        <v>29</v>
      </c>
      <c r="R3" t="s">
        <v>25</v>
      </c>
      <c r="S3">
        <v>67.12</v>
      </c>
      <c r="T3">
        <v>100</v>
      </c>
      <c r="U3" t="s">
        <v>100</v>
      </c>
      <c r="V3">
        <v>2</v>
      </c>
      <c r="X3" t="s">
        <v>1258</v>
      </c>
      <c r="AA3">
        <v>120</v>
      </c>
      <c r="AB3" t="s">
        <v>26</v>
      </c>
      <c r="AC3">
        <v>297</v>
      </c>
      <c r="AD3" t="s">
        <v>27</v>
      </c>
      <c r="AE3" t="s">
        <v>28</v>
      </c>
      <c r="AF3">
        <v>0</v>
      </c>
      <c r="AK3" s="12">
        <f t="shared" si="0"/>
        <v>46091</v>
      </c>
      <c r="AL3" s="1" t="str">
        <f t="shared" si="1"/>
        <v>Week11</v>
      </c>
      <c r="AM3" s="1" t="s">
        <v>168</v>
      </c>
      <c r="AN3" s="1" t="str">
        <f t="shared" si="2"/>
        <v>Go</v>
      </c>
      <c r="AO3" s="2">
        <f t="shared" si="3"/>
        <v>100</v>
      </c>
      <c r="AP3" s="1">
        <f t="shared" si="4"/>
        <v>0</v>
      </c>
      <c r="AQ3" s="1">
        <f t="shared" si="5"/>
        <v>0</v>
      </c>
      <c r="AR3" s="1" t="s">
        <v>96</v>
      </c>
      <c r="AS3" s="1" t="s">
        <v>96</v>
      </c>
      <c r="AT3" s="1" t="s">
        <v>96</v>
      </c>
      <c r="AU3" s="1" t="str">
        <f t="shared" si="6"/>
        <v>Minor</v>
      </c>
      <c r="AV3" s="1" t="str">
        <f t="shared" si="7"/>
        <v>12825779Vijay Babu</v>
      </c>
      <c r="AW3" s="1" t="str">
        <f t="shared" si="8"/>
        <v>Minor</v>
      </c>
      <c r="AX3" s="1">
        <f t="shared" si="9"/>
        <v>0</v>
      </c>
      <c r="AY3" s="1" t="s">
        <v>29</v>
      </c>
      <c r="AZ3" s="1" t="b">
        <v>0</v>
      </c>
      <c r="BA3" s="1">
        <f t="shared" si="10"/>
        <v>1</v>
      </c>
      <c r="BB3" s="1">
        <f t="shared" si="11"/>
        <v>2</v>
      </c>
      <c r="BC3" s="1" t="s">
        <v>103</v>
      </c>
      <c r="BD3" s="1" t="s">
        <v>43</v>
      </c>
      <c r="BE3" s="1" t="s">
        <v>98</v>
      </c>
      <c r="BF3" s="1" t="b">
        <v>0</v>
      </c>
      <c r="BG3" s="1" t="str">
        <f>VLOOKUP(AM3,Group!$C:$H,5,0)</f>
        <v>Others</v>
      </c>
      <c r="BH3" s="1" t="str">
        <f>VLOOKUP(P3,others!$C:$G,5,0)</f>
        <v>MTX - India</v>
      </c>
    </row>
    <row r="4" spans="1:60" x14ac:dyDescent="0.25">
      <c r="A4" s="14">
        <v>46084.474583333336</v>
      </c>
      <c r="B4" s="14">
        <v>46084.703750000001</v>
      </c>
      <c r="C4" s="14">
        <v>46091.231793981482</v>
      </c>
      <c r="D4" s="14">
        <v>46091.460960648146</v>
      </c>
      <c r="E4" s="14">
        <v>46086.629745370374</v>
      </c>
      <c r="F4" s="14">
        <v>46091.460960648146</v>
      </c>
      <c r="G4" t="s">
        <v>470</v>
      </c>
      <c r="H4">
        <v>13269</v>
      </c>
      <c r="I4">
        <v>6956.95</v>
      </c>
      <c r="J4" t="s">
        <v>104</v>
      </c>
      <c r="K4">
        <v>12825745</v>
      </c>
      <c r="L4" t="s">
        <v>1298</v>
      </c>
      <c r="M4" t="s">
        <v>109</v>
      </c>
      <c r="N4" t="s">
        <v>88</v>
      </c>
      <c r="O4" t="s">
        <v>105</v>
      </c>
      <c r="P4" t="s">
        <v>103</v>
      </c>
      <c r="Q4" t="s">
        <v>29</v>
      </c>
      <c r="R4" t="s">
        <v>25</v>
      </c>
      <c r="S4">
        <v>105.75</v>
      </c>
      <c r="T4">
        <v>100</v>
      </c>
      <c r="V4">
        <v>0</v>
      </c>
      <c r="X4" t="s">
        <v>1261</v>
      </c>
      <c r="AA4">
        <v>360</v>
      </c>
      <c r="AB4" t="s">
        <v>26</v>
      </c>
      <c r="AC4">
        <v>486</v>
      </c>
      <c r="AD4" t="s">
        <v>27</v>
      </c>
      <c r="AE4" t="s">
        <v>28</v>
      </c>
      <c r="AF4">
        <v>0</v>
      </c>
      <c r="AK4" s="12">
        <f t="shared" si="0"/>
        <v>46091</v>
      </c>
      <c r="AL4" s="1" t="str">
        <f t="shared" si="1"/>
        <v>Week11</v>
      </c>
      <c r="AM4" s="1" t="s">
        <v>110</v>
      </c>
      <c r="AN4" s="1" t="str">
        <f t="shared" si="2"/>
        <v>Go</v>
      </c>
      <c r="AO4" s="2">
        <f t="shared" si="3"/>
        <v>100</v>
      </c>
      <c r="AP4" s="1">
        <f t="shared" si="4"/>
        <v>0</v>
      </c>
      <c r="AQ4" s="1">
        <f t="shared" si="5"/>
        <v>0</v>
      </c>
      <c r="AR4" s="1" t="s">
        <v>96</v>
      </c>
      <c r="AS4" s="1" t="s">
        <v>96</v>
      </c>
      <c r="AT4" s="1" t="s">
        <v>96</v>
      </c>
      <c r="AU4" s="1" t="str">
        <f t="shared" si="6"/>
        <v/>
      </c>
      <c r="AV4" s="1" t="str">
        <f t="shared" si="7"/>
        <v>12825745Vijay Babu</v>
      </c>
      <c r="AW4" s="1" t="str">
        <f t="shared" si="8"/>
        <v/>
      </c>
      <c r="AX4" s="1" t="str">
        <f t="shared" si="9"/>
        <v/>
      </c>
      <c r="AY4" s="1" t="s">
        <v>29</v>
      </c>
      <c r="AZ4" s="1" t="b">
        <v>0</v>
      </c>
      <c r="BA4" s="1" t="str">
        <f t="shared" si="10"/>
        <v/>
      </c>
      <c r="BB4" s="1">
        <f t="shared" si="11"/>
        <v>0</v>
      </c>
      <c r="BC4" s="1" t="s">
        <v>103</v>
      </c>
      <c r="BD4" s="1" t="s">
        <v>43</v>
      </c>
      <c r="BE4" s="1" t="s">
        <v>98</v>
      </c>
      <c r="BF4" s="1" t="b">
        <v>0</v>
      </c>
      <c r="BG4" s="1" t="str">
        <f>VLOOKUP(AM4,Group!$C:$H,5,0)</f>
        <v>AMC Group</v>
      </c>
      <c r="BH4" s="1" t="str">
        <f>VLOOKUP(P4,others!$C:$G,5,0)</f>
        <v>MTX - India</v>
      </c>
    </row>
    <row r="5" spans="1:60" x14ac:dyDescent="0.25">
      <c r="A5" s="14">
        <v>46084.48165509259</v>
      </c>
      <c r="B5" s="14">
        <v>46084.710821759261</v>
      </c>
      <c r="C5" s="14">
        <v>46091.245648148149</v>
      </c>
      <c r="D5" s="14">
        <v>46091.474814814814</v>
      </c>
      <c r="E5" s="14">
        <v>46086.629826388889</v>
      </c>
      <c r="F5" s="14">
        <v>46091.474814814814</v>
      </c>
      <c r="G5" t="s">
        <v>470</v>
      </c>
      <c r="H5">
        <v>2972</v>
      </c>
      <c r="I5">
        <v>6976.7833000000001</v>
      </c>
      <c r="J5" t="s">
        <v>104</v>
      </c>
      <c r="K5">
        <v>12825757</v>
      </c>
      <c r="L5" t="s">
        <v>1298</v>
      </c>
      <c r="M5" t="s">
        <v>109</v>
      </c>
      <c r="N5" t="s">
        <v>88</v>
      </c>
      <c r="O5" t="s">
        <v>105</v>
      </c>
      <c r="P5" t="s">
        <v>103</v>
      </c>
      <c r="Q5" t="s">
        <v>29</v>
      </c>
      <c r="R5" t="s">
        <v>1241</v>
      </c>
      <c r="S5">
        <v>134.58000000000001</v>
      </c>
      <c r="T5">
        <v>98</v>
      </c>
      <c r="U5" t="s">
        <v>471</v>
      </c>
      <c r="V5">
        <v>2</v>
      </c>
      <c r="X5" t="s">
        <v>1261</v>
      </c>
      <c r="AA5">
        <v>360</v>
      </c>
      <c r="AB5" t="s">
        <v>26</v>
      </c>
      <c r="AC5">
        <v>600</v>
      </c>
      <c r="AD5" t="s">
        <v>27</v>
      </c>
      <c r="AE5" t="s">
        <v>28</v>
      </c>
      <c r="AF5">
        <v>2</v>
      </c>
      <c r="AK5" s="12">
        <f t="shared" si="0"/>
        <v>46091</v>
      </c>
      <c r="AL5" s="1" t="str">
        <f t="shared" si="1"/>
        <v>Week11</v>
      </c>
      <c r="AM5" s="1" t="s">
        <v>110</v>
      </c>
      <c r="AN5" s="1" t="str">
        <f t="shared" si="2"/>
        <v>Go</v>
      </c>
      <c r="AO5" s="2">
        <f t="shared" si="3"/>
        <v>98.513895080992725</v>
      </c>
      <c r="AP5" s="1">
        <f t="shared" si="4"/>
        <v>2</v>
      </c>
      <c r="AQ5" s="1">
        <f t="shared" si="5"/>
        <v>2</v>
      </c>
      <c r="AR5" s="1" t="s">
        <v>96</v>
      </c>
      <c r="AS5" s="1" t="s">
        <v>96</v>
      </c>
      <c r="AT5" s="1" t="s">
        <v>96</v>
      </c>
      <c r="AU5" s="1" t="str">
        <f t="shared" si="6"/>
        <v>Major</v>
      </c>
      <c r="AV5" s="1" t="str">
        <f t="shared" si="7"/>
        <v>12825757Vijay Babu</v>
      </c>
      <c r="AW5" s="1" t="str">
        <f t="shared" si="8"/>
        <v>Major</v>
      </c>
      <c r="AX5" s="1">
        <f t="shared" si="9"/>
        <v>1</v>
      </c>
      <c r="AY5" s="1" t="s">
        <v>29</v>
      </c>
      <c r="AZ5" s="1" t="b">
        <v>1</v>
      </c>
      <c r="BA5" s="1">
        <f t="shared" si="10"/>
        <v>1</v>
      </c>
      <c r="BB5" s="1">
        <f t="shared" si="11"/>
        <v>2</v>
      </c>
      <c r="BC5" s="1" t="s">
        <v>103</v>
      </c>
      <c r="BD5" s="1" t="s">
        <v>43</v>
      </c>
      <c r="BE5" s="1" t="s">
        <v>98</v>
      </c>
      <c r="BF5" s="1" t="b">
        <v>1</v>
      </c>
      <c r="BG5" s="1" t="str">
        <f>VLOOKUP(AM5,Group!$C:$H,5,0)</f>
        <v>AMC Group</v>
      </c>
      <c r="BH5" s="1" t="str">
        <f>VLOOKUP(P5,others!$C:$G,5,0)</f>
        <v>MTX - India</v>
      </c>
    </row>
    <row r="6" spans="1:60" x14ac:dyDescent="0.25">
      <c r="A6" s="14">
        <v>46084.48165509259</v>
      </c>
      <c r="B6" s="14">
        <v>46084.710821759261</v>
      </c>
      <c r="C6" s="14">
        <v>46091.245648148149</v>
      </c>
      <c r="D6" s="14">
        <v>46091.474814814814</v>
      </c>
      <c r="E6" s="14">
        <v>46086.629826388889</v>
      </c>
      <c r="F6" s="14">
        <v>46091.474814814814</v>
      </c>
      <c r="G6" t="s">
        <v>470</v>
      </c>
      <c r="H6">
        <v>2972</v>
      </c>
      <c r="I6">
        <v>6976.7833000000001</v>
      </c>
      <c r="J6" t="s">
        <v>104</v>
      </c>
      <c r="K6">
        <v>12825757</v>
      </c>
      <c r="L6" t="s">
        <v>1298</v>
      </c>
      <c r="M6" t="s">
        <v>109</v>
      </c>
      <c r="N6" t="s">
        <v>88</v>
      </c>
      <c r="O6" t="s">
        <v>105</v>
      </c>
      <c r="P6" t="s">
        <v>103</v>
      </c>
      <c r="Q6" t="s">
        <v>29</v>
      </c>
      <c r="R6" t="s">
        <v>1241</v>
      </c>
      <c r="S6">
        <v>134.58000000000001</v>
      </c>
      <c r="T6">
        <v>98</v>
      </c>
      <c r="U6" t="s">
        <v>100</v>
      </c>
      <c r="V6">
        <v>2</v>
      </c>
      <c r="X6" t="s">
        <v>1261</v>
      </c>
      <c r="AA6">
        <v>360</v>
      </c>
      <c r="AB6" t="s">
        <v>26</v>
      </c>
      <c r="AC6">
        <v>600</v>
      </c>
      <c r="AD6" t="s">
        <v>27</v>
      </c>
      <c r="AE6" t="s">
        <v>28</v>
      </c>
      <c r="AF6">
        <v>2</v>
      </c>
      <c r="AK6" s="12">
        <f t="shared" si="0"/>
        <v>46091</v>
      </c>
      <c r="AL6" s="1" t="str">
        <f t="shared" si="1"/>
        <v>Week11</v>
      </c>
      <c r="AM6" s="1" t="s">
        <v>110</v>
      </c>
      <c r="AN6" s="1" t="str">
        <f t="shared" si="2"/>
        <v>Go</v>
      </c>
      <c r="AO6" s="2">
        <f t="shared" si="3"/>
        <v>98.513895080992725</v>
      </c>
      <c r="AP6" s="1">
        <f t="shared" si="4"/>
        <v>0</v>
      </c>
      <c r="AQ6" s="1">
        <f t="shared" si="5"/>
        <v>2</v>
      </c>
      <c r="AR6" s="1" t="s">
        <v>96</v>
      </c>
      <c r="AS6" s="1" t="s">
        <v>96</v>
      </c>
      <c r="AT6" s="1" t="s">
        <v>96</v>
      </c>
      <c r="AU6" s="1" t="str">
        <f t="shared" si="6"/>
        <v>Minor</v>
      </c>
      <c r="AV6" s="1" t="str">
        <f t="shared" si="7"/>
        <v>12825757Vijay Babu</v>
      </c>
      <c r="AW6" s="1" t="str">
        <f t="shared" si="8"/>
        <v>Minor</v>
      </c>
      <c r="AX6" s="1">
        <f t="shared" si="9"/>
        <v>0</v>
      </c>
      <c r="AY6" s="1" t="s">
        <v>29</v>
      </c>
      <c r="AZ6" s="1" t="b">
        <v>0</v>
      </c>
      <c r="BA6" s="1">
        <f t="shared" si="10"/>
        <v>1</v>
      </c>
      <c r="BB6" s="1">
        <f t="shared" si="11"/>
        <v>2</v>
      </c>
      <c r="BC6" s="1" t="s">
        <v>103</v>
      </c>
      <c r="BD6" s="1" t="s">
        <v>43</v>
      </c>
      <c r="BE6" s="1" t="s">
        <v>98</v>
      </c>
      <c r="BF6" s="1" t="b">
        <v>0</v>
      </c>
      <c r="BG6" s="1" t="str">
        <f>VLOOKUP(AM6,Group!$C:$H,5,0)</f>
        <v>AMC Group</v>
      </c>
      <c r="BH6" s="1" t="str">
        <f>VLOOKUP(P6,others!$C:$G,5,0)</f>
        <v>MTX - India</v>
      </c>
    </row>
    <row r="7" spans="1:60" x14ac:dyDescent="0.25">
      <c r="A7" s="14">
        <v>46089.4216087963</v>
      </c>
      <c r="B7" s="14">
        <v>46089.650775462964</v>
      </c>
      <c r="C7" s="14">
        <v>46091.579976851855</v>
      </c>
      <c r="D7" s="14">
        <v>46091.80914351852</v>
      </c>
      <c r="E7" s="14">
        <v>46091.803784722222</v>
      </c>
      <c r="F7" s="14">
        <v>46091.80914351852</v>
      </c>
      <c r="G7" t="s">
        <v>1299</v>
      </c>
      <c r="H7">
        <v>456</v>
      </c>
      <c r="I7">
        <v>7.7167000000000003</v>
      </c>
      <c r="J7" t="s">
        <v>104</v>
      </c>
      <c r="K7">
        <v>12827216</v>
      </c>
      <c r="L7" t="s">
        <v>1273</v>
      </c>
      <c r="M7" t="s">
        <v>163</v>
      </c>
      <c r="N7" t="s">
        <v>88</v>
      </c>
      <c r="O7" t="s">
        <v>1300</v>
      </c>
      <c r="P7" t="s">
        <v>478</v>
      </c>
      <c r="Q7" t="s">
        <v>29</v>
      </c>
      <c r="R7" t="s">
        <v>25</v>
      </c>
      <c r="S7">
        <v>75.849999999999994</v>
      </c>
      <c r="T7">
        <v>100</v>
      </c>
      <c r="V7">
        <v>0</v>
      </c>
      <c r="X7" t="s">
        <v>1274</v>
      </c>
      <c r="AA7">
        <v>1440</v>
      </c>
      <c r="AB7" t="s">
        <v>26</v>
      </c>
      <c r="AC7">
        <v>231</v>
      </c>
      <c r="AD7" t="s">
        <v>27</v>
      </c>
      <c r="AE7" t="s">
        <v>1250</v>
      </c>
      <c r="AF7">
        <v>0</v>
      </c>
      <c r="AK7" s="12">
        <f t="shared" si="0"/>
        <v>46091</v>
      </c>
      <c r="AL7" s="1" t="str">
        <f t="shared" si="1"/>
        <v>Week11</v>
      </c>
      <c r="AM7" s="1" t="s">
        <v>169</v>
      </c>
      <c r="AN7" s="1" t="str">
        <f t="shared" si="2"/>
        <v>Go</v>
      </c>
      <c r="AO7" s="2">
        <f t="shared" si="3"/>
        <v>100</v>
      </c>
      <c r="AP7" s="1">
        <f t="shared" si="4"/>
        <v>0</v>
      </c>
      <c r="AQ7" s="1">
        <f t="shared" si="5"/>
        <v>0</v>
      </c>
      <c r="AR7" s="1" t="s">
        <v>96</v>
      </c>
      <c r="AS7" s="1" t="s">
        <v>96</v>
      </c>
      <c r="AT7" s="1" t="s">
        <v>96</v>
      </c>
      <c r="AU7" s="1" t="str">
        <f t="shared" si="6"/>
        <v/>
      </c>
      <c r="AV7" s="1" t="str">
        <f t="shared" si="7"/>
        <v>12827216Sandeep S</v>
      </c>
      <c r="AW7" s="1" t="str">
        <f t="shared" si="8"/>
        <v/>
      </c>
      <c r="AX7" s="1" t="str">
        <f t="shared" si="9"/>
        <v/>
      </c>
      <c r="AY7" s="1" t="s">
        <v>29</v>
      </c>
      <c r="AZ7" s="1" t="b">
        <v>0</v>
      </c>
      <c r="BA7" s="1" t="str">
        <f t="shared" si="10"/>
        <v/>
      </c>
      <c r="BB7" s="1">
        <f t="shared" si="11"/>
        <v>0</v>
      </c>
      <c r="BC7" s="1" t="s">
        <v>478</v>
      </c>
      <c r="BD7" s="1" t="s">
        <v>43</v>
      </c>
      <c r="BE7" s="1" t="s">
        <v>98</v>
      </c>
      <c r="BF7" s="1" t="b">
        <v>0</v>
      </c>
      <c r="BG7" s="1" t="str">
        <f>VLOOKUP(AM7,Group!$C:$H,5,0)</f>
        <v>Fundamental</v>
      </c>
      <c r="BH7" s="1" t="str">
        <f>VLOOKUP(P7,others!$C:$G,5,0)</f>
        <v>MTX - India</v>
      </c>
    </row>
    <row r="8" spans="1:60" x14ac:dyDescent="0.25">
      <c r="A8" s="14">
        <v>46085.538680555554</v>
      </c>
      <c r="B8" s="14">
        <v>46085.767847222225</v>
      </c>
      <c r="C8" s="14">
        <v>46091.760127314818</v>
      </c>
      <c r="D8" s="14">
        <v>46091.989293981482</v>
      </c>
      <c r="E8" s="14">
        <v>46091.820868055554</v>
      </c>
      <c r="F8" s="14">
        <v>46091.989293981482</v>
      </c>
      <c r="G8" t="s">
        <v>470</v>
      </c>
      <c r="H8">
        <v>822</v>
      </c>
      <c r="I8">
        <v>242.5333</v>
      </c>
      <c r="J8" t="s">
        <v>104</v>
      </c>
      <c r="K8">
        <v>12826205</v>
      </c>
      <c r="L8" t="s">
        <v>1277</v>
      </c>
      <c r="M8" t="s">
        <v>109</v>
      </c>
      <c r="N8" t="s">
        <v>88</v>
      </c>
      <c r="O8" t="s">
        <v>458</v>
      </c>
      <c r="P8" t="s">
        <v>459</v>
      </c>
      <c r="Q8" t="s">
        <v>29</v>
      </c>
      <c r="R8" t="s">
        <v>25</v>
      </c>
      <c r="S8">
        <v>24.6</v>
      </c>
      <c r="T8">
        <v>100</v>
      </c>
      <c r="U8" t="s">
        <v>100</v>
      </c>
      <c r="V8">
        <v>1</v>
      </c>
      <c r="X8" t="s">
        <v>1294</v>
      </c>
      <c r="AA8">
        <v>1440</v>
      </c>
      <c r="AB8" t="s">
        <v>26</v>
      </c>
      <c r="AC8">
        <v>193</v>
      </c>
      <c r="AD8" t="s">
        <v>27</v>
      </c>
      <c r="AE8" t="s">
        <v>28</v>
      </c>
      <c r="AF8">
        <v>0</v>
      </c>
      <c r="AK8" s="12">
        <f t="shared" si="0"/>
        <v>46091</v>
      </c>
      <c r="AL8" s="1" t="str">
        <f t="shared" si="1"/>
        <v>Week11</v>
      </c>
      <c r="AM8" s="1" t="s">
        <v>110</v>
      </c>
      <c r="AN8" s="1" t="str">
        <f t="shared" si="2"/>
        <v>Go</v>
      </c>
      <c r="AO8" s="2">
        <f t="shared" si="3"/>
        <v>100</v>
      </c>
      <c r="AP8" s="1">
        <f t="shared" si="4"/>
        <v>0</v>
      </c>
      <c r="AQ8" s="1">
        <f t="shared" si="5"/>
        <v>0</v>
      </c>
      <c r="AR8" s="1" t="s">
        <v>96</v>
      </c>
      <c r="AS8" s="1" t="s">
        <v>96</v>
      </c>
      <c r="AT8" s="1" t="s">
        <v>96</v>
      </c>
      <c r="AU8" s="1" t="str">
        <f t="shared" si="6"/>
        <v>Minor</v>
      </c>
      <c r="AV8" s="1" t="str">
        <f t="shared" si="7"/>
        <v>12826205Usha M</v>
      </c>
      <c r="AW8" s="1" t="str">
        <f t="shared" si="8"/>
        <v>Minor</v>
      </c>
      <c r="AX8" s="1">
        <f t="shared" si="9"/>
        <v>0</v>
      </c>
      <c r="AY8" s="1" t="s">
        <v>29</v>
      </c>
      <c r="AZ8" s="1" t="b">
        <v>0</v>
      </c>
      <c r="BA8" s="1">
        <f t="shared" si="10"/>
        <v>1</v>
      </c>
      <c r="BB8" s="1">
        <f t="shared" si="11"/>
        <v>1</v>
      </c>
      <c r="BC8" s="1" t="s">
        <v>459</v>
      </c>
      <c r="BD8" s="1" t="s">
        <v>43</v>
      </c>
      <c r="BE8" s="1" t="s">
        <v>98</v>
      </c>
      <c r="BF8" s="1" t="b">
        <v>0</v>
      </c>
      <c r="BG8" s="1" t="str">
        <f>VLOOKUP(AM8,Group!$C:$H,5,0)</f>
        <v>AMC Group</v>
      </c>
      <c r="BH8" s="1" t="str">
        <f>VLOOKUP(P8,others!$C:$G,5,0)</f>
        <v>MTX - India</v>
      </c>
    </row>
    <row r="9" spans="1:60" x14ac:dyDescent="0.25">
      <c r="A9" s="14">
        <v>46087.618310185186</v>
      </c>
      <c r="B9" s="14">
        <v>46087.84747685185</v>
      </c>
      <c r="C9" s="14">
        <v>46091.763854166667</v>
      </c>
      <c r="D9" s="14">
        <v>46091.993020833332</v>
      </c>
      <c r="E9" s="14">
        <v>46091.507430555554</v>
      </c>
      <c r="F9" s="14">
        <v>46091.993020833332</v>
      </c>
      <c r="G9" t="s">
        <v>470</v>
      </c>
      <c r="H9">
        <v>308</v>
      </c>
      <c r="I9">
        <v>699.25</v>
      </c>
      <c r="J9" t="s">
        <v>104</v>
      </c>
      <c r="K9">
        <v>12826941</v>
      </c>
      <c r="L9" t="s">
        <v>1277</v>
      </c>
      <c r="M9" t="s">
        <v>109</v>
      </c>
      <c r="N9" t="s">
        <v>88</v>
      </c>
      <c r="O9" t="s">
        <v>105</v>
      </c>
      <c r="P9" t="s">
        <v>103</v>
      </c>
      <c r="Q9" t="s">
        <v>29</v>
      </c>
      <c r="R9" t="s">
        <v>25</v>
      </c>
      <c r="S9">
        <v>38.659999999999997</v>
      </c>
      <c r="T9">
        <v>100</v>
      </c>
      <c r="V9">
        <v>0</v>
      </c>
      <c r="X9" t="s">
        <v>1278</v>
      </c>
      <c r="AA9">
        <v>1440</v>
      </c>
      <c r="AB9" t="s">
        <v>26</v>
      </c>
      <c r="AC9">
        <v>367</v>
      </c>
      <c r="AD9" t="s">
        <v>27</v>
      </c>
      <c r="AE9" t="s">
        <v>28</v>
      </c>
      <c r="AF9">
        <v>0</v>
      </c>
      <c r="AK9" s="12">
        <f t="shared" si="0"/>
        <v>46091</v>
      </c>
      <c r="AL9" s="1" t="str">
        <f t="shared" si="1"/>
        <v>Week11</v>
      </c>
      <c r="AM9" s="1" t="s">
        <v>110</v>
      </c>
      <c r="AN9" s="1" t="str">
        <f t="shared" si="2"/>
        <v>Go</v>
      </c>
      <c r="AO9" s="2">
        <f t="shared" si="3"/>
        <v>100</v>
      </c>
      <c r="AP9" s="1">
        <f t="shared" si="4"/>
        <v>0</v>
      </c>
      <c r="AQ9" s="1">
        <f t="shared" si="5"/>
        <v>0</v>
      </c>
      <c r="AR9" s="1" t="s">
        <v>96</v>
      </c>
      <c r="AS9" s="1" t="s">
        <v>96</v>
      </c>
      <c r="AT9" s="1" t="s">
        <v>96</v>
      </c>
      <c r="AU9" s="1" t="str">
        <f t="shared" si="6"/>
        <v/>
      </c>
      <c r="AV9" s="1" t="str">
        <f t="shared" si="7"/>
        <v>12826941Vijay Babu</v>
      </c>
      <c r="AW9" s="1" t="str">
        <f t="shared" si="8"/>
        <v/>
      </c>
      <c r="AX9" s="1" t="str">
        <f t="shared" si="9"/>
        <v/>
      </c>
      <c r="AY9" s="1" t="s">
        <v>29</v>
      </c>
      <c r="AZ9" s="1" t="b">
        <v>0</v>
      </c>
      <c r="BA9" s="1" t="str">
        <f t="shared" si="10"/>
        <v/>
      </c>
      <c r="BB9" s="1">
        <f t="shared" si="11"/>
        <v>0</v>
      </c>
      <c r="BC9" s="1" t="s">
        <v>103</v>
      </c>
      <c r="BD9" s="1" t="s">
        <v>43</v>
      </c>
      <c r="BE9" s="1" t="s">
        <v>98</v>
      </c>
      <c r="BF9" s="1" t="b">
        <v>0</v>
      </c>
      <c r="BG9" s="1" t="str">
        <f>VLOOKUP(AM9,Group!$C:$H,5,0)</f>
        <v>AMC Group</v>
      </c>
      <c r="BH9" s="1" t="str">
        <f>VLOOKUP(P9,others!$C:$G,5,0)</f>
        <v>MTX - India</v>
      </c>
    </row>
    <row r="10" spans="1:60" x14ac:dyDescent="0.25">
      <c r="A10" s="14">
        <v>46087.622430555559</v>
      </c>
      <c r="B10" s="14">
        <v>46087.851597222223</v>
      </c>
      <c r="C10" s="14">
        <v>46091.766724537039</v>
      </c>
      <c r="D10" s="14">
        <v>46091.995891203704</v>
      </c>
      <c r="E10" s="14">
        <v>46091.507534722223</v>
      </c>
      <c r="F10" s="14">
        <v>46091.995891203704</v>
      </c>
      <c r="G10" t="s">
        <v>470</v>
      </c>
      <c r="H10">
        <v>232</v>
      </c>
      <c r="I10">
        <v>703.23329999999999</v>
      </c>
      <c r="J10" t="s">
        <v>104</v>
      </c>
      <c r="K10">
        <v>12826946</v>
      </c>
      <c r="L10" t="s">
        <v>1277</v>
      </c>
      <c r="M10" t="s">
        <v>109</v>
      </c>
      <c r="N10" t="s">
        <v>88</v>
      </c>
      <c r="O10" t="s">
        <v>105</v>
      </c>
      <c r="P10" t="s">
        <v>103</v>
      </c>
      <c r="Q10" t="s">
        <v>29</v>
      </c>
      <c r="R10" t="s">
        <v>25</v>
      </c>
      <c r="S10">
        <v>29.15</v>
      </c>
      <c r="T10">
        <v>100</v>
      </c>
      <c r="U10" t="s">
        <v>100</v>
      </c>
      <c r="V10">
        <v>2</v>
      </c>
      <c r="X10" t="s">
        <v>1278</v>
      </c>
      <c r="AA10">
        <v>1440</v>
      </c>
      <c r="AB10" t="s">
        <v>26</v>
      </c>
      <c r="AC10">
        <v>259</v>
      </c>
      <c r="AD10" t="s">
        <v>27</v>
      </c>
      <c r="AE10" t="s">
        <v>28</v>
      </c>
      <c r="AF10">
        <v>0</v>
      </c>
      <c r="AK10" s="12">
        <f t="shared" si="0"/>
        <v>46091</v>
      </c>
      <c r="AL10" s="1" t="str">
        <f t="shared" si="1"/>
        <v>Week11</v>
      </c>
      <c r="AM10" s="1" t="s">
        <v>110</v>
      </c>
      <c r="AN10" s="1" t="str">
        <f t="shared" si="2"/>
        <v>Go</v>
      </c>
      <c r="AO10" s="2">
        <f t="shared" si="3"/>
        <v>100</v>
      </c>
      <c r="AP10" s="1">
        <f t="shared" si="4"/>
        <v>0</v>
      </c>
      <c r="AQ10" s="1">
        <f t="shared" si="5"/>
        <v>0</v>
      </c>
      <c r="AR10" s="1" t="s">
        <v>96</v>
      </c>
      <c r="AS10" s="1" t="s">
        <v>96</v>
      </c>
      <c r="AT10" s="1" t="s">
        <v>96</v>
      </c>
      <c r="AU10" s="1" t="str">
        <f t="shared" si="6"/>
        <v>Minor</v>
      </c>
      <c r="AV10" s="1" t="str">
        <f t="shared" si="7"/>
        <v>12826946Vijay Babu</v>
      </c>
      <c r="AW10" s="1" t="str">
        <f t="shared" si="8"/>
        <v>Minor</v>
      </c>
      <c r="AX10" s="1">
        <f t="shared" si="9"/>
        <v>0</v>
      </c>
      <c r="AY10" s="1" t="s">
        <v>29</v>
      </c>
      <c r="AZ10" s="1" t="b">
        <v>0</v>
      </c>
      <c r="BA10" s="1">
        <f t="shared" si="10"/>
        <v>1</v>
      </c>
      <c r="BB10" s="1">
        <f t="shared" si="11"/>
        <v>2</v>
      </c>
      <c r="BC10" s="1" t="s">
        <v>103</v>
      </c>
      <c r="BD10" s="1" t="s">
        <v>43</v>
      </c>
      <c r="BE10" s="1" t="s">
        <v>98</v>
      </c>
      <c r="BF10" s="1" t="b">
        <v>0</v>
      </c>
      <c r="BG10" s="1" t="str">
        <f>VLOOKUP(AM10,Group!$C:$H,5,0)</f>
        <v>AMC Group</v>
      </c>
      <c r="BH10" s="1" t="str">
        <f>VLOOKUP(P10,others!$C:$G,5,0)</f>
        <v>MTX - India</v>
      </c>
    </row>
    <row r="11" spans="1:60" x14ac:dyDescent="0.25">
      <c r="A11" s="14">
        <v>46087.55332175926</v>
      </c>
      <c r="B11" s="14">
        <v>46087.782488425924</v>
      </c>
      <c r="C11" s="14">
        <v>46091.775856481479</v>
      </c>
      <c r="D11" s="14">
        <v>46092.005023148151</v>
      </c>
      <c r="E11" s="14">
        <v>46092.000185185185</v>
      </c>
      <c r="F11" s="14">
        <v>46092.005023148151</v>
      </c>
      <c r="G11" t="s">
        <v>470</v>
      </c>
      <c r="H11">
        <v>413</v>
      </c>
      <c r="I11">
        <v>6.9667000000000003</v>
      </c>
      <c r="J11" t="s">
        <v>104</v>
      </c>
      <c r="K11">
        <v>12826909</v>
      </c>
      <c r="L11" t="s">
        <v>1277</v>
      </c>
      <c r="M11" t="s">
        <v>109</v>
      </c>
      <c r="N11" t="s">
        <v>88</v>
      </c>
      <c r="O11" t="s">
        <v>105</v>
      </c>
      <c r="P11" t="s">
        <v>103</v>
      </c>
      <c r="Q11" t="s">
        <v>29</v>
      </c>
      <c r="R11" t="s">
        <v>25</v>
      </c>
      <c r="S11">
        <v>3.51</v>
      </c>
      <c r="T11">
        <v>100</v>
      </c>
      <c r="V11">
        <v>0</v>
      </c>
      <c r="X11" t="s">
        <v>1278</v>
      </c>
      <c r="AA11">
        <v>1440</v>
      </c>
      <c r="AB11" t="s">
        <v>26</v>
      </c>
      <c r="AC11">
        <v>40</v>
      </c>
      <c r="AD11" t="s">
        <v>27</v>
      </c>
      <c r="AE11" t="s">
        <v>28</v>
      </c>
      <c r="AF11">
        <v>0</v>
      </c>
      <c r="AK11" s="12">
        <f t="shared" si="0"/>
        <v>46092</v>
      </c>
      <c r="AL11" s="1" t="str">
        <f t="shared" si="1"/>
        <v>Week11</v>
      </c>
      <c r="AM11" s="1" t="s">
        <v>110</v>
      </c>
      <c r="AN11" s="1" t="str">
        <f t="shared" si="2"/>
        <v>Go</v>
      </c>
      <c r="AO11" s="2">
        <f t="shared" si="3"/>
        <v>100</v>
      </c>
      <c r="AP11" s="1">
        <f t="shared" si="4"/>
        <v>0</v>
      </c>
      <c r="AQ11" s="1">
        <f t="shared" si="5"/>
        <v>0</v>
      </c>
      <c r="AR11" s="1" t="s">
        <v>96</v>
      </c>
      <c r="AS11" s="1" t="s">
        <v>96</v>
      </c>
      <c r="AT11" s="1" t="s">
        <v>96</v>
      </c>
      <c r="AU11" s="1" t="str">
        <f t="shared" si="6"/>
        <v/>
      </c>
      <c r="AV11" s="1" t="str">
        <f t="shared" si="7"/>
        <v>12826909Vijay Babu</v>
      </c>
      <c r="AW11" s="1" t="str">
        <f t="shared" si="8"/>
        <v/>
      </c>
      <c r="AX11" s="1" t="str">
        <f t="shared" si="9"/>
        <v/>
      </c>
      <c r="AY11" s="1" t="s">
        <v>29</v>
      </c>
      <c r="AZ11" s="1" t="b">
        <v>0</v>
      </c>
      <c r="BA11" s="1" t="str">
        <f t="shared" si="10"/>
        <v/>
      </c>
      <c r="BB11" s="1">
        <f t="shared" si="11"/>
        <v>0</v>
      </c>
      <c r="BC11" s="1" t="s">
        <v>103</v>
      </c>
      <c r="BD11" s="1" t="s">
        <v>43</v>
      </c>
      <c r="BE11" s="1" t="s">
        <v>98</v>
      </c>
      <c r="BF11" s="1" t="b">
        <v>0</v>
      </c>
      <c r="BG11" s="1" t="str">
        <f>VLOOKUP(AM11,Group!$C:$H,5,0)</f>
        <v>AMC Group</v>
      </c>
      <c r="BH11" s="1" t="str">
        <f>VLOOKUP(P11,others!$C:$G,5,0)</f>
        <v>MTX - India</v>
      </c>
    </row>
    <row r="12" spans="1:60" x14ac:dyDescent="0.25">
      <c r="A12" s="14">
        <v>46086.341145833336</v>
      </c>
      <c r="B12" s="14">
        <v>46086.5703125</v>
      </c>
      <c r="C12" s="14">
        <v>46092.272951388892</v>
      </c>
      <c r="D12" s="14">
        <v>46092.502118055556</v>
      </c>
      <c r="E12" s="14">
        <v>46091.534363425926</v>
      </c>
      <c r="F12" s="14">
        <v>46092.502118055556</v>
      </c>
      <c r="G12" t="s">
        <v>470</v>
      </c>
      <c r="H12">
        <v>121</v>
      </c>
      <c r="I12">
        <v>1393.5667000000001</v>
      </c>
      <c r="J12" t="s">
        <v>104</v>
      </c>
      <c r="K12">
        <v>12826504</v>
      </c>
      <c r="L12" t="s">
        <v>1301</v>
      </c>
      <c r="M12" t="s">
        <v>162</v>
      </c>
      <c r="N12" t="s">
        <v>88</v>
      </c>
      <c r="O12" t="s">
        <v>105</v>
      </c>
      <c r="P12" t="s">
        <v>103</v>
      </c>
      <c r="Q12" t="s">
        <v>29</v>
      </c>
      <c r="R12" t="s">
        <v>25</v>
      </c>
      <c r="S12">
        <v>11.66</v>
      </c>
      <c r="T12">
        <v>100</v>
      </c>
      <c r="V12">
        <v>0</v>
      </c>
      <c r="X12" t="s">
        <v>1302</v>
      </c>
      <c r="AA12">
        <v>1440</v>
      </c>
      <c r="AB12" t="s">
        <v>26</v>
      </c>
      <c r="AC12">
        <v>84</v>
      </c>
      <c r="AD12" t="s">
        <v>27</v>
      </c>
      <c r="AE12" t="s">
        <v>28</v>
      </c>
      <c r="AF12">
        <v>0</v>
      </c>
      <c r="AK12" s="12">
        <f t="shared" si="0"/>
        <v>46092</v>
      </c>
      <c r="AL12" s="1" t="str">
        <f t="shared" si="1"/>
        <v>Week11</v>
      </c>
      <c r="AM12" s="1" t="s">
        <v>168</v>
      </c>
      <c r="AN12" s="1" t="str">
        <f t="shared" si="2"/>
        <v>Go</v>
      </c>
      <c r="AO12" s="2">
        <f t="shared" si="3"/>
        <v>100</v>
      </c>
      <c r="AP12" s="1">
        <f t="shared" si="4"/>
        <v>0</v>
      </c>
      <c r="AQ12" s="1">
        <f t="shared" si="5"/>
        <v>0</v>
      </c>
      <c r="AR12" s="1" t="s">
        <v>96</v>
      </c>
      <c r="AS12" s="1" t="s">
        <v>96</v>
      </c>
      <c r="AT12" s="1" t="s">
        <v>96</v>
      </c>
      <c r="AU12" s="1" t="str">
        <f t="shared" si="6"/>
        <v/>
      </c>
      <c r="AV12" s="1" t="str">
        <f t="shared" si="7"/>
        <v>12826504Vijay Babu</v>
      </c>
      <c r="AW12" s="1" t="str">
        <f t="shared" si="8"/>
        <v/>
      </c>
      <c r="AX12" s="1" t="str">
        <f t="shared" si="9"/>
        <v/>
      </c>
      <c r="AY12" s="1" t="s">
        <v>29</v>
      </c>
      <c r="AZ12" s="1" t="b">
        <v>0</v>
      </c>
      <c r="BA12" s="1" t="str">
        <f t="shared" si="10"/>
        <v/>
      </c>
      <c r="BB12" s="1">
        <f t="shared" si="11"/>
        <v>0</v>
      </c>
      <c r="BC12" s="1" t="s">
        <v>103</v>
      </c>
      <c r="BD12" s="1" t="s">
        <v>43</v>
      </c>
      <c r="BE12" s="1" t="s">
        <v>98</v>
      </c>
      <c r="BF12" s="1" t="b">
        <v>0</v>
      </c>
      <c r="BG12" s="1" t="str">
        <f>VLOOKUP(AM12,Group!$C:$H,5,0)</f>
        <v>Others</v>
      </c>
      <c r="BH12" s="1" t="str">
        <f>VLOOKUP(P12,others!$C:$G,5,0)</f>
        <v>MTX - India</v>
      </c>
    </row>
    <row r="13" spans="1:60" x14ac:dyDescent="0.25">
      <c r="A13" s="14">
        <v>46086.425798611112</v>
      </c>
      <c r="B13" s="14">
        <v>46086.654965277776</v>
      </c>
      <c r="C13" s="14">
        <v>46092.274965277778</v>
      </c>
      <c r="D13" s="14">
        <v>46092.504131944443</v>
      </c>
      <c r="E13" s="14">
        <v>46091.534155092595</v>
      </c>
      <c r="F13" s="14">
        <v>46092.504131944443</v>
      </c>
      <c r="G13" t="s">
        <v>470</v>
      </c>
      <c r="H13">
        <v>164</v>
      </c>
      <c r="I13">
        <v>1396.7666999999999</v>
      </c>
      <c r="J13" t="s">
        <v>104</v>
      </c>
      <c r="K13">
        <v>12826529</v>
      </c>
      <c r="L13" t="s">
        <v>1303</v>
      </c>
      <c r="M13" t="s">
        <v>109</v>
      </c>
      <c r="N13" t="s">
        <v>88</v>
      </c>
      <c r="O13" t="s">
        <v>105</v>
      </c>
      <c r="P13" t="s">
        <v>103</v>
      </c>
      <c r="Q13" t="s">
        <v>29</v>
      </c>
      <c r="R13" t="s">
        <v>25</v>
      </c>
      <c r="S13">
        <v>24.29</v>
      </c>
      <c r="T13">
        <v>100</v>
      </c>
      <c r="U13" t="s">
        <v>100</v>
      </c>
      <c r="V13">
        <v>1</v>
      </c>
      <c r="X13" t="s">
        <v>1261</v>
      </c>
      <c r="AA13">
        <v>360</v>
      </c>
      <c r="AB13" t="s">
        <v>26</v>
      </c>
      <c r="AC13">
        <v>95</v>
      </c>
      <c r="AD13" t="s">
        <v>27</v>
      </c>
      <c r="AE13" t="s">
        <v>28</v>
      </c>
      <c r="AF13">
        <v>0</v>
      </c>
      <c r="AK13" s="12">
        <f t="shared" si="0"/>
        <v>46092</v>
      </c>
      <c r="AL13" s="1" t="str">
        <f t="shared" si="1"/>
        <v>Week11</v>
      </c>
      <c r="AM13" s="1" t="s">
        <v>110</v>
      </c>
      <c r="AN13" s="1" t="str">
        <f t="shared" si="2"/>
        <v>Go</v>
      </c>
      <c r="AO13" s="2">
        <f t="shared" si="3"/>
        <v>100</v>
      </c>
      <c r="AP13" s="1">
        <f t="shared" si="4"/>
        <v>0</v>
      </c>
      <c r="AQ13" s="1">
        <f t="shared" si="5"/>
        <v>0</v>
      </c>
      <c r="AR13" s="1" t="s">
        <v>96</v>
      </c>
      <c r="AS13" s="1" t="s">
        <v>96</v>
      </c>
      <c r="AT13" s="1" t="s">
        <v>96</v>
      </c>
      <c r="AU13" s="1" t="str">
        <f t="shared" si="6"/>
        <v>Minor</v>
      </c>
      <c r="AV13" s="1" t="str">
        <f t="shared" si="7"/>
        <v>12826529Vijay Babu</v>
      </c>
      <c r="AW13" s="1" t="str">
        <f t="shared" si="8"/>
        <v>Minor</v>
      </c>
      <c r="AX13" s="1">
        <f t="shared" si="9"/>
        <v>0</v>
      </c>
      <c r="AY13" s="1" t="s">
        <v>29</v>
      </c>
      <c r="AZ13" s="1" t="b">
        <v>0</v>
      </c>
      <c r="BA13" s="1">
        <f t="shared" si="10"/>
        <v>1</v>
      </c>
      <c r="BB13" s="1">
        <f t="shared" si="11"/>
        <v>1</v>
      </c>
      <c r="BC13" s="1" t="s">
        <v>103</v>
      </c>
      <c r="BD13" s="1" t="s">
        <v>43</v>
      </c>
      <c r="BE13" s="1" t="s">
        <v>98</v>
      </c>
      <c r="BF13" s="1" t="b">
        <v>0</v>
      </c>
      <c r="BG13" s="1" t="str">
        <f>VLOOKUP(AM13,Group!$C:$H,5,0)</f>
        <v>AMC Group</v>
      </c>
      <c r="BH13" s="1" t="str">
        <f>VLOOKUP(P13,others!$C:$G,5,0)</f>
        <v>MTX - India</v>
      </c>
    </row>
    <row r="14" spans="1:60" x14ac:dyDescent="0.25">
      <c r="A14" s="14">
        <v>46086.579155092593</v>
      </c>
      <c r="B14" s="14">
        <v>46086.808321759258</v>
      </c>
      <c r="C14" s="14">
        <v>46092.304409722223</v>
      </c>
      <c r="D14" s="14">
        <v>46092.533576388887</v>
      </c>
      <c r="E14" s="14">
        <v>46091.507314814815</v>
      </c>
      <c r="F14" s="14">
        <v>46092.533576388887</v>
      </c>
      <c r="G14" t="s">
        <v>470</v>
      </c>
      <c r="H14">
        <v>4933</v>
      </c>
      <c r="I14">
        <v>1477.8167000000001</v>
      </c>
      <c r="J14" t="s">
        <v>104</v>
      </c>
      <c r="K14">
        <v>12826615</v>
      </c>
      <c r="L14" t="s">
        <v>1304</v>
      </c>
      <c r="M14" t="s">
        <v>116</v>
      </c>
      <c r="N14" t="s">
        <v>88</v>
      </c>
      <c r="O14" t="s">
        <v>105</v>
      </c>
      <c r="P14" t="s">
        <v>103</v>
      </c>
      <c r="Q14" t="s">
        <v>29</v>
      </c>
      <c r="R14" t="s">
        <v>25</v>
      </c>
      <c r="S14">
        <v>147.6</v>
      </c>
      <c r="T14">
        <v>99</v>
      </c>
      <c r="U14" t="s">
        <v>1244</v>
      </c>
      <c r="V14">
        <v>1</v>
      </c>
      <c r="X14" t="s">
        <v>1251</v>
      </c>
      <c r="AA14">
        <v>1440</v>
      </c>
      <c r="AB14" t="s">
        <v>26</v>
      </c>
      <c r="AC14">
        <v>817</v>
      </c>
      <c r="AD14" t="s">
        <v>27</v>
      </c>
      <c r="AE14" t="s">
        <v>28</v>
      </c>
      <c r="AF14">
        <v>1</v>
      </c>
      <c r="AK14" s="12">
        <f t="shared" si="0"/>
        <v>46092</v>
      </c>
      <c r="AL14" s="1" t="str">
        <f t="shared" si="1"/>
        <v>Week11</v>
      </c>
      <c r="AM14" s="1" t="s">
        <v>119</v>
      </c>
      <c r="AN14" s="1" t="str">
        <f t="shared" si="2"/>
        <v>Go</v>
      </c>
      <c r="AO14" s="2">
        <f t="shared" si="3"/>
        <v>99.322493224932245</v>
      </c>
      <c r="AP14" s="1">
        <f t="shared" si="4"/>
        <v>1</v>
      </c>
      <c r="AQ14" s="1">
        <f t="shared" si="5"/>
        <v>1</v>
      </c>
      <c r="AR14" s="1" t="s">
        <v>95</v>
      </c>
      <c r="AS14" s="1" t="s">
        <v>96</v>
      </c>
      <c r="AT14" s="1" t="s">
        <v>93</v>
      </c>
      <c r="AU14" s="1" t="str">
        <f t="shared" si="6"/>
        <v>Major</v>
      </c>
      <c r="AV14" s="1" t="str">
        <f t="shared" si="7"/>
        <v>12826615Vijay Babu</v>
      </c>
      <c r="AW14" s="1" t="str">
        <f t="shared" si="8"/>
        <v>Major</v>
      </c>
      <c r="AX14" s="1">
        <f t="shared" si="9"/>
        <v>1</v>
      </c>
      <c r="AY14" s="1" t="s">
        <v>29</v>
      </c>
      <c r="AZ14" s="1" t="b">
        <v>1</v>
      </c>
      <c r="BA14" s="1">
        <f t="shared" si="10"/>
        <v>1</v>
      </c>
      <c r="BB14" s="1">
        <f t="shared" si="11"/>
        <v>1</v>
      </c>
      <c r="BC14" s="1" t="s">
        <v>1108</v>
      </c>
      <c r="BD14" s="1" t="s">
        <v>1269</v>
      </c>
      <c r="BE14" s="1" t="s">
        <v>98</v>
      </c>
      <c r="BF14" s="1" t="b">
        <v>1</v>
      </c>
      <c r="BG14" s="1" t="str">
        <f>VLOOKUP(AM14,Group!$C:$H,5,0)</f>
        <v>Top 25</v>
      </c>
      <c r="BH14" s="1" t="str">
        <f>VLOOKUP(P14,others!$C:$G,5,0)</f>
        <v>MTX - India</v>
      </c>
    </row>
    <row r="15" spans="1:60" x14ac:dyDescent="0.25">
      <c r="A15" s="14">
        <v>46086.579155092593</v>
      </c>
      <c r="B15" s="14">
        <v>46086.808321759258</v>
      </c>
      <c r="C15" s="14">
        <v>46092.304409722223</v>
      </c>
      <c r="D15" s="14">
        <v>46092.533576388887</v>
      </c>
      <c r="E15" s="14">
        <v>46091.507314814815</v>
      </c>
      <c r="F15" s="14">
        <v>46092.533576388887</v>
      </c>
      <c r="G15" t="s">
        <v>470</v>
      </c>
      <c r="H15">
        <v>4933</v>
      </c>
      <c r="I15">
        <v>1477.8167000000001</v>
      </c>
      <c r="J15" t="s">
        <v>104</v>
      </c>
      <c r="K15">
        <v>12826615</v>
      </c>
      <c r="L15" t="s">
        <v>1304</v>
      </c>
      <c r="M15" t="s">
        <v>116</v>
      </c>
      <c r="N15" t="s">
        <v>88</v>
      </c>
      <c r="O15" t="s">
        <v>105</v>
      </c>
      <c r="P15" t="s">
        <v>103</v>
      </c>
      <c r="Q15" t="s">
        <v>29</v>
      </c>
      <c r="R15" t="s">
        <v>25</v>
      </c>
      <c r="S15">
        <v>147.6</v>
      </c>
      <c r="T15">
        <v>99</v>
      </c>
      <c r="U15" t="s">
        <v>100</v>
      </c>
      <c r="V15">
        <v>1</v>
      </c>
      <c r="X15" t="s">
        <v>1251</v>
      </c>
      <c r="AA15">
        <v>1440</v>
      </c>
      <c r="AB15" t="s">
        <v>26</v>
      </c>
      <c r="AC15">
        <v>817</v>
      </c>
      <c r="AD15" t="s">
        <v>27</v>
      </c>
      <c r="AE15" t="s">
        <v>28</v>
      </c>
      <c r="AF15">
        <v>1</v>
      </c>
      <c r="AK15" s="12">
        <f t="shared" si="0"/>
        <v>46092</v>
      </c>
      <c r="AL15" s="1" t="str">
        <f t="shared" si="1"/>
        <v>Week11</v>
      </c>
      <c r="AM15" s="1" t="s">
        <v>119</v>
      </c>
      <c r="AN15" s="1" t="str">
        <f t="shared" si="2"/>
        <v>Go</v>
      </c>
      <c r="AO15" s="2">
        <f t="shared" si="3"/>
        <v>99.322493224932245</v>
      </c>
      <c r="AP15" s="1">
        <f t="shared" si="4"/>
        <v>0</v>
      </c>
      <c r="AQ15" s="1">
        <f t="shared" si="5"/>
        <v>1</v>
      </c>
      <c r="AR15" s="1" t="s">
        <v>95</v>
      </c>
      <c r="AS15" s="1" t="s">
        <v>96</v>
      </c>
      <c r="AT15" s="1" t="s">
        <v>93</v>
      </c>
      <c r="AU15" s="1" t="str">
        <f t="shared" si="6"/>
        <v>Minor</v>
      </c>
      <c r="AV15" s="1" t="str">
        <f t="shared" si="7"/>
        <v>12826615Vijay Babu</v>
      </c>
      <c r="AW15" s="1" t="str">
        <f t="shared" si="8"/>
        <v>Minor</v>
      </c>
      <c r="AX15" s="1">
        <f t="shared" si="9"/>
        <v>0</v>
      </c>
      <c r="AY15" s="1" t="s">
        <v>29</v>
      </c>
      <c r="AZ15" s="1" t="b">
        <v>0</v>
      </c>
      <c r="BA15" s="1">
        <f t="shared" si="10"/>
        <v>1</v>
      </c>
      <c r="BB15" s="1">
        <f t="shared" si="11"/>
        <v>1</v>
      </c>
      <c r="BC15" s="1" t="s">
        <v>1108</v>
      </c>
      <c r="BD15" s="1" t="s">
        <v>1269</v>
      </c>
      <c r="BE15" s="1" t="s">
        <v>98</v>
      </c>
      <c r="BF15" s="1" t="b">
        <v>0</v>
      </c>
      <c r="BG15" s="1" t="str">
        <f>VLOOKUP(AM15,Group!$C:$H,5,0)</f>
        <v>Top 25</v>
      </c>
      <c r="BH15" s="1" t="str">
        <f>VLOOKUP(P15,others!$C:$G,5,0)</f>
        <v>MTX - India</v>
      </c>
    </row>
    <row r="16" spans="1:60" x14ac:dyDescent="0.25">
      <c r="A16" s="14">
        <v>46089.545428240737</v>
      </c>
      <c r="B16" s="14">
        <v>46089.774594907409</v>
      </c>
      <c r="C16" s="14">
        <v>46092.314189814817</v>
      </c>
      <c r="D16" s="14">
        <v>46092.543356481481</v>
      </c>
      <c r="E16" s="14">
        <v>46092.005393518521</v>
      </c>
      <c r="F16" s="14">
        <v>46092.543356481481</v>
      </c>
      <c r="G16" t="s">
        <v>470</v>
      </c>
      <c r="H16">
        <v>647</v>
      </c>
      <c r="I16">
        <v>774.66669999999999</v>
      </c>
      <c r="J16" t="s">
        <v>104</v>
      </c>
      <c r="K16">
        <v>12827217</v>
      </c>
      <c r="L16" t="s">
        <v>1305</v>
      </c>
      <c r="M16" t="s">
        <v>109</v>
      </c>
      <c r="N16" t="s">
        <v>88</v>
      </c>
      <c r="O16" t="s">
        <v>1300</v>
      </c>
      <c r="P16" t="s">
        <v>478</v>
      </c>
      <c r="Q16" t="s">
        <v>29</v>
      </c>
      <c r="R16" t="s">
        <v>25</v>
      </c>
      <c r="S16">
        <v>13.15</v>
      </c>
      <c r="T16">
        <v>100</v>
      </c>
      <c r="U16" t="s">
        <v>100</v>
      </c>
      <c r="V16">
        <v>2</v>
      </c>
      <c r="X16" t="s">
        <v>1306</v>
      </c>
      <c r="AA16">
        <v>1440</v>
      </c>
      <c r="AB16" t="s">
        <v>26</v>
      </c>
      <c r="AC16">
        <v>1054</v>
      </c>
      <c r="AD16" t="s">
        <v>27</v>
      </c>
      <c r="AE16" t="s">
        <v>28</v>
      </c>
      <c r="AF16">
        <v>0</v>
      </c>
      <c r="AK16" s="12">
        <f t="shared" si="0"/>
        <v>46092</v>
      </c>
      <c r="AL16" s="1" t="str">
        <f t="shared" si="1"/>
        <v>Week11</v>
      </c>
      <c r="AM16" s="1" t="s">
        <v>110</v>
      </c>
      <c r="AN16" s="1" t="str">
        <f t="shared" si="2"/>
        <v>Go</v>
      </c>
      <c r="AO16" s="2">
        <f t="shared" si="3"/>
        <v>100</v>
      </c>
      <c r="AP16" s="1">
        <f t="shared" si="4"/>
        <v>0</v>
      </c>
      <c r="AQ16" s="1">
        <f t="shared" si="5"/>
        <v>0</v>
      </c>
      <c r="AR16" s="1" t="s">
        <v>96</v>
      </c>
      <c r="AS16" s="1" t="s">
        <v>96</v>
      </c>
      <c r="AT16" s="1" t="s">
        <v>96</v>
      </c>
      <c r="AU16" s="1" t="str">
        <f t="shared" si="6"/>
        <v>Minor</v>
      </c>
      <c r="AV16" s="1" t="str">
        <f t="shared" si="7"/>
        <v>12827217Sandeep S</v>
      </c>
      <c r="AW16" s="1" t="str">
        <f t="shared" si="8"/>
        <v>Minor</v>
      </c>
      <c r="AX16" s="1">
        <f t="shared" si="9"/>
        <v>0</v>
      </c>
      <c r="AY16" s="1" t="s">
        <v>29</v>
      </c>
      <c r="AZ16" s="1" t="b">
        <v>0</v>
      </c>
      <c r="BA16" s="1">
        <f t="shared" si="10"/>
        <v>1</v>
      </c>
      <c r="BB16" s="1">
        <f t="shared" si="11"/>
        <v>2</v>
      </c>
      <c r="BC16" s="1" t="s">
        <v>478</v>
      </c>
      <c r="BD16" s="1" t="s">
        <v>43</v>
      </c>
      <c r="BE16" s="1" t="s">
        <v>98</v>
      </c>
      <c r="BF16" s="1" t="b">
        <v>0</v>
      </c>
      <c r="BG16" s="1" t="str">
        <f>VLOOKUP(AM16,Group!$C:$H,5,0)</f>
        <v>AMC Group</v>
      </c>
      <c r="BH16" s="1" t="str">
        <f>VLOOKUP(P16,others!$C:$G,5,0)</f>
        <v>MTX - India</v>
      </c>
    </row>
    <row r="17" spans="1:60" x14ac:dyDescent="0.25">
      <c r="A17" s="14">
        <v>46087.357291666667</v>
      </c>
      <c r="B17" s="14">
        <v>46087.586458333331</v>
      </c>
      <c r="C17" s="14">
        <v>46092.502152777779</v>
      </c>
      <c r="D17" s="14">
        <v>46092.731319444443</v>
      </c>
      <c r="E17" s="14">
        <v>46092.00577546296</v>
      </c>
      <c r="F17" s="14">
        <v>46092.731319444443</v>
      </c>
      <c r="G17" t="s">
        <v>470</v>
      </c>
      <c r="H17">
        <v>331</v>
      </c>
      <c r="I17">
        <v>1044.7833000000001</v>
      </c>
      <c r="J17" t="s">
        <v>104</v>
      </c>
      <c r="K17">
        <v>12826879</v>
      </c>
      <c r="L17" t="s">
        <v>1307</v>
      </c>
      <c r="M17" t="s">
        <v>162</v>
      </c>
      <c r="N17" t="s">
        <v>88</v>
      </c>
      <c r="O17" t="s">
        <v>105</v>
      </c>
      <c r="P17" t="s">
        <v>103</v>
      </c>
      <c r="Q17" t="s">
        <v>29</v>
      </c>
      <c r="R17" t="s">
        <v>25</v>
      </c>
      <c r="S17">
        <v>17.57</v>
      </c>
      <c r="T17">
        <v>100</v>
      </c>
      <c r="V17">
        <v>0</v>
      </c>
      <c r="X17" t="s">
        <v>1308</v>
      </c>
      <c r="AA17">
        <v>1440</v>
      </c>
      <c r="AB17" t="s">
        <v>26</v>
      </c>
      <c r="AC17">
        <v>132</v>
      </c>
      <c r="AD17" t="s">
        <v>27</v>
      </c>
      <c r="AE17" t="s">
        <v>28</v>
      </c>
      <c r="AF17">
        <v>0</v>
      </c>
      <c r="AK17" s="12">
        <f t="shared" si="0"/>
        <v>46092</v>
      </c>
      <c r="AL17" s="1" t="str">
        <f t="shared" si="1"/>
        <v>Week11</v>
      </c>
      <c r="AM17" s="1" t="s">
        <v>168</v>
      </c>
      <c r="AN17" s="1" t="str">
        <f t="shared" si="2"/>
        <v>Go</v>
      </c>
      <c r="AO17" s="2">
        <f t="shared" si="3"/>
        <v>100</v>
      </c>
      <c r="AP17" s="1">
        <f t="shared" si="4"/>
        <v>0</v>
      </c>
      <c r="AQ17" s="1">
        <f t="shared" si="5"/>
        <v>0</v>
      </c>
      <c r="AR17" s="1" t="s">
        <v>96</v>
      </c>
      <c r="AS17" s="1" t="s">
        <v>96</v>
      </c>
      <c r="AT17" s="1" t="s">
        <v>96</v>
      </c>
      <c r="AU17" s="1" t="str">
        <f t="shared" si="6"/>
        <v/>
      </c>
      <c r="AV17" s="1" t="str">
        <f t="shared" si="7"/>
        <v>12826879Vijay Babu</v>
      </c>
      <c r="AW17" s="1" t="str">
        <f t="shared" si="8"/>
        <v/>
      </c>
      <c r="AX17" s="1" t="str">
        <f t="shared" si="9"/>
        <v/>
      </c>
      <c r="AY17" s="1" t="s">
        <v>29</v>
      </c>
      <c r="AZ17" s="1" t="b">
        <v>0</v>
      </c>
      <c r="BA17" s="1" t="str">
        <f t="shared" si="10"/>
        <v/>
      </c>
      <c r="BB17" s="1">
        <f t="shared" si="11"/>
        <v>0</v>
      </c>
      <c r="BC17" s="1" t="s">
        <v>103</v>
      </c>
      <c r="BD17" s="1" t="s">
        <v>43</v>
      </c>
      <c r="BE17" s="1" t="s">
        <v>98</v>
      </c>
      <c r="BF17" s="1" t="b">
        <v>0</v>
      </c>
      <c r="BG17" s="1" t="str">
        <f>VLOOKUP(AM17,Group!$C:$H,5,0)</f>
        <v>Others</v>
      </c>
      <c r="BH17" s="1" t="str">
        <f>VLOOKUP(P17,others!$C:$G,5,0)</f>
        <v>MTX - India</v>
      </c>
    </row>
    <row r="18" spans="1:60" x14ac:dyDescent="0.25">
      <c r="A18" s="14">
        <v>46090.504814814813</v>
      </c>
      <c r="B18" s="14">
        <v>46090.733981481484</v>
      </c>
      <c r="C18" s="14">
        <v>46092.510150462964</v>
      </c>
      <c r="D18" s="14">
        <v>46092.739317129628</v>
      </c>
      <c r="E18" s="14">
        <v>46092.00613425926</v>
      </c>
      <c r="F18" s="14">
        <v>46092.739317129628</v>
      </c>
      <c r="G18" t="s">
        <v>470</v>
      </c>
      <c r="H18">
        <v>679</v>
      </c>
      <c r="I18">
        <v>1055.7833000000001</v>
      </c>
      <c r="J18" t="s">
        <v>104</v>
      </c>
      <c r="K18">
        <v>12827341</v>
      </c>
      <c r="L18" t="s">
        <v>1289</v>
      </c>
      <c r="M18" t="s">
        <v>121</v>
      </c>
      <c r="N18" t="s">
        <v>88</v>
      </c>
      <c r="O18" t="s">
        <v>105</v>
      </c>
      <c r="P18" t="s">
        <v>103</v>
      </c>
      <c r="Q18" t="s">
        <v>29</v>
      </c>
      <c r="R18" t="s">
        <v>25</v>
      </c>
      <c r="S18">
        <v>81.08</v>
      </c>
      <c r="T18">
        <v>99</v>
      </c>
      <c r="U18" t="s">
        <v>1243</v>
      </c>
      <c r="V18">
        <v>1</v>
      </c>
      <c r="X18" t="s">
        <v>1288</v>
      </c>
      <c r="AA18">
        <v>720</v>
      </c>
      <c r="AB18" t="s">
        <v>26</v>
      </c>
      <c r="AC18">
        <v>480</v>
      </c>
      <c r="AD18" t="s">
        <v>27</v>
      </c>
      <c r="AE18" t="s">
        <v>28</v>
      </c>
      <c r="AF18">
        <v>2</v>
      </c>
      <c r="AK18" s="12">
        <f t="shared" si="0"/>
        <v>46092</v>
      </c>
      <c r="AL18" s="1" t="str">
        <f t="shared" si="1"/>
        <v>Week11</v>
      </c>
      <c r="AM18" s="1" t="s">
        <v>122</v>
      </c>
      <c r="AN18" s="1" t="str">
        <f t="shared" si="2"/>
        <v>Go</v>
      </c>
      <c r="AO18" s="2">
        <f t="shared" si="3"/>
        <v>98.766650222002966</v>
      </c>
      <c r="AP18" s="1">
        <f t="shared" si="4"/>
        <v>1</v>
      </c>
      <c r="AQ18" s="1">
        <f t="shared" si="5"/>
        <v>1</v>
      </c>
      <c r="AR18" s="1" t="s">
        <v>96</v>
      </c>
      <c r="AS18" s="1" t="s">
        <v>96</v>
      </c>
      <c r="AT18" s="1" t="s">
        <v>96</v>
      </c>
      <c r="AU18" s="1" t="str">
        <f t="shared" si="6"/>
        <v>Major</v>
      </c>
      <c r="AV18" s="1" t="str">
        <f t="shared" si="7"/>
        <v>12827341Vijay Babu</v>
      </c>
      <c r="AW18" s="1" t="str">
        <f t="shared" si="8"/>
        <v>Major</v>
      </c>
      <c r="AX18" s="1">
        <f t="shared" si="9"/>
        <v>1</v>
      </c>
      <c r="AY18" s="1" t="s">
        <v>29</v>
      </c>
      <c r="AZ18" s="1" t="b">
        <v>0</v>
      </c>
      <c r="BA18" s="1">
        <f t="shared" si="10"/>
        <v>1</v>
      </c>
      <c r="BB18" s="1">
        <f t="shared" si="11"/>
        <v>1</v>
      </c>
      <c r="BC18" s="1" t="s">
        <v>103</v>
      </c>
      <c r="BD18" s="1" t="s">
        <v>43</v>
      </c>
      <c r="BE18" s="1" t="s">
        <v>98</v>
      </c>
      <c r="BF18" s="1" t="b">
        <v>0</v>
      </c>
      <c r="BG18" s="1" t="str">
        <f>VLOOKUP(AM18,Group!$C:$H,5,0)</f>
        <v>Top 25</v>
      </c>
      <c r="BH18" s="1" t="str">
        <f>VLOOKUP(P18,others!$C:$G,5,0)</f>
        <v>MTX - India</v>
      </c>
    </row>
    <row r="19" spans="1:60" x14ac:dyDescent="0.25">
      <c r="A19" s="14">
        <v>46088.51289351852</v>
      </c>
      <c r="B19" s="14">
        <v>46088.742060185185</v>
      </c>
      <c r="C19" s="14">
        <v>46092.518379629626</v>
      </c>
      <c r="D19" s="14">
        <v>46092.747546296298</v>
      </c>
      <c r="E19" s="14">
        <v>46092.005914351852</v>
      </c>
      <c r="F19" s="14">
        <v>46092.747546296298</v>
      </c>
      <c r="G19" t="s">
        <v>470</v>
      </c>
      <c r="H19">
        <v>114</v>
      </c>
      <c r="I19">
        <v>1067.95</v>
      </c>
      <c r="J19" t="s">
        <v>104</v>
      </c>
      <c r="K19">
        <v>12827152</v>
      </c>
      <c r="L19" t="s">
        <v>1305</v>
      </c>
      <c r="M19" t="s">
        <v>109</v>
      </c>
      <c r="N19" t="s">
        <v>88</v>
      </c>
      <c r="O19" t="s">
        <v>105</v>
      </c>
      <c r="P19" t="s">
        <v>103</v>
      </c>
      <c r="Q19" t="s">
        <v>29</v>
      </c>
      <c r="R19" t="s">
        <v>25</v>
      </c>
      <c r="S19">
        <v>18.260000000000002</v>
      </c>
      <c r="T19">
        <v>100</v>
      </c>
      <c r="V19">
        <v>0</v>
      </c>
      <c r="X19" t="s">
        <v>1309</v>
      </c>
      <c r="AA19">
        <v>360</v>
      </c>
      <c r="AB19" t="s">
        <v>26</v>
      </c>
      <c r="AC19">
        <v>75</v>
      </c>
      <c r="AD19" t="s">
        <v>27</v>
      </c>
      <c r="AE19" t="s">
        <v>28</v>
      </c>
      <c r="AF19">
        <v>0</v>
      </c>
      <c r="AK19" s="12">
        <f t="shared" si="0"/>
        <v>46092</v>
      </c>
      <c r="AL19" s="1" t="str">
        <f t="shared" si="1"/>
        <v>Week11</v>
      </c>
      <c r="AM19" s="1" t="s">
        <v>110</v>
      </c>
      <c r="AN19" s="1" t="str">
        <f t="shared" si="2"/>
        <v>Go</v>
      </c>
      <c r="AO19" s="2">
        <f t="shared" si="3"/>
        <v>100</v>
      </c>
      <c r="AP19" s="1">
        <f t="shared" si="4"/>
        <v>0</v>
      </c>
      <c r="AQ19" s="1">
        <f t="shared" si="5"/>
        <v>0</v>
      </c>
      <c r="AR19" s="1" t="s">
        <v>96</v>
      </c>
      <c r="AS19" s="1" t="s">
        <v>96</v>
      </c>
      <c r="AT19" s="1" t="s">
        <v>96</v>
      </c>
      <c r="AU19" s="1" t="str">
        <f t="shared" si="6"/>
        <v/>
      </c>
      <c r="AV19" s="1" t="str">
        <f t="shared" si="7"/>
        <v>12827152Vijay Babu</v>
      </c>
      <c r="AW19" s="1" t="str">
        <f t="shared" si="8"/>
        <v/>
      </c>
      <c r="AX19" s="1" t="str">
        <f t="shared" si="9"/>
        <v/>
      </c>
      <c r="AY19" s="1" t="s">
        <v>29</v>
      </c>
      <c r="AZ19" s="1" t="b">
        <v>0</v>
      </c>
      <c r="BA19" s="1" t="str">
        <f t="shared" si="10"/>
        <v/>
      </c>
      <c r="BB19" s="1">
        <f t="shared" si="11"/>
        <v>0</v>
      </c>
      <c r="BC19" s="1" t="s">
        <v>103</v>
      </c>
      <c r="BD19" s="1" t="s">
        <v>43</v>
      </c>
      <c r="BE19" s="1" t="s">
        <v>98</v>
      </c>
      <c r="BF19" s="1" t="b">
        <v>0</v>
      </c>
      <c r="BG19" s="1" t="str">
        <f>VLOOKUP(AM19,Group!$C:$H,5,0)</f>
        <v>AMC Group</v>
      </c>
      <c r="BH19" s="1" t="str">
        <f>VLOOKUP(P19,others!$C:$G,5,0)</f>
        <v>MTX - India</v>
      </c>
    </row>
    <row r="20" spans="1:60" x14ac:dyDescent="0.25">
      <c r="A20" s="14">
        <v>46090.693032407406</v>
      </c>
      <c r="B20" s="14">
        <v>46090.922199074077</v>
      </c>
      <c r="C20" s="14">
        <v>46092.526053240741</v>
      </c>
      <c r="D20" s="14">
        <v>46092.755219907405</v>
      </c>
      <c r="E20" s="14">
        <v>46092.006053240744</v>
      </c>
      <c r="F20" s="14">
        <v>46092.755219907405</v>
      </c>
      <c r="G20" t="s">
        <v>470</v>
      </c>
      <c r="H20">
        <v>947</v>
      </c>
      <c r="I20">
        <v>1078.8</v>
      </c>
      <c r="J20" t="s">
        <v>104</v>
      </c>
      <c r="K20">
        <v>12827412</v>
      </c>
      <c r="L20" t="s">
        <v>1290</v>
      </c>
      <c r="M20" t="s">
        <v>143</v>
      </c>
      <c r="N20" t="s">
        <v>97</v>
      </c>
      <c r="O20" t="s">
        <v>458</v>
      </c>
      <c r="P20" t="s">
        <v>459</v>
      </c>
      <c r="Q20" t="s">
        <v>29</v>
      </c>
      <c r="R20" t="s">
        <v>1241</v>
      </c>
      <c r="S20">
        <v>92.83</v>
      </c>
      <c r="T20">
        <v>98</v>
      </c>
      <c r="U20" t="s">
        <v>471</v>
      </c>
      <c r="V20">
        <v>1</v>
      </c>
      <c r="X20" t="s">
        <v>1270</v>
      </c>
      <c r="AA20">
        <v>360</v>
      </c>
      <c r="AB20" t="s">
        <v>26</v>
      </c>
      <c r="AC20">
        <v>556</v>
      </c>
      <c r="AD20" t="s">
        <v>27</v>
      </c>
      <c r="AE20" t="s">
        <v>28</v>
      </c>
      <c r="AF20">
        <v>0</v>
      </c>
      <c r="AK20" s="12">
        <f t="shared" si="0"/>
        <v>46092</v>
      </c>
      <c r="AL20" s="1" t="str">
        <f t="shared" si="1"/>
        <v>Week11</v>
      </c>
      <c r="AM20" s="1" t="s">
        <v>147</v>
      </c>
      <c r="AN20" s="1" t="str">
        <f t="shared" si="2"/>
        <v>NoGo</v>
      </c>
      <c r="AO20" s="2">
        <f t="shared" si="3"/>
        <v>97.845524076268447</v>
      </c>
      <c r="AP20" s="1">
        <f t="shared" si="4"/>
        <v>1</v>
      </c>
      <c r="AQ20" s="1">
        <f t="shared" si="5"/>
        <v>2</v>
      </c>
      <c r="AR20" s="1" t="s">
        <v>93</v>
      </c>
      <c r="AS20" s="1" t="s">
        <v>96</v>
      </c>
      <c r="AT20" s="1" t="s">
        <v>96</v>
      </c>
      <c r="AU20" s="1" t="str">
        <f t="shared" si="6"/>
        <v>Major</v>
      </c>
      <c r="AV20" s="1" t="str">
        <f t="shared" si="7"/>
        <v>12827412Usha M</v>
      </c>
      <c r="AW20" s="1" t="str">
        <f t="shared" si="8"/>
        <v>Major</v>
      </c>
      <c r="AX20" s="1">
        <f t="shared" si="9"/>
        <v>1</v>
      </c>
      <c r="AY20" s="1" t="s">
        <v>29</v>
      </c>
      <c r="AZ20" s="1" t="b">
        <v>1</v>
      </c>
      <c r="BA20" s="1">
        <f t="shared" si="10"/>
        <v>1</v>
      </c>
      <c r="BB20" s="1">
        <f t="shared" si="11"/>
        <v>1</v>
      </c>
      <c r="BC20" s="1" t="s">
        <v>459</v>
      </c>
      <c r="BD20" s="1" t="s">
        <v>43</v>
      </c>
      <c r="BE20" s="1" t="s">
        <v>98</v>
      </c>
      <c r="BF20" s="1" t="b">
        <v>1</v>
      </c>
      <c r="BG20" s="1" t="str">
        <f>VLOOKUP(AM20,Group!$C:$H,5,0)</f>
        <v>Others</v>
      </c>
      <c r="BH20" s="1" t="str">
        <f>VLOOKUP(P20,others!$C:$G,5,0)</f>
        <v>MTX - India</v>
      </c>
    </row>
    <row r="21" spans="1:60" x14ac:dyDescent="0.25">
      <c r="A21" s="14">
        <v>46090.693032407406</v>
      </c>
      <c r="B21" s="14">
        <v>46090.922199074077</v>
      </c>
      <c r="C21" s="14">
        <v>46092.526053240741</v>
      </c>
      <c r="D21" s="14">
        <v>46092.755219907405</v>
      </c>
      <c r="E21" s="14">
        <v>46092.006053240744</v>
      </c>
      <c r="F21" s="14">
        <v>46092.755219907405</v>
      </c>
      <c r="G21" t="s">
        <v>470</v>
      </c>
      <c r="H21">
        <v>947</v>
      </c>
      <c r="I21">
        <v>1078.8</v>
      </c>
      <c r="J21" t="s">
        <v>104</v>
      </c>
      <c r="K21">
        <v>12827412</v>
      </c>
      <c r="L21" t="s">
        <v>1290</v>
      </c>
      <c r="M21" t="s">
        <v>143</v>
      </c>
      <c r="N21" t="s">
        <v>97</v>
      </c>
      <c r="O21" t="s">
        <v>458</v>
      </c>
      <c r="P21" t="s">
        <v>459</v>
      </c>
      <c r="Q21" t="s">
        <v>29</v>
      </c>
      <c r="R21" t="s">
        <v>1241</v>
      </c>
      <c r="S21">
        <v>92.83</v>
      </c>
      <c r="T21">
        <v>98</v>
      </c>
      <c r="U21" t="s">
        <v>1255</v>
      </c>
      <c r="V21">
        <v>1</v>
      </c>
      <c r="X21" t="s">
        <v>1270</v>
      </c>
      <c r="AA21">
        <v>360</v>
      </c>
      <c r="AB21" t="s">
        <v>26</v>
      </c>
      <c r="AC21">
        <v>556</v>
      </c>
      <c r="AD21" t="s">
        <v>27</v>
      </c>
      <c r="AE21" t="s">
        <v>28</v>
      </c>
      <c r="AF21">
        <v>0</v>
      </c>
      <c r="AK21" s="12">
        <f t="shared" si="0"/>
        <v>46092</v>
      </c>
      <c r="AL21" s="1" t="str">
        <f t="shared" si="1"/>
        <v>Week11</v>
      </c>
      <c r="AM21" s="1" t="s">
        <v>147</v>
      </c>
      <c r="AN21" s="1" t="str">
        <f t="shared" si="2"/>
        <v>NoGo</v>
      </c>
      <c r="AO21" s="2">
        <f t="shared" si="3"/>
        <v>97.845524076268447</v>
      </c>
      <c r="AP21" s="1">
        <f t="shared" si="4"/>
        <v>1</v>
      </c>
      <c r="AQ21" s="1">
        <f t="shared" si="5"/>
        <v>2</v>
      </c>
      <c r="AR21" s="1" t="s">
        <v>93</v>
      </c>
      <c r="AS21" s="1" t="s">
        <v>96</v>
      </c>
      <c r="AT21" s="1" t="s">
        <v>96</v>
      </c>
      <c r="AU21" s="1" t="str">
        <f t="shared" si="6"/>
        <v>Major</v>
      </c>
      <c r="AV21" s="1" t="str">
        <f t="shared" si="7"/>
        <v>12827412Usha M</v>
      </c>
      <c r="AW21" s="1" t="str">
        <f t="shared" si="8"/>
        <v>Major</v>
      </c>
      <c r="AX21" s="1">
        <f t="shared" si="9"/>
        <v>1</v>
      </c>
      <c r="AY21" s="1" t="s">
        <v>29</v>
      </c>
      <c r="AZ21" s="1" t="b">
        <v>1</v>
      </c>
      <c r="BA21" s="1">
        <f t="shared" si="10"/>
        <v>1</v>
      </c>
      <c r="BB21" s="1">
        <f t="shared" si="11"/>
        <v>1</v>
      </c>
      <c r="BC21" s="1" t="s">
        <v>459</v>
      </c>
      <c r="BD21" s="1" t="s">
        <v>43</v>
      </c>
      <c r="BE21" s="1" t="s">
        <v>98</v>
      </c>
      <c r="BF21" s="1" t="b">
        <v>1</v>
      </c>
      <c r="BG21" s="1" t="str">
        <f>VLOOKUP(AM21,Group!$C:$H,5,0)</f>
        <v>Others</v>
      </c>
      <c r="BH21" s="1" t="str">
        <f>VLOOKUP(P21,others!$C:$G,5,0)</f>
        <v>MTX - India</v>
      </c>
    </row>
    <row r="22" spans="1:60" x14ac:dyDescent="0.25">
      <c r="A22" s="14">
        <v>46090.693032407406</v>
      </c>
      <c r="B22" s="14">
        <v>46090.922199074077</v>
      </c>
      <c r="C22" s="14">
        <v>46092.526053240741</v>
      </c>
      <c r="D22" s="14">
        <v>46092.755219907405</v>
      </c>
      <c r="E22" s="14">
        <v>46092.006053240744</v>
      </c>
      <c r="F22" s="14">
        <v>46092.755219907405</v>
      </c>
      <c r="G22" t="s">
        <v>470</v>
      </c>
      <c r="H22">
        <v>947</v>
      </c>
      <c r="I22">
        <v>1078.8</v>
      </c>
      <c r="J22" t="s">
        <v>104</v>
      </c>
      <c r="K22">
        <v>12827412</v>
      </c>
      <c r="L22" t="s">
        <v>1290</v>
      </c>
      <c r="M22" t="s">
        <v>143</v>
      </c>
      <c r="N22" t="s">
        <v>97</v>
      </c>
      <c r="O22" t="s">
        <v>458</v>
      </c>
      <c r="P22" t="s">
        <v>459</v>
      </c>
      <c r="Q22" t="s">
        <v>29</v>
      </c>
      <c r="R22" t="s">
        <v>1241</v>
      </c>
      <c r="S22">
        <v>92.83</v>
      </c>
      <c r="T22">
        <v>98</v>
      </c>
      <c r="U22" t="s">
        <v>100</v>
      </c>
      <c r="V22">
        <v>2</v>
      </c>
      <c r="X22" t="s">
        <v>1270</v>
      </c>
      <c r="AA22">
        <v>360</v>
      </c>
      <c r="AB22" t="s">
        <v>26</v>
      </c>
      <c r="AC22">
        <v>556</v>
      </c>
      <c r="AD22" t="s">
        <v>27</v>
      </c>
      <c r="AE22" t="s">
        <v>28</v>
      </c>
      <c r="AF22">
        <v>0</v>
      </c>
      <c r="AK22" s="12">
        <f t="shared" si="0"/>
        <v>46092</v>
      </c>
      <c r="AL22" s="1" t="str">
        <f t="shared" si="1"/>
        <v>Week11</v>
      </c>
      <c r="AM22" s="1" t="s">
        <v>147</v>
      </c>
      <c r="AN22" s="1" t="str">
        <f t="shared" si="2"/>
        <v>NoGo</v>
      </c>
      <c r="AO22" s="2">
        <f t="shared" si="3"/>
        <v>97.845524076268447</v>
      </c>
      <c r="AP22" s="1">
        <f t="shared" si="4"/>
        <v>0</v>
      </c>
      <c r="AQ22" s="1">
        <f t="shared" si="5"/>
        <v>2</v>
      </c>
      <c r="AR22" s="1" t="s">
        <v>93</v>
      </c>
      <c r="AS22" s="1" t="s">
        <v>96</v>
      </c>
      <c r="AT22" s="1" t="s">
        <v>96</v>
      </c>
      <c r="AU22" s="1" t="str">
        <f t="shared" si="6"/>
        <v>Minor</v>
      </c>
      <c r="AV22" s="1" t="str">
        <f t="shared" si="7"/>
        <v>12827412Usha M</v>
      </c>
      <c r="AW22" s="1" t="str">
        <f t="shared" si="8"/>
        <v>Minor</v>
      </c>
      <c r="AX22" s="1">
        <f t="shared" si="9"/>
        <v>0</v>
      </c>
      <c r="AY22" s="1" t="s">
        <v>29</v>
      </c>
      <c r="AZ22" s="1" t="b">
        <v>0</v>
      </c>
      <c r="BA22" s="1">
        <f t="shared" si="10"/>
        <v>1</v>
      </c>
      <c r="BB22" s="1">
        <f t="shared" si="11"/>
        <v>2</v>
      </c>
      <c r="BC22" s="1" t="s">
        <v>459</v>
      </c>
      <c r="BD22" s="1" t="s">
        <v>43</v>
      </c>
      <c r="BE22" s="1" t="s">
        <v>98</v>
      </c>
      <c r="BF22" s="1" t="b">
        <v>0</v>
      </c>
      <c r="BG22" s="1" t="str">
        <f>VLOOKUP(AM22,Group!$C:$H,5,0)</f>
        <v>Others</v>
      </c>
      <c r="BH22" s="1" t="str">
        <f>VLOOKUP(P22,others!$C:$G,5,0)</f>
        <v>MTX - India</v>
      </c>
    </row>
    <row r="23" spans="1:60" x14ac:dyDescent="0.25">
      <c r="A23" s="14">
        <v>46084.279756944445</v>
      </c>
      <c r="B23" s="14">
        <v>46084.508923611109</v>
      </c>
      <c r="C23" s="14">
        <v>46092.534571759257</v>
      </c>
      <c r="D23" s="14">
        <v>46092.763738425929</v>
      </c>
      <c r="E23" s="14">
        <v>46092.005567129629</v>
      </c>
      <c r="F23" s="14">
        <v>46092.763738425929</v>
      </c>
      <c r="G23" t="s">
        <v>470</v>
      </c>
      <c r="H23">
        <v>2949</v>
      </c>
      <c r="I23">
        <v>1091.7666999999999</v>
      </c>
      <c r="J23" t="s">
        <v>104</v>
      </c>
      <c r="K23">
        <v>12825697</v>
      </c>
      <c r="L23" t="s">
        <v>1280</v>
      </c>
      <c r="M23" t="s">
        <v>121</v>
      </c>
      <c r="N23" t="s">
        <v>88</v>
      </c>
      <c r="O23" t="s">
        <v>458</v>
      </c>
      <c r="P23" t="s">
        <v>459</v>
      </c>
      <c r="Q23" t="s">
        <v>29</v>
      </c>
      <c r="R23" t="s">
        <v>25</v>
      </c>
      <c r="S23">
        <v>71.63</v>
      </c>
      <c r="T23">
        <v>100</v>
      </c>
      <c r="U23" t="s">
        <v>100</v>
      </c>
      <c r="V23">
        <v>3</v>
      </c>
      <c r="X23" t="s">
        <v>1256</v>
      </c>
      <c r="AA23">
        <v>120</v>
      </c>
      <c r="AB23" t="s">
        <v>26</v>
      </c>
      <c r="AC23">
        <v>417</v>
      </c>
      <c r="AD23" t="s">
        <v>1310</v>
      </c>
      <c r="AE23" t="s">
        <v>1250</v>
      </c>
      <c r="AF23">
        <v>0</v>
      </c>
      <c r="AK23" s="12">
        <f t="shared" si="0"/>
        <v>46092</v>
      </c>
      <c r="AL23" s="1" t="str">
        <f t="shared" si="1"/>
        <v>Week11</v>
      </c>
      <c r="AM23" s="1" t="s">
        <v>122</v>
      </c>
      <c r="AN23" s="1" t="str">
        <f t="shared" si="2"/>
        <v>Go</v>
      </c>
      <c r="AO23" s="2">
        <f t="shared" si="3"/>
        <v>100</v>
      </c>
      <c r="AP23" s="1">
        <f t="shared" si="4"/>
        <v>0</v>
      </c>
      <c r="AQ23" s="1">
        <f t="shared" si="5"/>
        <v>0</v>
      </c>
      <c r="AR23" s="1" t="s">
        <v>96</v>
      </c>
      <c r="AS23" s="1" t="s">
        <v>96</v>
      </c>
      <c r="AT23" s="1" t="s">
        <v>96</v>
      </c>
      <c r="AU23" s="1" t="str">
        <f t="shared" si="6"/>
        <v>Minor</v>
      </c>
      <c r="AV23" s="1" t="str">
        <f t="shared" si="7"/>
        <v>12825697Usha M</v>
      </c>
      <c r="AW23" s="1" t="str">
        <f t="shared" si="8"/>
        <v>Minor</v>
      </c>
      <c r="AX23" s="1">
        <f t="shared" si="9"/>
        <v>0</v>
      </c>
      <c r="AY23" s="1" t="s">
        <v>29</v>
      </c>
      <c r="AZ23" s="1" t="b">
        <v>0</v>
      </c>
      <c r="BA23" s="1">
        <f t="shared" si="10"/>
        <v>1</v>
      </c>
      <c r="BB23" s="1">
        <f t="shared" si="11"/>
        <v>3</v>
      </c>
      <c r="BC23" s="1" t="s">
        <v>459</v>
      </c>
      <c r="BD23" s="1" t="s">
        <v>43</v>
      </c>
      <c r="BE23" s="1" t="s">
        <v>98</v>
      </c>
      <c r="BF23" s="1" t="b">
        <v>0</v>
      </c>
      <c r="BG23" s="1" t="str">
        <f>VLOOKUP(AM23,Group!$C:$H,5,0)</f>
        <v>Top 25</v>
      </c>
      <c r="BH23" s="1" t="str">
        <f>VLOOKUP(P23,others!$C:$G,5,0)</f>
        <v>MTX - India</v>
      </c>
    </row>
    <row r="24" spans="1:60" x14ac:dyDescent="0.25">
      <c r="A24" s="14">
        <v>46089.631076388891</v>
      </c>
      <c r="B24" s="14">
        <v>46089.860243055555</v>
      </c>
      <c r="C24" s="14">
        <v>46092.537847222222</v>
      </c>
      <c r="D24" s="14">
        <v>46092.767013888886</v>
      </c>
      <c r="E24" s="14">
        <v>46092.006550925929</v>
      </c>
      <c r="F24" s="14">
        <v>46092.767013888886</v>
      </c>
      <c r="G24" t="s">
        <v>470</v>
      </c>
      <c r="H24">
        <v>261</v>
      </c>
      <c r="I24">
        <v>1095.0667000000001</v>
      </c>
      <c r="J24" t="s">
        <v>104</v>
      </c>
      <c r="K24">
        <v>12827219</v>
      </c>
      <c r="L24" t="s">
        <v>1311</v>
      </c>
      <c r="M24" t="s">
        <v>121</v>
      </c>
      <c r="N24" t="s">
        <v>88</v>
      </c>
      <c r="O24" t="s">
        <v>458</v>
      </c>
      <c r="P24" t="s">
        <v>459</v>
      </c>
      <c r="Q24" t="s">
        <v>29</v>
      </c>
      <c r="R24" t="s">
        <v>25</v>
      </c>
      <c r="S24">
        <v>17.57</v>
      </c>
      <c r="T24">
        <v>100</v>
      </c>
      <c r="V24">
        <v>0</v>
      </c>
      <c r="X24" t="s">
        <v>1288</v>
      </c>
      <c r="AA24">
        <v>120</v>
      </c>
      <c r="AB24" t="s">
        <v>26</v>
      </c>
      <c r="AC24">
        <v>388</v>
      </c>
      <c r="AD24" t="s">
        <v>1310</v>
      </c>
      <c r="AE24" t="s">
        <v>1250</v>
      </c>
      <c r="AF24">
        <v>0</v>
      </c>
      <c r="AK24" s="12">
        <f t="shared" si="0"/>
        <v>46092</v>
      </c>
      <c r="AL24" s="1" t="str">
        <f t="shared" si="1"/>
        <v>Week11</v>
      </c>
      <c r="AM24" s="1" t="s">
        <v>122</v>
      </c>
      <c r="AN24" s="1" t="str">
        <f t="shared" si="2"/>
        <v>Go</v>
      </c>
      <c r="AO24" s="2">
        <f t="shared" si="3"/>
        <v>100</v>
      </c>
      <c r="AP24" s="1">
        <f t="shared" si="4"/>
        <v>0</v>
      </c>
      <c r="AQ24" s="1">
        <f t="shared" si="5"/>
        <v>0</v>
      </c>
      <c r="AR24" s="1" t="s">
        <v>96</v>
      </c>
      <c r="AS24" s="1" t="s">
        <v>96</v>
      </c>
      <c r="AT24" s="1" t="s">
        <v>96</v>
      </c>
      <c r="AU24" s="1" t="str">
        <f t="shared" si="6"/>
        <v/>
      </c>
      <c r="AV24" s="1" t="str">
        <f t="shared" si="7"/>
        <v>12827219Usha M</v>
      </c>
      <c r="AW24" s="1" t="str">
        <f t="shared" si="8"/>
        <v/>
      </c>
      <c r="AX24" s="1" t="str">
        <f t="shared" si="9"/>
        <v/>
      </c>
      <c r="AY24" s="1" t="s">
        <v>29</v>
      </c>
      <c r="AZ24" s="1" t="b">
        <v>0</v>
      </c>
      <c r="BA24" s="1" t="str">
        <f t="shared" si="10"/>
        <v/>
      </c>
      <c r="BB24" s="1">
        <f t="shared" si="11"/>
        <v>0</v>
      </c>
      <c r="BC24" s="1" t="s">
        <v>459</v>
      </c>
      <c r="BD24" s="1" t="s">
        <v>43</v>
      </c>
      <c r="BE24" s="1" t="s">
        <v>98</v>
      </c>
      <c r="BF24" s="1" t="b">
        <v>0</v>
      </c>
      <c r="BG24" s="1" t="str">
        <f>VLOOKUP(AM24,Group!$C:$H,5,0)</f>
        <v>Top 25</v>
      </c>
      <c r="BH24" s="1" t="str">
        <f>VLOOKUP(P24,others!$C:$G,5,0)</f>
        <v>MTX - India</v>
      </c>
    </row>
    <row r="25" spans="1:60" x14ac:dyDescent="0.25">
      <c r="A25" s="14">
        <v>46089.637395833335</v>
      </c>
      <c r="B25" s="14">
        <v>46089.866562499999</v>
      </c>
      <c r="C25" s="14">
        <v>46092.543634259258</v>
      </c>
      <c r="D25" s="14">
        <v>46092.772800925923</v>
      </c>
      <c r="E25" s="14">
        <v>46092.006678240738</v>
      </c>
      <c r="F25" s="14">
        <v>46092.772800925923</v>
      </c>
      <c r="G25" t="s">
        <v>470</v>
      </c>
      <c r="H25">
        <v>472</v>
      </c>
      <c r="I25">
        <v>1103.2166999999999</v>
      </c>
      <c r="J25" t="s">
        <v>104</v>
      </c>
      <c r="K25">
        <v>12827221</v>
      </c>
      <c r="L25" t="s">
        <v>1311</v>
      </c>
      <c r="M25" t="s">
        <v>121</v>
      </c>
      <c r="N25" t="s">
        <v>88</v>
      </c>
      <c r="O25" t="s">
        <v>458</v>
      </c>
      <c r="P25" t="s">
        <v>459</v>
      </c>
      <c r="Q25" t="s">
        <v>29</v>
      </c>
      <c r="R25" t="s">
        <v>25</v>
      </c>
      <c r="S25">
        <v>11.94</v>
      </c>
      <c r="T25">
        <v>100</v>
      </c>
      <c r="V25">
        <v>0</v>
      </c>
      <c r="X25" t="s">
        <v>1312</v>
      </c>
      <c r="AA25">
        <v>120</v>
      </c>
      <c r="AB25" t="s">
        <v>26</v>
      </c>
      <c r="AC25">
        <v>323</v>
      </c>
      <c r="AD25" t="s">
        <v>1310</v>
      </c>
      <c r="AE25" t="s">
        <v>1250</v>
      </c>
      <c r="AF25">
        <v>0</v>
      </c>
      <c r="AK25" s="12">
        <f t="shared" si="0"/>
        <v>46092</v>
      </c>
      <c r="AL25" s="1" t="str">
        <f t="shared" si="1"/>
        <v>Week11</v>
      </c>
      <c r="AM25" s="1" t="s">
        <v>122</v>
      </c>
      <c r="AN25" s="1" t="str">
        <f t="shared" si="2"/>
        <v>Go</v>
      </c>
      <c r="AO25" s="2">
        <f t="shared" si="3"/>
        <v>100</v>
      </c>
      <c r="AP25" s="1">
        <f t="shared" si="4"/>
        <v>0</v>
      </c>
      <c r="AQ25" s="1">
        <f t="shared" si="5"/>
        <v>0</v>
      </c>
      <c r="AR25" s="1" t="s">
        <v>96</v>
      </c>
      <c r="AS25" s="1" t="s">
        <v>96</v>
      </c>
      <c r="AT25" s="1" t="s">
        <v>96</v>
      </c>
      <c r="AU25" s="1" t="str">
        <f t="shared" si="6"/>
        <v/>
      </c>
      <c r="AV25" s="1" t="str">
        <f t="shared" si="7"/>
        <v>12827221Usha M</v>
      </c>
      <c r="AW25" s="1" t="str">
        <f t="shared" si="8"/>
        <v/>
      </c>
      <c r="AX25" s="1" t="str">
        <f t="shared" si="9"/>
        <v/>
      </c>
      <c r="AY25" s="1" t="s">
        <v>29</v>
      </c>
      <c r="AZ25" s="1" t="b">
        <v>0</v>
      </c>
      <c r="BA25" s="1" t="str">
        <f t="shared" si="10"/>
        <v/>
      </c>
      <c r="BB25" s="1">
        <f t="shared" si="11"/>
        <v>0</v>
      </c>
      <c r="BC25" s="1" t="s">
        <v>459</v>
      </c>
      <c r="BD25" s="1" t="s">
        <v>43</v>
      </c>
      <c r="BE25" s="1" t="s">
        <v>98</v>
      </c>
      <c r="BF25" s="1" t="b">
        <v>0</v>
      </c>
      <c r="BG25" s="1" t="str">
        <f>VLOOKUP(AM25,Group!$C:$H,5,0)</f>
        <v>Top 25</v>
      </c>
      <c r="BH25" s="1" t="str">
        <f>VLOOKUP(P25,others!$C:$G,5,0)</f>
        <v>MTX - India</v>
      </c>
    </row>
    <row r="26" spans="1:60" x14ac:dyDescent="0.25">
      <c r="A26" s="14">
        <v>46089.64162037037</v>
      </c>
      <c r="B26" s="14">
        <v>46089.870787037034</v>
      </c>
      <c r="C26" s="14">
        <v>46092.547094907408</v>
      </c>
      <c r="D26" s="14">
        <v>46092.776261574072</v>
      </c>
      <c r="E26" s="14">
        <v>46092.006620370368</v>
      </c>
      <c r="F26" s="14">
        <v>46092.776261574072</v>
      </c>
      <c r="G26" t="s">
        <v>470</v>
      </c>
      <c r="H26">
        <v>271</v>
      </c>
      <c r="I26">
        <v>1108.2833000000001</v>
      </c>
      <c r="J26" t="s">
        <v>104</v>
      </c>
      <c r="K26">
        <v>12827222</v>
      </c>
      <c r="L26" t="s">
        <v>1311</v>
      </c>
      <c r="M26" t="s">
        <v>121</v>
      </c>
      <c r="N26" t="s">
        <v>88</v>
      </c>
      <c r="O26" t="s">
        <v>1300</v>
      </c>
      <c r="P26" t="s">
        <v>478</v>
      </c>
      <c r="Q26" t="s">
        <v>29</v>
      </c>
      <c r="R26" t="s">
        <v>25</v>
      </c>
      <c r="S26">
        <v>10.94</v>
      </c>
      <c r="T26">
        <v>100</v>
      </c>
      <c r="V26">
        <v>0</v>
      </c>
      <c r="X26" t="s">
        <v>1312</v>
      </c>
      <c r="AA26">
        <v>120</v>
      </c>
      <c r="AB26" t="s">
        <v>26</v>
      </c>
      <c r="AC26">
        <v>262</v>
      </c>
      <c r="AD26" t="s">
        <v>1310</v>
      </c>
      <c r="AE26" t="s">
        <v>1250</v>
      </c>
      <c r="AF26">
        <v>0</v>
      </c>
      <c r="AK26" s="12">
        <f t="shared" si="0"/>
        <v>46092</v>
      </c>
      <c r="AL26" s="1" t="str">
        <f t="shared" si="1"/>
        <v>Week11</v>
      </c>
      <c r="AM26" s="1" t="s">
        <v>122</v>
      </c>
      <c r="AN26" s="1" t="str">
        <f t="shared" si="2"/>
        <v>Go</v>
      </c>
      <c r="AO26" s="2">
        <f t="shared" si="3"/>
        <v>100</v>
      </c>
      <c r="AP26" s="1">
        <f t="shared" si="4"/>
        <v>0</v>
      </c>
      <c r="AQ26" s="1">
        <f t="shared" si="5"/>
        <v>0</v>
      </c>
      <c r="AR26" s="1" t="s">
        <v>96</v>
      </c>
      <c r="AS26" s="1" t="s">
        <v>96</v>
      </c>
      <c r="AT26" s="1" t="s">
        <v>96</v>
      </c>
      <c r="AU26" s="1" t="str">
        <f t="shared" si="6"/>
        <v/>
      </c>
      <c r="AV26" s="1" t="str">
        <f t="shared" si="7"/>
        <v>12827222Sandeep S</v>
      </c>
      <c r="AW26" s="1" t="str">
        <f t="shared" si="8"/>
        <v/>
      </c>
      <c r="AX26" s="1" t="str">
        <f t="shared" si="9"/>
        <v/>
      </c>
      <c r="AY26" s="1" t="s">
        <v>29</v>
      </c>
      <c r="AZ26" s="1" t="b">
        <v>0</v>
      </c>
      <c r="BA26" s="1" t="str">
        <f t="shared" si="10"/>
        <v/>
      </c>
      <c r="BB26" s="1">
        <f t="shared" si="11"/>
        <v>0</v>
      </c>
      <c r="BC26" s="1" t="s">
        <v>478</v>
      </c>
      <c r="BD26" s="1" t="s">
        <v>43</v>
      </c>
      <c r="BE26" s="1" t="s">
        <v>98</v>
      </c>
      <c r="BF26" s="1" t="b">
        <v>0</v>
      </c>
      <c r="BG26" s="1" t="str">
        <f>VLOOKUP(AM26,Group!$C:$H,5,0)</f>
        <v>Top 25</v>
      </c>
      <c r="BH26" s="1" t="str">
        <f>VLOOKUP(P26,others!$C:$G,5,0)</f>
        <v>MTX - India</v>
      </c>
    </row>
    <row r="27" spans="1:60" x14ac:dyDescent="0.25">
      <c r="A27" s="14">
        <v>46090.749768518515</v>
      </c>
      <c r="B27" s="14">
        <v>46090.978935185187</v>
      </c>
      <c r="C27" s="14">
        <v>46092.552905092591</v>
      </c>
      <c r="D27" s="14">
        <v>46092.782071759262</v>
      </c>
      <c r="E27" s="14">
        <v>46092.007175925923</v>
      </c>
      <c r="F27" s="14">
        <v>46092.782071759262</v>
      </c>
      <c r="G27" t="s">
        <v>470</v>
      </c>
      <c r="H27">
        <v>461</v>
      </c>
      <c r="I27">
        <v>1115.8499999999999</v>
      </c>
      <c r="J27" t="s">
        <v>104</v>
      </c>
      <c r="K27">
        <v>12827439</v>
      </c>
      <c r="L27" t="s">
        <v>1313</v>
      </c>
      <c r="M27" t="s">
        <v>162</v>
      </c>
      <c r="N27" t="s">
        <v>88</v>
      </c>
      <c r="O27" t="s">
        <v>1300</v>
      </c>
      <c r="P27" t="s">
        <v>478</v>
      </c>
      <c r="Q27" t="s">
        <v>29</v>
      </c>
      <c r="R27" t="s">
        <v>25</v>
      </c>
      <c r="S27">
        <v>19.170000000000002</v>
      </c>
      <c r="T27">
        <v>100</v>
      </c>
      <c r="V27">
        <v>0</v>
      </c>
      <c r="X27" t="s">
        <v>1314</v>
      </c>
      <c r="AA27">
        <v>1440</v>
      </c>
      <c r="AB27" t="s">
        <v>26</v>
      </c>
      <c r="AC27">
        <v>128</v>
      </c>
      <c r="AD27" t="s">
        <v>27</v>
      </c>
      <c r="AE27" t="s">
        <v>28</v>
      </c>
      <c r="AF27">
        <v>0</v>
      </c>
      <c r="AK27" s="12">
        <f t="shared" si="0"/>
        <v>46092</v>
      </c>
      <c r="AL27" s="1" t="str">
        <f t="shared" si="1"/>
        <v>Week11</v>
      </c>
      <c r="AM27" s="1" t="s">
        <v>168</v>
      </c>
      <c r="AN27" s="1" t="str">
        <f t="shared" si="2"/>
        <v>Go</v>
      </c>
      <c r="AO27" s="2">
        <f t="shared" si="3"/>
        <v>100</v>
      </c>
      <c r="AP27" s="1">
        <f t="shared" si="4"/>
        <v>0</v>
      </c>
      <c r="AQ27" s="1">
        <f t="shared" si="5"/>
        <v>0</v>
      </c>
      <c r="AR27" s="1" t="s">
        <v>96</v>
      </c>
      <c r="AS27" s="1" t="s">
        <v>96</v>
      </c>
      <c r="AT27" s="1" t="s">
        <v>96</v>
      </c>
      <c r="AU27" s="1" t="str">
        <f t="shared" si="6"/>
        <v/>
      </c>
      <c r="AV27" s="1" t="str">
        <f t="shared" si="7"/>
        <v>12827439Sandeep S</v>
      </c>
      <c r="AW27" s="1" t="str">
        <f t="shared" si="8"/>
        <v/>
      </c>
      <c r="AX27" s="1" t="str">
        <f t="shared" si="9"/>
        <v/>
      </c>
      <c r="AY27" s="1" t="s">
        <v>29</v>
      </c>
      <c r="AZ27" s="1" t="b">
        <v>0</v>
      </c>
      <c r="BA27" s="1" t="str">
        <f t="shared" si="10"/>
        <v/>
      </c>
      <c r="BB27" s="1">
        <f t="shared" si="11"/>
        <v>0</v>
      </c>
      <c r="BC27" s="1" t="s">
        <v>478</v>
      </c>
      <c r="BD27" s="1" t="s">
        <v>43</v>
      </c>
      <c r="BE27" s="1" t="s">
        <v>98</v>
      </c>
      <c r="BF27" s="1" t="b">
        <v>0</v>
      </c>
      <c r="BG27" s="1" t="str">
        <f>VLOOKUP(AM27,Group!$C:$H,5,0)</f>
        <v>Others</v>
      </c>
      <c r="BH27" s="1" t="str">
        <f>VLOOKUP(P27,others!$C:$G,5,0)</f>
        <v>MTX - India</v>
      </c>
    </row>
    <row r="28" spans="1:60" x14ac:dyDescent="0.25">
      <c r="A28" s="14">
        <v>46092.545393518521</v>
      </c>
      <c r="B28" s="14">
        <v>46092.774560185186</v>
      </c>
      <c r="C28" s="14">
        <v>46093.276076388887</v>
      </c>
      <c r="D28" s="14">
        <v>46093.505243055559</v>
      </c>
      <c r="E28" s="14">
        <v>46093.413206018522</v>
      </c>
      <c r="F28" s="14">
        <v>46093.505243055559</v>
      </c>
      <c r="G28" t="s">
        <v>470</v>
      </c>
      <c r="H28">
        <v>632</v>
      </c>
      <c r="I28">
        <v>132.5333</v>
      </c>
      <c r="J28" t="s">
        <v>104</v>
      </c>
      <c r="K28">
        <v>12828088</v>
      </c>
      <c r="L28" t="s">
        <v>1277</v>
      </c>
      <c r="M28" t="s">
        <v>109</v>
      </c>
      <c r="N28" t="s">
        <v>88</v>
      </c>
      <c r="O28" t="s">
        <v>105</v>
      </c>
      <c r="P28" t="s">
        <v>103</v>
      </c>
      <c r="Q28" t="s">
        <v>29</v>
      </c>
      <c r="R28" t="s">
        <v>25</v>
      </c>
      <c r="S28">
        <v>42.2</v>
      </c>
      <c r="T28">
        <v>99</v>
      </c>
      <c r="U28" t="s">
        <v>1244</v>
      </c>
      <c r="V28">
        <v>1</v>
      </c>
      <c r="X28" t="s">
        <v>1278</v>
      </c>
      <c r="AA28">
        <v>1440</v>
      </c>
      <c r="AB28" t="s">
        <v>26</v>
      </c>
      <c r="AC28">
        <v>610</v>
      </c>
      <c r="AD28" t="s">
        <v>27</v>
      </c>
      <c r="AE28" t="s">
        <v>28</v>
      </c>
      <c r="AF28">
        <v>0</v>
      </c>
      <c r="AK28" s="12">
        <f t="shared" si="0"/>
        <v>46093</v>
      </c>
      <c r="AL28" s="1" t="str">
        <f t="shared" si="1"/>
        <v>Week11</v>
      </c>
      <c r="AM28" s="1" t="s">
        <v>110</v>
      </c>
      <c r="AN28" s="1" t="str">
        <f t="shared" si="2"/>
        <v>NoGo</v>
      </c>
      <c r="AO28" s="2">
        <f t="shared" si="3"/>
        <v>97.630331753554501</v>
      </c>
      <c r="AP28" s="1">
        <f t="shared" si="4"/>
        <v>1</v>
      </c>
      <c r="AQ28" s="1">
        <f t="shared" si="5"/>
        <v>1</v>
      </c>
      <c r="AR28" s="1" t="s">
        <v>96</v>
      </c>
      <c r="AS28" s="1" t="s">
        <v>96</v>
      </c>
      <c r="AT28" s="1" t="s">
        <v>96</v>
      </c>
      <c r="AU28" s="1" t="str">
        <f t="shared" si="6"/>
        <v>Major</v>
      </c>
      <c r="AV28" s="1" t="str">
        <f t="shared" si="7"/>
        <v>12828088Vijay Babu</v>
      </c>
      <c r="AW28" s="1" t="str">
        <f t="shared" si="8"/>
        <v>Major</v>
      </c>
      <c r="AX28" s="1">
        <f t="shared" si="9"/>
        <v>1</v>
      </c>
      <c r="AY28" s="1" t="s">
        <v>29</v>
      </c>
      <c r="AZ28" s="1" t="b">
        <v>0</v>
      </c>
      <c r="BA28" s="1">
        <f t="shared" si="10"/>
        <v>1</v>
      </c>
      <c r="BB28" s="1">
        <f t="shared" si="11"/>
        <v>1</v>
      </c>
      <c r="BC28" s="1" t="s">
        <v>103</v>
      </c>
      <c r="BD28" s="1" t="s">
        <v>43</v>
      </c>
      <c r="BE28" s="1" t="s">
        <v>98</v>
      </c>
      <c r="BF28" s="1" t="b">
        <v>0</v>
      </c>
      <c r="BG28" s="1" t="str">
        <f>VLOOKUP(AM28,Group!$C:$H,5,0)</f>
        <v>AMC Group</v>
      </c>
      <c r="BH28" s="1" t="str">
        <f>VLOOKUP(P28,others!$C:$G,5,0)</f>
        <v>MTX - India</v>
      </c>
    </row>
    <row r="29" spans="1:60" x14ac:dyDescent="0.25">
      <c r="A29" s="14">
        <v>46092.41646990741</v>
      </c>
      <c r="B29" s="14">
        <v>46092.645636574074</v>
      </c>
      <c r="C29" s="14">
        <v>46093.317453703705</v>
      </c>
      <c r="D29" s="14">
        <v>46093.546620370369</v>
      </c>
      <c r="E29" s="14">
        <v>46093.413402777776</v>
      </c>
      <c r="F29" s="14">
        <v>46093.546620370369</v>
      </c>
      <c r="G29" t="s">
        <v>470</v>
      </c>
      <c r="H29">
        <v>1426</v>
      </c>
      <c r="I29">
        <v>191.83330000000001</v>
      </c>
      <c r="J29" t="s">
        <v>104</v>
      </c>
      <c r="K29">
        <v>12828013</v>
      </c>
      <c r="L29" t="s">
        <v>1315</v>
      </c>
      <c r="M29" t="s">
        <v>109</v>
      </c>
      <c r="N29" t="s">
        <v>88</v>
      </c>
      <c r="O29" t="s">
        <v>105</v>
      </c>
      <c r="P29" t="s">
        <v>103</v>
      </c>
      <c r="Q29" t="s">
        <v>29</v>
      </c>
      <c r="R29" t="s">
        <v>25</v>
      </c>
      <c r="S29">
        <v>87.82</v>
      </c>
      <c r="T29">
        <v>99</v>
      </c>
      <c r="U29" t="s">
        <v>471</v>
      </c>
      <c r="V29">
        <v>1</v>
      </c>
      <c r="X29" t="s">
        <v>1261</v>
      </c>
      <c r="AA29">
        <v>360</v>
      </c>
      <c r="AB29" t="s">
        <v>26</v>
      </c>
      <c r="AC29">
        <v>432</v>
      </c>
      <c r="AD29" t="s">
        <v>27</v>
      </c>
      <c r="AE29" t="s">
        <v>28</v>
      </c>
      <c r="AF29">
        <v>0</v>
      </c>
      <c r="AK29" s="12">
        <f t="shared" si="0"/>
        <v>46093</v>
      </c>
      <c r="AL29" s="1" t="str">
        <f t="shared" si="1"/>
        <v>Week11</v>
      </c>
      <c r="AM29" s="1" t="s">
        <v>110</v>
      </c>
      <c r="AN29" s="1" t="str">
        <f t="shared" si="2"/>
        <v>Go</v>
      </c>
      <c r="AO29" s="2">
        <f t="shared" si="3"/>
        <v>98.861307219312224</v>
      </c>
      <c r="AP29" s="1">
        <f t="shared" si="4"/>
        <v>1</v>
      </c>
      <c r="AQ29" s="1">
        <f t="shared" si="5"/>
        <v>1</v>
      </c>
      <c r="AR29" s="1" t="s">
        <v>96</v>
      </c>
      <c r="AS29" s="1" t="s">
        <v>96</v>
      </c>
      <c r="AT29" s="1" t="s">
        <v>96</v>
      </c>
      <c r="AU29" s="1" t="str">
        <f t="shared" si="6"/>
        <v>Major</v>
      </c>
      <c r="AV29" s="1" t="str">
        <f t="shared" si="7"/>
        <v>12828013Vijay Babu</v>
      </c>
      <c r="AW29" s="1" t="str">
        <f t="shared" si="8"/>
        <v>Major</v>
      </c>
      <c r="AX29" s="1">
        <f t="shared" si="9"/>
        <v>1</v>
      </c>
      <c r="AY29" s="1" t="s">
        <v>29</v>
      </c>
      <c r="AZ29" s="1" t="b">
        <v>1</v>
      </c>
      <c r="BA29" s="1">
        <f t="shared" si="10"/>
        <v>1</v>
      </c>
      <c r="BB29" s="1">
        <f t="shared" si="11"/>
        <v>1</v>
      </c>
      <c r="BC29" s="1" t="s">
        <v>103</v>
      </c>
      <c r="BD29" s="1" t="s">
        <v>43</v>
      </c>
      <c r="BE29" s="1" t="s">
        <v>98</v>
      </c>
      <c r="BF29" s="1" t="b">
        <v>1</v>
      </c>
      <c r="BG29" s="1" t="str">
        <f>VLOOKUP(AM29,Group!$C:$H,5,0)</f>
        <v>AMC Group</v>
      </c>
      <c r="BH29" s="1" t="str">
        <f>VLOOKUP(P29,others!$C:$G,5,0)</f>
        <v>MTX - India</v>
      </c>
    </row>
    <row r="30" spans="1:60" x14ac:dyDescent="0.25">
      <c r="A30" s="14">
        <v>46092.41646990741</v>
      </c>
      <c r="B30" s="14">
        <v>46092.645636574074</v>
      </c>
      <c r="C30" s="14">
        <v>46093.317453703705</v>
      </c>
      <c r="D30" s="14">
        <v>46093.546620370369</v>
      </c>
      <c r="E30" s="14">
        <v>46093.413402777776</v>
      </c>
      <c r="F30" s="14">
        <v>46093.546620370369</v>
      </c>
      <c r="G30" t="s">
        <v>470</v>
      </c>
      <c r="H30">
        <v>1426</v>
      </c>
      <c r="I30">
        <v>191.83330000000001</v>
      </c>
      <c r="J30" t="s">
        <v>104</v>
      </c>
      <c r="K30">
        <v>12828013</v>
      </c>
      <c r="L30" t="s">
        <v>1315</v>
      </c>
      <c r="M30" t="s">
        <v>109</v>
      </c>
      <c r="N30" t="s">
        <v>88</v>
      </c>
      <c r="O30" t="s">
        <v>105</v>
      </c>
      <c r="P30" t="s">
        <v>103</v>
      </c>
      <c r="Q30" t="s">
        <v>29</v>
      </c>
      <c r="R30" t="s">
        <v>25</v>
      </c>
      <c r="S30">
        <v>87.82</v>
      </c>
      <c r="T30">
        <v>99</v>
      </c>
      <c r="U30" t="s">
        <v>100</v>
      </c>
      <c r="V30">
        <v>5</v>
      </c>
      <c r="X30" t="s">
        <v>1261</v>
      </c>
      <c r="AA30">
        <v>360</v>
      </c>
      <c r="AB30" t="s">
        <v>26</v>
      </c>
      <c r="AC30">
        <v>432</v>
      </c>
      <c r="AD30" t="s">
        <v>27</v>
      </c>
      <c r="AE30" t="s">
        <v>28</v>
      </c>
      <c r="AF30">
        <v>0</v>
      </c>
      <c r="AK30" s="12">
        <f t="shared" si="0"/>
        <v>46093</v>
      </c>
      <c r="AL30" s="1" t="str">
        <f t="shared" si="1"/>
        <v>Week11</v>
      </c>
      <c r="AM30" s="1" t="s">
        <v>110</v>
      </c>
      <c r="AN30" s="1" t="str">
        <f t="shared" si="2"/>
        <v>Go</v>
      </c>
      <c r="AO30" s="2">
        <f t="shared" si="3"/>
        <v>98.861307219312224</v>
      </c>
      <c r="AP30" s="1">
        <f t="shared" si="4"/>
        <v>0</v>
      </c>
      <c r="AQ30" s="1">
        <f t="shared" si="5"/>
        <v>1</v>
      </c>
      <c r="AR30" s="1" t="s">
        <v>96</v>
      </c>
      <c r="AS30" s="1" t="s">
        <v>96</v>
      </c>
      <c r="AT30" s="1" t="s">
        <v>96</v>
      </c>
      <c r="AU30" s="1" t="str">
        <f t="shared" si="6"/>
        <v>Minor</v>
      </c>
      <c r="AV30" s="1" t="str">
        <f t="shared" si="7"/>
        <v>12828013Vijay Babu</v>
      </c>
      <c r="AW30" s="1" t="str">
        <f t="shared" si="8"/>
        <v>Minor</v>
      </c>
      <c r="AX30" s="1">
        <f t="shared" si="9"/>
        <v>0</v>
      </c>
      <c r="AY30" s="1" t="s">
        <v>29</v>
      </c>
      <c r="AZ30" s="1" t="b">
        <v>0</v>
      </c>
      <c r="BA30" s="1">
        <f t="shared" si="10"/>
        <v>1</v>
      </c>
      <c r="BB30" s="1">
        <f t="shared" si="11"/>
        <v>5</v>
      </c>
      <c r="BC30" s="1" t="s">
        <v>103</v>
      </c>
      <c r="BD30" s="1" t="s">
        <v>43</v>
      </c>
      <c r="BE30" s="1" t="s">
        <v>98</v>
      </c>
      <c r="BF30" s="1" t="b">
        <v>0</v>
      </c>
      <c r="BG30" s="1" t="str">
        <f>VLOOKUP(AM30,Group!$C:$H,5,0)</f>
        <v>AMC Group</v>
      </c>
      <c r="BH30" s="1" t="str">
        <f>VLOOKUP(P30,others!$C:$G,5,0)</f>
        <v>MTX - India</v>
      </c>
    </row>
    <row r="31" spans="1:60" x14ac:dyDescent="0.25">
      <c r="A31" s="14">
        <v>46092.558078703703</v>
      </c>
      <c r="B31" s="14">
        <v>46092.787245370368</v>
      </c>
      <c r="C31" s="14">
        <v>46093.329386574071</v>
      </c>
      <c r="D31" s="14">
        <v>46093.558553240742</v>
      </c>
      <c r="E31" s="14">
        <v>46093.413506944446</v>
      </c>
      <c r="F31" s="14">
        <v>46093.558553240742</v>
      </c>
      <c r="G31" t="s">
        <v>470</v>
      </c>
      <c r="H31">
        <v>705</v>
      </c>
      <c r="I31">
        <v>208.86670000000001</v>
      </c>
      <c r="J31" t="s">
        <v>104</v>
      </c>
      <c r="K31">
        <v>12828093</v>
      </c>
      <c r="L31" t="s">
        <v>1315</v>
      </c>
      <c r="M31" t="s">
        <v>109</v>
      </c>
      <c r="N31" t="s">
        <v>88</v>
      </c>
      <c r="O31" t="s">
        <v>105</v>
      </c>
      <c r="P31" t="s">
        <v>103</v>
      </c>
      <c r="Q31" t="s">
        <v>29</v>
      </c>
      <c r="R31" t="s">
        <v>25</v>
      </c>
      <c r="S31">
        <v>76.66</v>
      </c>
      <c r="T31">
        <v>100</v>
      </c>
      <c r="U31" t="s">
        <v>100</v>
      </c>
      <c r="V31">
        <v>1</v>
      </c>
      <c r="X31" t="s">
        <v>1261</v>
      </c>
      <c r="AA31">
        <v>360</v>
      </c>
      <c r="AB31" t="s">
        <v>26</v>
      </c>
      <c r="AC31">
        <v>367</v>
      </c>
      <c r="AD31" t="s">
        <v>27</v>
      </c>
      <c r="AE31" t="s">
        <v>28</v>
      </c>
      <c r="AF31">
        <v>0</v>
      </c>
      <c r="AK31" s="12">
        <f t="shared" si="0"/>
        <v>46093</v>
      </c>
      <c r="AL31" s="1" t="str">
        <f t="shared" si="1"/>
        <v>Week11</v>
      </c>
      <c r="AM31" s="1" t="s">
        <v>110</v>
      </c>
      <c r="AN31" s="1" t="str">
        <f t="shared" si="2"/>
        <v>Go</v>
      </c>
      <c r="AO31" s="2">
        <f t="shared" si="3"/>
        <v>100</v>
      </c>
      <c r="AP31" s="1">
        <f t="shared" si="4"/>
        <v>0</v>
      </c>
      <c r="AQ31" s="1">
        <f t="shared" si="5"/>
        <v>0</v>
      </c>
      <c r="AR31" s="1" t="s">
        <v>96</v>
      </c>
      <c r="AS31" s="1" t="s">
        <v>96</v>
      </c>
      <c r="AT31" s="1" t="s">
        <v>96</v>
      </c>
      <c r="AU31" s="1" t="str">
        <f t="shared" si="6"/>
        <v>Minor</v>
      </c>
      <c r="AV31" s="1" t="str">
        <f t="shared" si="7"/>
        <v>12828093Vijay Babu</v>
      </c>
      <c r="AW31" s="1" t="str">
        <f t="shared" si="8"/>
        <v>Minor</v>
      </c>
      <c r="AX31" s="1">
        <f t="shared" si="9"/>
        <v>0</v>
      </c>
      <c r="AY31" s="1" t="s">
        <v>29</v>
      </c>
      <c r="AZ31" s="1" t="b">
        <v>0</v>
      </c>
      <c r="BA31" s="1">
        <f t="shared" si="10"/>
        <v>1</v>
      </c>
      <c r="BB31" s="1">
        <f t="shared" si="11"/>
        <v>1</v>
      </c>
      <c r="BC31" s="1" t="s">
        <v>103</v>
      </c>
      <c r="BD31" s="1" t="s">
        <v>43</v>
      </c>
      <c r="BE31" s="1" t="s">
        <v>98</v>
      </c>
      <c r="BF31" s="1" t="b">
        <v>0</v>
      </c>
      <c r="BG31" s="1" t="str">
        <f>VLOOKUP(AM31,Group!$C:$H,5,0)</f>
        <v>AMC Group</v>
      </c>
      <c r="BH31" s="1" t="str">
        <f>VLOOKUP(P31,others!$C:$G,5,0)</f>
        <v>MTX - India</v>
      </c>
    </row>
    <row r="32" spans="1:60" x14ac:dyDescent="0.25">
      <c r="A32" s="14">
        <v>46091.504189814812</v>
      </c>
      <c r="B32" s="14">
        <v>46091.733356481483</v>
      </c>
      <c r="C32" s="14">
        <v>46093.344594907408</v>
      </c>
      <c r="D32" s="14">
        <v>46093.573761574073</v>
      </c>
      <c r="E32" s="14">
        <v>46093.413310185184</v>
      </c>
      <c r="F32" s="14">
        <v>46093.573761574073</v>
      </c>
      <c r="G32" t="s">
        <v>470</v>
      </c>
      <c r="H32">
        <v>1273</v>
      </c>
      <c r="I32">
        <v>231.05</v>
      </c>
      <c r="J32" t="s">
        <v>104</v>
      </c>
      <c r="K32">
        <v>12827668</v>
      </c>
      <c r="L32" t="s">
        <v>1298</v>
      </c>
      <c r="M32" t="s">
        <v>109</v>
      </c>
      <c r="N32" t="s">
        <v>88</v>
      </c>
      <c r="O32" t="s">
        <v>105</v>
      </c>
      <c r="P32" t="s">
        <v>103</v>
      </c>
      <c r="Q32" t="s">
        <v>29</v>
      </c>
      <c r="R32" t="s">
        <v>1241</v>
      </c>
      <c r="S32">
        <v>118.14</v>
      </c>
      <c r="T32">
        <v>98</v>
      </c>
      <c r="U32" t="s">
        <v>471</v>
      </c>
      <c r="V32">
        <v>2</v>
      </c>
      <c r="X32" t="s">
        <v>1261</v>
      </c>
      <c r="AA32">
        <v>360</v>
      </c>
      <c r="AB32" t="s">
        <v>26</v>
      </c>
      <c r="AC32">
        <v>603</v>
      </c>
      <c r="AD32" t="s">
        <v>27</v>
      </c>
      <c r="AE32" t="s">
        <v>28</v>
      </c>
      <c r="AF32">
        <v>0</v>
      </c>
      <c r="AK32" s="12">
        <f t="shared" si="0"/>
        <v>46093</v>
      </c>
      <c r="AL32" s="1" t="str">
        <f t="shared" si="1"/>
        <v>Week11</v>
      </c>
      <c r="AM32" s="1" t="s">
        <v>110</v>
      </c>
      <c r="AN32" s="1" t="str">
        <f t="shared" si="2"/>
        <v>NoGo</v>
      </c>
      <c r="AO32" s="2">
        <f t="shared" si="3"/>
        <v>98.307093279160313</v>
      </c>
      <c r="AP32" s="1">
        <f t="shared" si="4"/>
        <v>2</v>
      </c>
      <c r="AQ32" s="1">
        <f t="shared" si="5"/>
        <v>2</v>
      </c>
      <c r="AR32" s="1" t="s">
        <v>96</v>
      </c>
      <c r="AS32" s="1" t="s">
        <v>96</v>
      </c>
      <c r="AT32" s="1" t="s">
        <v>96</v>
      </c>
      <c r="AU32" s="1" t="str">
        <f t="shared" si="6"/>
        <v>Major</v>
      </c>
      <c r="AV32" s="1" t="str">
        <f t="shared" si="7"/>
        <v>12827668Vijay Babu</v>
      </c>
      <c r="AW32" s="1" t="str">
        <f t="shared" si="8"/>
        <v>Major</v>
      </c>
      <c r="AX32" s="1">
        <f t="shared" si="9"/>
        <v>1</v>
      </c>
      <c r="AY32" s="1" t="s">
        <v>29</v>
      </c>
      <c r="AZ32" s="1" t="b">
        <v>1</v>
      </c>
      <c r="BA32" s="1">
        <f t="shared" si="10"/>
        <v>1</v>
      </c>
      <c r="BB32" s="1">
        <f t="shared" si="11"/>
        <v>2</v>
      </c>
      <c r="BC32" s="1" t="s">
        <v>103</v>
      </c>
      <c r="BD32" s="1" t="s">
        <v>43</v>
      </c>
      <c r="BE32" s="1" t="s">
        <v>98</v>
      </c>
      <c r="BF32" s="1" t="b">
        <v>1</v>
      </c>
      <c r="BG32" s="1" t="str">
        <f>VLOOKUP(AM32,Group!$C:$H,5,0)</f>
        <v>AMC Group</v>
      </c>
      <c r="BH32" s="1" t="str">
        <f>VLOOKUP(P32,others!$C:$G,5,0)</f>
        <v>MTX - India</v>
      </c>
    </row>
    <row r="33" spans="1:60" x14ac:dyDescent="0.25">
      <c r="A33" s="14">
        <v>46091.504189814812</v>
      </c>
      <c r="B33" s="14">
        <v>46091.733356481483</v>
      </c>
      <c r="C33" s="14">
        <v>46093.344594907408</v>
      </c>
      <c r="D33" s="14">
        <v>46093.573761574073</v>
      </c>
      <c r="E33" s="14">
        <v>46093.413310185184</v>
      </c>
      <c r="F33" s="14">
        <v>46093.573761574073</v>
      </c>
      <c r="G33" t="s">
        <v>470</v>
      </c>
      <c r="H33">
        <v>1273</v>
      </c>
      <c r="I33">
        <v>231.05</v>
      </c>
      <c r="J33" t="s">
        <v>104</v>
      </c>
      <c r="K33">
        <v>12827668</v>
      </c>
      <c r="L33" t="s">
        <v>1298</v>
      </c>
      <c r="M33" t="s">
        <v>109</v>
      </c>
      <c r="N33" t="s">
        <v>88</v>
      </c>
      <c r="O33" t="s">
        <v>105</v>
      </c>
      <c r="P33" t="s">
        <v>103</v>
      </c>
      <c r="Q33" t="s">
        <v>29</v>
      </c>
      <c r="R33" t="s">
        <v>1241</v>
      </c>
      <c r="S33">
        <v>118.14</v>
      </c>
      <c r="T33">
        <v>98</v>
      </c>
      <c r="U33" t="s">
        <v>100</v>
      </c>
      <c r="V33">
        <v>4</v>
      </c>
      <c r="X33" t="s">
        <v>1261</v>
      </c>
      <c r="AA33">
        <v>360</v>
      </c>
      <c r="AB33" t="s">
        <v>26</v>
      </c>
      <c r="AC33">
        <v>603</v>
      </c>
      <c r="AD33" t="s">
        <v>27</v>
      </c>
      <c r="AE33" t="s">
        <v>28</v>
      </c>
      <c r="AF33">
        <v>0</v>
      </c>
      <c r="AK33" s="12">
        <f t="shared" si="0"/>
        <v>46093</v>
      </c>
      <c r="AL33" s="1" t="str">
        <f t="shared" si="1"/>
        <v>Week11</v>
      </c>
      <c r="AM33" s="1" t="s">
        <v>110</v>
      </c>
      <c r="AN33" s="1" t="str">
        <f t="shared" si="2"/>
        <v>NoGo</v>
      </c>
      <c r="AO33" s="2">
        <f t="shared" si="3"/>
        <v>98.307093279160313</v>
      </c>
      <c r="AP33" s="1">
        <f t="shared" si="4"/>
        <v>0</v>
      </c>
      <c r="AQ33" s="1">
        <f t="shared" si="5"/>
        <v>2</v>
      </c>
      <c r="AR33" s="1" t="s">
        <v>96</v>
      </c>
      <c r="AS33" s="1" t="s">
        <v>96</v>
      </c>
      <c r="AT33" s="1" t="s">
        <v>96</v>
      </c>
      <c r="AU33" s="1" t="str">
        <f t="shared" si="6"/>
        <v>Minor</v>
      </c>
      <c r="AV33" s="1" t="str">
        <f t="shared" si="7"/>
        <v>12827668Vijay Babu</v>
      </c>
      <c r="AW33" s="1" t="str">
        <f t="shared" si="8"/>
        <v>Minor</v>
      </c>
      <c r="AX33" s="1">
        <f t="shared" si="9"/>
        <v>0</v>
      </c>
      <c r="AY33" s="1" t="s">
        <v>29</v>
      </c>
      <c r="AZ33" s="1" t="b">
        <v>0</v>
      </c>
      <c r="BA33" s="1">
        <f t="shared" si="10"/>
        <v>1</v>
      </c>
      <c r="BB33" s="1">
        <f t="shared" si="11"/>
        <v>4</v>
      </c>
      <c r="BC33" s="1" t="s">
        <v>103</v>
      </c>
      <c r="BD33" s="1" t="s">
        <v>43</v>
      </c>
      <c r="BE33" s="1" t="s">
        <v>98</v>
      </c>
      <c r="BF33" s="1" t="b">
        <v>0</v>
      </c>
      <c r="BG33" s="1" t="str">
        <f>VLOOKUP(AM33,Group!$C:$H,5,0)</f>
        <v>AMC Group</v>
      </c>
      <c r="BH33" s="1" t="str">
        <f>VLOOKUP(P33,others!$C:$G,5,0)</f>
        <v>MTX - India</v>
      </c>
    </row>
    <row r="34" spans="1:60" x14ac:dyDescent="0.25">
      <c r="A34" s="14">
        <v>46089.415821759256</v>
      </c>
      <c r="B34" s="14">
        <v>46089.644988425927</v>
      </c>
      <c r="C34" s="14">
        <v>46093.711087962962</v>
      </c>
      <c r="D34" s="14">
        <v>46093.940254629626</v>
      </c>
      <c r="E34" s="14">
        <v>46092.006828703707</v>
      </c>
      <c r="F34" s="14">
        <v>46093.940254629626</v>
      </c>
      <c r="G34" t="s">
        <v>470</v>
      </c>
      <c r="H34">
        <v>4023</v>
      </c>
      <c r="I34">
        <v>2784.1333</v>
      </c>
      <c r="J34" t="s">
        <v>104</v>
      </c>
      <c r="K34">
        <v>12827215</v>
      </c>
      <c r="L34" t="s">
        <v>1273</v>
      </c>
      <c r="M34" t="s">
        <v>163</v>
      </c>
      <c r="N34" t="s">
        <v>88</v>
      </c>
      <c r="O34" t="s">
        <v>1300</v>
      </c>
      <c r="P34" t="s">
        <v>478</v>
      </c>
      <c r="Q34" t="s">
        <v>29</v>
      </c>
      <c r="R34" t="s">
        <v>25</v>
      </c>
      <c r="S34">
        <v>61.45</v>
      </c>
      <c r="T34">
        <v>100</v>
      </c>
      <c r="U34" t="s">
        <v>100</v>
      </c>
      <c r="V34">
        <v>1</v>
      </c>
      <c r="X34" t="s">
        <v>1274</v>
      </c>
      <c r="AA34">
        <v>1440</v>
      </c>
      <c r="AB34" t="s">
        <v>26</v>
      </c>
      <c r="AC34">
        <v>192</v>
      </c>
      <c r="AD34" t="s">
        <v>27</v>
      </c>
      <c r="AE34" t="s">
        <v>1250</v>
      </c>
      <c r="AF34">
        <v>0</v>
      </c>
      <c r="AK34" s="12">
        <f t="shared" si="0"/>
        <v>46093</v>
      </c>
      <c r="AL34" s="1" t="str">
        <f t="shared" si="1"/>
        <v>Week11</v>
      </c>
      <c r="AM34" s="1" t="s">
        <v>169</v>
      </c>
      <c r="AN34" s="1" t="str">
        <f t="shared" si="2"/>
        <v>Go</v>
      </c>
      <c r="AO34" s="2">
        <f t="shared" si="3"/>
        <v>100</v>
      </c>
      <c r="AP34" s="1">
        <f t="shared" si="4"/>
        <v>0</v>
      </c>
      <c r="AQ34" s="1">
        <f t="shared" si="5"/>
        <v>0</v>
      </c>
      <c r="AR34" s="1" t="s">
        <v>96</v>
      </c>
      <c r="AS34" s="1" t="s">
        <v>96</v>
      </c>
      <c r="AT34" s="1" t="s">
        <v>96</v>
      </c>
      <c r="AU34" s="1" t="str">
        <f t="shared" si="6"/>
        <v>Minor</v>
      </c>
      <c r="AV34" s="1" t="str">
        <f t="shared" si="7"/>
        <v>12827215Sandeep S</v>
      </c>
      <c r="AW34" s="1" t="str">
        <f t="shared" si="8"/>
        <v>Minor</v>
      </c>
      <c r="AX34" s="1">
        <f t="shared" si="9"/>
        <v>0</v>
      </c>
      <c r="AY34" s="1" t="s">
        <v>29</v>
      </c>
      <c r="AZ34" s="1" t="b">
        <v>0</v>
      </c>
      <c r="BA34" s="1">
        <f t="shared" si="10"/>
        <v>1</v>
      </c>
      <c r="BB34" s="1">
        <f t="shared" si="11"/>
        <v>1</v>
      </c>
      <c r="BC34" s="1" t="s">
        <v>478</v>
      </c>
      <c r="BD34" s="1" t="s">
        <v>43</v>
      </c>
      <c r="BE34" s="1" t="s">
        <v>98</v>
      </c>
      <c r="BF34" s="1" t="b">
        <v>0</v>
      </c>
      <c r="BG34" s="1" t="str">
        <f>VLOOKUP(AM34,Group!$C:$H,5,0)</f>
        <v>Fundamental</v>
      </c>
      <c r="BH34" s="1" t="str">
        <f>VLOOKUP(P34,others!$C:$G,5,0)</f>
        <v>MTX - India</v>
      </c>
    </row>
    <row r="35" spans="1:60" x14ac:dyDescent="0.25">
      <c r="A35" s="14">
        <v>46090.474942129629</v>
      </c>
      <c r="B35" s="14">
        <v>46090.704108796293</v>
      </c>
      <c r="C35" s="14">
        <v>46093.715578703705</v>
      </c>
      <c r="D35" s="14">
        <v>46093.944745370369</v>
      </c>
      <c r="E35" s="14">
        <v>46092.006956018522</v>
      </c>
      <c r="F35" s="14">
        <v>46093.944745370369</v>
      </c>
      <c r="G35" t="s">
        <v>470</v>
      </c>
      <c r="H35">
        <v>346</v>
      </c>
      <c r="I35">
        <v>2790.4167000000002</v>
      </c>
      <c r="J35" t="s">
        <v>104</v>
      </c>
      <c r="K35">
        <v>12827329</v>
      </c>
      <c r="L35" t="s">
        <v>1316</v>
      </c>
      <c r="M35" t="s">
        <v>162</v>
      </c>
      <c r="N35" t="s">
        <v>88</v>
      </c>
      <c r="O35" t="s">
        <v>458</v>
      </c>
      <c r="P35" t="s">
        <v>459</v>
      </c>
      <c r="Q35" t="s">
        <v>29</v>
      </c>
      <c r="R35" t="s">
        <v>1241</v>
      </c>
      <c r="S35">
        <v>43.49</v>
      </c>
      <c r="T35">
        <v>98</v>
      </c>
      <c r="U35" t="s">
        <v>471</v>
      </c>
      <c r="V35">
        <v>2</v>
      </c>
      <c r="X35" t="s">
        <v>1258</v>
      </c>
      <c r="AA35">
        <v>120</v>
      </c>
      <c r="AB35" t="s">
        <v>26</v>
      </c>
      <c r="AC35">
        <v>218</v>
      </c>
      <c r="AD35" t="s">
        <v>27</v>
      </c>
      <c r="AE35" t="s">
        <v>28</v>
      </c>
      <c r="AF35">
        <v>0</v>
      </c>
      <c r="AK35" s="12">
        <f t="shared" si="0"/>
        <v>46093</v>
      </c>
      <c r="AL35" s="1" t="str">
        <f t="shared" si="1"/>
        <v>Week11</v>
      </c>
      <c r="AM35" s="1" t="s">
        <v>168</v>
      </c>
      <c r="AN35" s="1" t="str">
        <f t="shared" si="2"/>
        <v>NoGo</v>
      </c>
      <c r="AO35" s="2">
        <f t="shared" si="3"/>
        <v>95.401241664750515</v>
      </c>
      <c r="AP35" s="1">
        <f t="shared" si="4"/>
        <v>2</v>
      </c>
      <c r="AQ35" s="1">
        <f t="shared" si="5"/>
        <v>2</v>
      </c>
      <c r="AR35" s="1" t="s">
        <v>96</v>
      </c>
      <c r="AS35" s="1" t="s">
        <v>96</v>
      </c>
      <c r="AT35" s="1" t="s">
        <v>96</v>
      </c>
      <c r="AU35" s="1" t="str">
        <f t="shared" si="6"/>
        <v>Major</v>
      </c>
      <c r="AV35" s="1" t="str">
        <f t="shared" si="7"/>
        <v>12827329Usha M</v>
      </c>
      <c r="AW35" s="1" t="str">
        <f t="shared" si="8"/>
        <v>Major</v>
      </c>
      <c r="AX35" s="1">
        <f t="shared" si="9"/>
        <v>1</v>
      </c>
      <c r="AY35" s="1" t="s">
        <v>29</v>
      </c>
      <c r="AZ35" s="1" t="b">
        <v>0</v>
      </c>
      <c r="BA35" s="1">
        <f t="shared" si="10"/>
        <v>1</v>
      </c>
      <c r="BB35" s="1">
        <f t="shared" si="11"/>
        <v>2</v>
      </c>
      <c r="BC35" s="1" t="s">
        <v>459</v>
      </c>
      <c r="BD35" s="1" t="s">
        <v>43</v>
      </c>
      <c r="BE35" s="1" t="s">
        <v>98</v>
      </c>
      <c r="BF35" s="1" t="b">
        <v>0</v>
      </c>
      <c r="BG35" s="1" t="str">
        <f>VLOOKUP(AM35,Group!$C:$H,5,0)</f>
        <v>Others</v>
      </c>
      <c r="BH35" s="1" t="str">
        <f>VLOOKUP(P35,others!$C:$G,5,0)</f>
        <v>MTX - India</v>
      </c>
    </row>
    <row r="36" spans="1:60" x14ac:dyDescent="0.25">
      <c r="A36" s="14">
        <v>46090.566643518519</v>
      </c>
      <c r="B36" s="14">
        <v>46090.795810185184</v>
      </c>
      <c r="C36" s="14">
        <v>46093.717569444445</v>
      </c>
      <c r="D36" s="14">
        <v>46093.946736111109</v>
      </c>
      <c r="E36" s="14">
        <v>46092.007048611114</v>
      </c>
      <c r="F36" s="14">
        <v>46093.946736111109</v>
      </c>
      <c r="G36" t="s">
        <v>470</v>
      </c>
      <c r="H36">
        <v>155</v>
      </c>
      <c r="I36">
        <v>2793.15</v>
      </c>
      <c r="J36" t="s">
        <v>104</v>
      </c>
      <c r="K36">
        <v>12827359</v>
      </c>
      <c r="L36" t="s">
        <v>1305</v>
      </c>
      <c r="M36" t="s">
        <v>109</v>
      </c>
      <c r="N36" t="s">
        <v>88</v>
      </c>
      <c r="O36" t="s">
        <v>105</v>
      </c>
      <c r="P36" t="s">
        <v>103</v>
      </c>
      <c r="Q36" t="s">
        <v>29</v>
      </c>
      <c r="R36" t="s">
        <v>25</v>
      </c>
      <c r="S36">
        <v>27.45</v>
      </c>
      <c r="T36">
        <v>100</v>
      </c>
      <c r="V36">
        <v>0</v>
      </c>
      <c r="X36" t="s">
        <v>1261</v>
      </c>
      <c r="AA36">
        <v>360</v>
      </c>
      <c r="AB36" t="s">
        <v>26</v>
      </c>
      <c r="AC36">
        <v>105</v>
      </c>
      <c r="AD36" t="s">
        <v>27</v>
      </c>
      <c r="AE36" t="s">
        <v>28</v>
      </c>
      <c r="AF36">
        <v>0</v>
      </c>
      <c r="AK36" s="12">
        <f t="shared" si="0"/>
        <v>46093</v>
      </c>
      <c r="AL36" s="1" t="str">
        <f t="shared" si="1"/>
        <v>Week11</v>
      </c>
      <c r="AM36" s="1" t="s">
        <v>110</v>
      </c>
      <c r="AN36" s="1" t="str">
        <f t="shared" si="2"/>
        <v>Go</v>
      </c>
      <c r="AO36" s="2">
        <f t="shared" si="3"/>
        <v>100</v>
      </c>
      <c r="AP36" s="1">
        <f t="shared" si="4"/>
        <v>0</v>
      </c>
      <c r="AQ36" s="1">
        <f t="shared" si="5"/>
        <v>0</v>
      </c>
      <c r="AR36" s="1" t="s">
        <v>96</v>
      </c>
      <c r="AS36" s="1" t="s">
        <v>96</v>
      </c>
      <c r="AT36" s="1" t="s">
        <v>96</v>
      </c>
      <c r="AU36" s="1" t="str">
        <f t="shared" si="6"/>
        <v/>
      </c>
      <c r="AV36" s="1" t="str">
        <f t="shared" si="7"/>
        <v>12827359Vijay Babu</v>
      </c>
      <c r="AW36" s="1" t="str">
        <f t="shared" si="8"/>
        <v/>
      </c>
      <c r="AX36" s="1" t="str">
        <f t="shared" si="9"/>
        <v/>
      </c>
      <c r="AY36" s="1" t="s">
        <v>29</v>
      </c>
      <c r="AZ36" s="1" t="b">
        <v>0</v>
      </c>
      <c r="BA36" s="1" t="str">
        <f t="shared" si="10"/>
        <v/>
      </c>
      <c r="BB36" s="1">
        <f t="shared" si="11"/>
        <v>0</v>
      </c>
      <c r="BC36" s="1" t="s">
        <v>103</v>
      </c>
      <c r="BD36" s="1" t="s">
        <v>43</v>
      </c>
      <c r="BE36" s="1" t="s">
        <v>98</v>
      </c>
      <c r="BF36" s="1" t="b">
        <v>0</v>
      </c>
      <c r="BG36" s="1" t="str">
        <f>VLOOKUP(AM36,Group!$C:$H,5,0)</f>
        <v>AMC Group</v>
      </c>
      <c r="BH36" s="1" t="str">
        <f>VLOOKUP(P36,others!$C:$G,5,0)</f>
        <v>MTX - India</v>
      </c>
    </row>
    <row r="37" spans="1:60" x14ac:dyDescent="0.25">
      <c r="A37" s="14">
        <v>46090.546157407407</v>
      </c>
      <c r="B37" s="14">
        <v>46090.775324074071</v>
      </c>
      <c r="C37" s="14">
        <v>46093.723043981481</v>
      </c>
      <c r="D37" s="14">
        <v>46093.952210648145</v>
      </c>
      <c r="E37" s="14">
        <v>46093.412638888891</v>
      </c>
      <c r="F37" s="14">
        <v>46093.952210648145</v>
      </c>
      <c r="G37" t="s">
        <v>470</v>
      </c>
      <c r="H37">
        <v>190</v>
      </c>
      <c r="I37">
        <v>776.98329999999999</v>
      </c>
      <c r="J37" t="s">
        <v>104</v>
      </c>
      <c r="K37">
        <v>12827338</v>
      </c>
      <c r="L37" t="s">
        <v>1317</v>
      </c>
      <c r="M37" t="s">
        <v>143</v>
      </c>
      <c r="N37" t="s">
        <v>97</v>
      </c>
      <c r="O37" t="s">
        <v>458</v>
      </c>
      <c r="P37" t="s">
        <v>459</v>
      </c>
      <c r="Q37" t="s">
        <v>29</v>
      </c>
      <c r="R37" t="s">
        <v>25</v>
      </c>
      <c r="S37">
        <v>38.049999999999997</v>
      </c>
      <c r="T37">
        <v>100</v>
      </c>
      <c r="V37">
        <v>0</v>
      </c>
      <c r="X37" t="s">
        <v>1270</v>
      </c>
      <c r="AA37">
        <v>360</v>
      </c>
      <c r="AB37" t="s">
        <v>26</v>
      </c>
      <c r="AC37">
        <v>186</v>
      </c>
      <c r="AD37" t="s">
        <v>27</v>
      </c>
      <c r="AE37" t="s">
        <v>28</v>
      </c>
      <c r="AF37">
        <v>0</v>
      </c>
      <c r="AK37" s="12">
        <f t="shared" si="0"/>
        <v>46093</v>
      </c>
      <c r="AL37" s="1" t="str">
        <f t="shared" si="1"/>
        <v>Week11</v>
      </c>
      <c r="AM37" s="1" t="s">
        <v>147</v>
      </c>
      <c r="AN37" s="1" t="str">
        <f t="shared" si="2"/>
        <v>Go</v>
      </c>
      <c r="AO37" s="2">
        <f t="shared" si="3"/>
        <v>100</v>
      </c>
      <c r="AP37" s="1">
        <f t="shared" si="4"/>
        <v>0</v>
      </c>
      <c r="AQ37" s="1">
        <f t="shared" si="5"/>
        <v>0</v>
      </c>
      <c r="AR37" s="1" t="s">
        <v>93</v>
      </c>
      <c r="AS37" s="1" t="s">
        <v>96</v>
      </c>
      <c r="AT37" s="1" t="s">
        <v>96</v>
      </c>
      <c r="AU37" s="1" t="str">
        <f t="shared" si="6"/>
        <v/>
      </c>
      <c r="AV37" s="1" t="str">
        <f t="shared" si="7"/>
        <v>12827338Usha M</v>
      </c>
      <c r="AW37" s="1" t="str">
        <f t="shared" si="8"/>
        <v/>
      </c>
      <c r="AX37" s="1" t="str">
        <f t="shared" si="9"/>
        <v/>
      </c>
      <c r="AY37" s="1" t="s">
        <v>29</v>
      </c>
      <c r="AZ37" s="1" t="b">
        <v>0</v>
      </c>
      <c r="BA37" s="1" t="str">
        <f t="shared" si="10"/>
        <v/>
      </c>
      <c r="BB37" s="1">
        <f t="shared" si="11"/>
        <v>0</v>
      </c>
      <c r="BC37" s="1" t="s">
        <v>459</v>
      </c>
      <c r="BD37" s="1" t="s">
        <v>43</v>
      </c>
      <c r="BE37" s="1" t="s">
        <v>98</v>
      </c>
      <c r="BF37" s="1" t="b">
        <v>0</v>
      </c>
      <c r="BG37" s="1" t="str">
        <f>VLOOKUP(AM37,Group!$C:$H,5,0)</f>
        <v>Others</v>
      </c>
      <c r="BH37" s="1" t="str">
        <f>VLOOKUP(P37,others!$C:$G,5,0)</f>
        <v>MTX - India</v>
      </c>
    </row>
    <row r="38" spans="1:60" x14ac:dyDescent="0.25">
      <c r="A38" s="14">
        <v>46091.389398148145</v>
      </c>
      <c r="B38" s="14">
        <v>46091.618564814817</v>
      </c>
      <c r="C38" s="14">
        <v>46093.760798611111</v>
      </c>
      <c r="D38" s="14">
        <v>46093.989965277775</v>
      </c>
      <c r="E38" s="14">
        <v>46093.413703703707</v>
      </c>
      <c r="F38" s="14">
        <v>46093.989965277775</v>
      </c>
      <c r="G38" t="s">
        <v>470</v>
      </c>
      <c r="H38">
        <v>233</v>
      </c>
      <c r="I38">
        <v>829.81669999999997</v>
      </c>
      <c r="J38" t="s">
        <v>104</v>
      </c>
      <c r="K38">
        <v>12827624</v>
      </c>
      <c r="L38" t="s">
        <v>1276</v>
      </c>
      <c r="M38" t="s">
        <v>123</v>
      </c>
      <c r="N38" t="s">
        <v>97</v>
      </c>
      <c r="O38" t="s">
        <v>105</v>
      </c>
      <c r="P38" t="s">
        <v>103</v>
      </c>
      <c r="Q38" t="s">
        <v>29</v>
      </c>
      <c r="R38" t="s">
        <v>25</v>
      </c>
      <c r="S38">
        <v>51.65</v>
      </c>
      <c r="T38">
        <v>100</v>
      </c>
      <c r="V38">
        <v>0</v>
      </c>
      <c r="X38" t="s">
        <v>1270</v>
      </c>
      <c r="AA38">
        <v>720</v>
      </c>
      <c r="AB38" t="s">
        <v>26</v>
      </c>
      <c r="AC38">
        <v>200</v>
      </c>
      <c r="AD38" t="s">
        <v>27</v>
      </c>
      <c r="AE38" t="s">
        <v>28</v>
      </c>
      <c r="AF38">
        <v>0</v>
      </c>
      <c r="AK38" s="12">
        <f t="shared" si="0"/>
        <v>46093</v>
      </c>
      <c r="AL38" s="1" t="str">
        <f t="shared" si="1"/>
        <v>Week11</v>
      </c>
      <c r="AM38" s="1" t="s">
        <v>133</v>
      </c>
      <c r="AN38" s="1" t="str">
        <f t="shared" si="2"/>
        <v>Go</v>
      </c>
      <c r="AO38" s="2">
        <f t="shared" si="3"/>
        <v>100</v>
      </c>
      <c r="AP38" s="1">
        <f t="shared" si="4"/>
        <v>0</v>
      </c>
      <c r="AQ38" s="1">
        <f t="shared" si="5"/>
        <v>0</v>
      </c>
      <c r="AR38" s="1" t="s">
        <v>93</v>
      </c>
      <c r="AS38" s="1" t="s">
        <v>96</v>
      </c>
      <c r="AT38" s="1" t="s">
        <v>96</v>
      </c>
      <c r="AU38" s="1" t="str">
        <f t="shared" si="6"/>
        <v/>
      </c>
      <c r="AV38" s="1" t="str">
        <f t="shared" si="7"/>
        <v>12827624Vijay Babu</v>
      </c>
      <c r="AW38" s="1" t="str">
        <f t="shared" si="8"/>
        <v/>
      </c>
      <c r="AX38" s="1" t="str">
        <f t="shared" si="9"/>
        <v/>
      </c>
      <c r="AY38" s="1" t="s">
        <v>29</v>
      </c>
      <c r="AZ38" s="1" t="b">
        <v>0</v>
      </c>
      <c r="BA38" s="1" t="str">
        <f t="shared" si="10"/>
        <v/>
      </c>
      <c r="BB38" s="1">
        <f t="shared" si="11"/>
        <v>0</v>
      </c>
      <c r="BC38" s="1" t="s">
        <v>103</v>
      </c>
      <c r="BD38" s="1" t="s">
        <v>43</v>
      </c>
      <c r="BE38" s="1" t="s">
        <v>98</v>
      </c>
      <c r="BF38" s="1" t="b">
        <v>0</v>
      </c>
      <c r="BG38" s="1" t="str">
        <f>VLOOKUP(AM38,Group!$C:$H,5,0)</f>
        <v>Others</v>
      </c>
      <c r="BH38" s="1" t="str">
        <f>VLOOKUP(P38,others!$C:$G,5,0)</f>
        <v>MTX - India</v>
      </c>
    </row>
    <row r="39" spans="1:60" x14ac:dyDescent="0.25">
      <c r="A39" s="14">
        <v>46091.305104166669</v>
      </c>
      <c r="B39" s="14">
        <v>46091.534270833334</v>
      </c>
      <c r="C39" s="14">
        <v>46093.763993055552</v>
      </c>
      <c r="D39" s="14">
        <v>46093.993159722224</v>
      </c>
      <c r="E39" s="14">
        <v>46093.413599537038</v>
      </c>
      <c r="F39" s="14">
        <v>46093.993159722224</v>
      </c>
      <c r="G39" t="s">
        <v>470</v>
      </c>
      <c r="H39">
        <v>265</v>
      </c>
      <c r="I39">
        <v>834.56669999999997</v>
      </c>
      <c r="J39" t="s">
        <v>104</v>
      </c>
      <c r="K39">
        <v>12827641</v>
      </c>
      <c r="L39" t="s">
        <v>1273</v>
      </c>
      <c r="M39" t="s">
        <v>163</v>
      </c>
      <c r="N39" t="s">
        <v>88</v>
      </c>
      <c r="O39" t="s">
        <v>105</v>
      </c>
      <c r="P39" t="s">
        <v>103</v>
      </c>
      <c r="Q39" t="s">
        <v>29</v>
      </c>
      <c r="R39" t="s">
        <v>25</v>
      </c>
      <c r="S39">
        <v>67.819999999999993</v>
      </c>
      <c r="T39">
        <v>100</v>
      </c>
      <c r="V39">
        <v>0</v>
      </c>
      <c r="X39" t="s">
        <v>1274</v>
      </c>
      <c r="AA39">
        <v>1440</v>
      </c>
      <c r="AB39" t="s">
        <v>26</v>
      </c>
      <c r="AC39">
        <v>202</v>
      </c>
      <c r="AD39" t="s">
        <v>27</v>
      </c>
      <c r="AE39" t="s">
        <v>28</v>
      </c>
      <c r="AF39">
        <v>0</v>
      </c>
      <c r="AK39" s="12">
        <f t="shared" si="0"/>
        <v>46093</v>
      </c>
      <c r="AL39" s="1" t="str">
        <f t="shared" si="1"/>
        <v>Week11</v>
      </c>
      <c r="AM39" s="1" t="s">
        <v>169</v>
      </c>
      <c r="AN39" s="1" t="str">
        <f t="shared" si="2"/>
        <v>Go</v>
      </c>
      <c r="AO39" s="2">
        <f t="shared" si="3"/>
        <v>100</v>
      </c>
      <c r="AP39" s="1">
        <f t="shared" si="4"/>
        <v>0</v>
      </c>
      <c r="AQ39" s="1">
        <f t="shared" si="5"/>
        <v>0</v>
      </c>
      <c r="AR39" s="1" t="s">
        <v>96</v>
      </c>
      <c r="AS39" s="1" t="s">
        <v>96</v>
      </c>
      <c r="AT39" s="1" t="s">
        <v>96</v>
      </c>
      <c r="AU39" s="1" t="str">
        <f t="shared" si="6"/>
        <v/>
      </c>
      <c r="AV39" s="1" t="str">
        <f t="shared" si="7"/>
        <v>12827641Vijay Babu</v>
      </c>
      <c r="AW39" s="1" t="str">
        <f t="shared" si="8"/>
        <v/>
      </c>
      <c r="AX39" s="1" t="str">
        <f t="shared" si="9"/>
        <v/>
      </c>
      <c r="AY39" s="1" t="s">
        <v>29</v>
      </c>
      <c r="AZ39" s="1" t="b">
        <v>0</v>
      </c>
      <c r="BA39" s="1" t="str">
        <f t="shared" si="10"/>
        <v/>
      </c>
      <c r="BB39" s="1">
        <f t="shared" si="11"/>
        <v>0</v>
      </c>
      <c r="BC39" s="1" t="s">
        <v>103</v>
      </c>
      <c r="BD39" s="1" t="s">
        <v>43</v>
      </c>
      <c r="BE39" s="1" t="s">
        <v>98</v>
      </c>
      <c r="BF39" s="1" t="b">
        <v>0</v>
      </c>
      <c r="BG39" s="1" t="str">
        <f>VLOOKUP(AM39,Group!$C:$H,5,0)</f>
        <v>Fundamental</v>
      </c>
      <c r="BH39" s="1" t="str">
        <f>VLOOKUP(P39,others!$C:$G,5,0)</f>
        <v>MTX - India</v>
      </c>
    </row>
    <row r="40" spans="1:60" x14ac:dyDescent="0.25">
      <c r="A40" s="14">
        <v>46091.330671296295</v>
      </c>
      <c r="B40" s="14">
        <v>46091.559837962966</v>
      </c>
      <c r="C40" s="14">
        <v>46093.766979166663</v>
      </c>
      <c r="D40" s="14">
        <v>46093.996145833335</v>
      </c>
      <c r="E40" s="14">
        <v>46093.413807870369</v>
      </c>
      <c r="F40" s="14">
        <v>46093.996145833335</v>
      </c>
      <c r="G40" t="s">
        <v>470</v>
      </c>
      <c r="H40">
        <v>2299</v>
      </c>
      <c r="I40">
        <v>838.56669999999997</v>
      </c>
      <c r="J40" t="s">
        <v>104</v>
      </c>
      <c r="K40">
        <v>12827613</v>
      </c>
      <c r="L40" t="s">
        <v>1257</v>
      </c>
      <c r="M40" t="s">
        <v>162</v>
      </c>
      <c r="N40" t="s">
        <v>88</v>
      </c>
      <c r="O40" t="s">
        <v>105</v>
      </c>
      <c r="P40" t="s">
        <v>103</v>
      </c>
      <c r="Q40" t="s">
        <v>29</v>
      </c>
      <c r="R40" t="s">
        <v>25</v>
      </c>
      <c r="S40">
        <v>50.49</v>
      </c>
      <c r="T40">
        <v>100</v>
      </c>
      <c r="V40">
        <v>0</v>
      </c>
      <c r="X40" t="s">
        <v>1258</v>
      </c>
      <c r="AA40">
        <v>120</v>
      </c>
      <c r="AB40" t="s">
        <v>26</v>
      </c>
      <c r="AC40">
        <v>209</v>
      </c>
      <c r="AD40" t="s">
        <v>27</v>
      </c>
      <c r="AE40" t="s">
        <v>28</v>
      </c>
      <c r="AF40">
        <v>0</v>
      </c>
      <c r="AK40" s="12">
        <f t="shared" si="0"/>
        <v>46093</v>
      </c>
      <c r="AL40" s="1" t="str">
        <f t="shared" si="1"/>
        <v>Week11</v>
      </c>
      <c r="AM40" s="1" t="s">
        <v>168</v>
      </c>
      <c r="AN40" s="1" t="str">
        <f t="shared" si="2"/>
        <v>Go</v>
      </c>
      <c r="AO40" s="2">
        <f t="shared" si="3"/>
        <v>100</v>
      </c>
      <c r="AP40" s="1">
        <f t="shared" si="4"/>
        <v>0</v>
      </c>
      <c r="AQ40" s="1">
        <f t="shared" si="5"/>
        <v>0</v>
      </c>
      <c r="AR40" s="1" t="s">
        <v>96</v>
      </c>
      <c r="AS40" s="1" t="s">
        <v>96</v>
      </c>
      <c r="AT40" s="1" t="s">
        <v>96</v>
      </c>
      <c r="AU40" s="1" t="str">
        <f t="shared" si="6"/>
        <v/>
      </c>
      <c r="AV40" s="1" t="str">
        <f t="shared" si="7"/>
        <v>12827613Vijay Babu</v>
      </c>
      <c r="AW40" s="1" t="str">
        <f t="shared" si="8"/>
        <v/>
      </c>
      <c r="AX40" s="1" t="str">
        <f t="shared" si="9"/>
        <v/>
      </c>
      <c r="AY40" s="1" t="s">
        <v>29</v>
      </c>
      <c r="AZ40" s="1" t="b">
        <v>0</v>
      </c>
      <c r="BA40" s="1" t="str">
        <f t="shared" si="10"/>
        <v/>
      </c>
      <c r="BB40" s="1">
        <f t="shared" si="11"/>
        <v>0</v>
      </c>
      <c r="BC40" s="1" t="s">
        <v>103</v>
      </c>
      <c r="BD40" s="1" t="s">
        <v>43</v>
      </c>
      <c r="BE40" s="1" t="s">
        <v>98</v>
      </c>
      <c r="BF40" s="1" t="b">
        <v>0</v>
      </c>
      <c r="BG40" s="1" t="str">
        <f>VLOOKUP(AM40,Group!$C:$H,5,0)</f>
        <v>Others</v>
      </c>
      <c r="BH40" s="1" t="str">
        <f>VLOOKUP(P40,others!$C:$G,5,0)</f>
        <v>MTX - India</v>
      </c>
    </row>
    <row r="41" spans="1:60" x14ac:dyDescent="0.25">
      <c r="A41" s="14">
        <v>46089.888773148145</v>
      </c>
      <c r="B41" s="14">
        <v>46090.117939814816</v>
      </c>
      <c r="C41" s="14">
        <v>46093.770740740743</v>
      </c>
      <c r="D41" s="14">
        <v>46093.999907407408</v>
      </c>
      <c r="E41" s="14">
        <v>46092.006898148145</v>
      </c>
      <c r="F41" s="14">
        <v>46093.999907407408</v>
      </c>
      <c r="G41" t="s">
        <v>470</v>
      </c>
      <c r="H41">
        <v>303</v>
      </c>
      <c r="I41">
        <v>2869.9333000000001</v>
      </c>
      <c r="J41" t="s">
        <v>104</v>
      </c>
      <c r="K41">
        <v>12827252</v>
      </c>
      <c r="L41" t="s">
        <v>1318</v>
      </c>
      <c r="M41" t="s">
        <v>163</v>
      </c>
      <c r="N41" t="s">
        <v>88</v>
      </c>
      <c r="O41" t="s">
        <v>1300</v>
      </c>
      <c r="P41" t="s">
        <v>478</v>
      </c>
      <c r="Q41" t="s">
        <v>29</v>
      </c>
      <c r="R41" t="s">
        <v>25</v>
      </c>
      <c r="S41">
        <v>35.31</v>
      </c>
      <c r="T41">
        <v>99</v>
      </c>
      <c r="U41" t="s">
        <v>471</v>
      </c>
      <c r="V41">
        <v>1</v>
      </c>
      <c r="X41" t="s">
        <v>1319</v>
      </c>
      <c r="AA41">
        <v>480</v>
      </c>
      <c r="AB41" t="s">
        <v>26</v>
      </c>
      <c r="AC41">
        <v>174</v>
      </c>
      <c r="AD41" t="s">
        <v>27</v>
      </c>
      <c r="AE41" t="s">
        <v>28</v>
      </c>
      <c r="AF41">
        <v>0</v>
      </c>
      <c r="AK41" s="12">
        <f t="shared" si="0"/>
        <v>46093</v>
      </c>
      <c r="AL41" s="1" t="str">
        <f t="shared" si="1"/>
        <v>Week11</v>
      </c>
      <c r="AM41" s="1" t="s">
        <v>169</v>
      </c>
      <c r="AN41" s="1" t="str">
        <f t="shared" si="2"/>
        <v>NoGo</v>
      </c>
      <c r="AO41" s="2">
        <f t="shared" si="3"/>
        <v>97.167941093174733</v>
      </c>
      <c r="AP41" s="1">
        <f t="shared" si="4"/>
        <v>1</v>
      </c>
      <c r="AQ41" s="1">
        <f t="shared" si="5"/>
        <v>1</v>
      </c>
      <c r="AR41" s="1" t="s">
        <v>96</v>
      </c>
      <c r="AS41" s="1" t="s">
        <v>96</v>
      </c>
      <c r="AT41" s="1" t="s">
        <v>96</v>
      </c>
      <c r="AU41" s="1" t="str">
        <f t="shared" si="6"/>
        <v>Major</v>
      </c>
      <c r="AV41" s="1" t="str">
        <f t="shared" si="7"/>
        <v>12827252Sandeep S</v>
      </c>
      <c r="AW41" s="1" t="str">
        <f t="shared" si="8"/>
        <v>Major</v>
      </c>
      <c r="AX41" s="1">
        <f t="shared" si="9"/>
        <v>1</v>
      </c>
      <c r="AY41" s="1" t="s">
        <v>29</v>
      </c>
      <c r="AZ41" s="1" t="b">
        <v>1</v>
      </c>
      <c r="BA41" s="1">
        <f t="shared" si="10"/>
        <v>1</v>
      </c>
      <c r="BB41" s="1">
        <f t="shared" si="11"/>
        <v>1</v>
      </c>
      <c r="BC41" s="1" t="s">
        <v>478</v>
      </c>
      <c r="BD41" s="1" t="s">
        <v>43</v>
      </c>
      <c r="BE41" s="1" t="s">
        <v>98</v>
      </c>
      <c r="BF41" s="1" t="b">
        <v>1</v>
      </c>
      <c r="BG41" s="1" t="str">
        <f>VLOOKUP(AM41,Group!$C:$H,5,0)</f>
        <v>Fundamental</v>
      </c>
      <c r="BH41" s="1" t="str">
        <f>VLOOKUP(P41,others!$C:$G,5,0)</f>
        <v>MTX - India</v>
      </c>
    </row>
    <row r="42" spans="1:60" x14ac:dyDescent="0.25">
      <c r="A42" s="14">
        <v>46089.888773148145</v>
      </c>
      <c r="B42" s="14">
        <v>46090.117939814816</v>
      </c>
      <c r="C42" s="14">
        <v>46093.770740740743</v>
      </c>
      <c r="D42" s="14">
        <v>46093.999907407408</v>
      </c>
      <c r="E42" s="14">
        <v>46092.006898148145</v>
      </c>
      <c r="F42" s="14">
        <v>46093.999907407408</v>
      </c>
      <c r="G42" t="s">
        <v>470</v>
      </c>
      <c r="H42">
        <v>303</v>
      </c>
      <c r="I42">
        <v>2869.9333000000001</v>
      </c>
      <c r="J42" t="s">
        <v>104</v>
      </c>
      <c r="K42">
        <v>12827252</v>
      </c>
      <c r="L42" t="s">
        <v>1318</v>
      </c>
      <c r="M42" t="s">
        <v>163</v>
      </c>
      <c r="N42" t="s">
        <v>88</v>
      </c>
      <c r="O42" t="s">
        <v>1300</v>
      </c>
      <c r="P42" t="s">
        <v>478</v>
      </c>
      <c r="Q42" t="s">
        <v>29</v>
      </c>
      <c r="R42" t="s">
        <v>25</v>
      </c>
      <c r="S42">
        <v>35.31</v>
      </c>
      <c r="T42">
        <v>99</v>
      </c>
      <c r="U42" t="s">
        <v>100</v>
      </c>
      <c r="V42">
        <v>3</v>
      </c>
      <c r="X42" t="s">
        <v>1319</v>
      </c>
      <c r="AA42">
        <v>480</v>
      </c>
      <c r="AB42" t="s">
        <v>26</v>
      </c>
      <c r="AC42">
        <v>174</v>
      </c>
      <c r="AD42" t="s">
        <v>27</v>
      </c>
      <c r="AE42" t="s">
        <v>28</v>
      </c>
      <c r="AF42">
        <v>0</v>
      </c>
      <c r="AK42" s="12">
        <f t="shared" si="0"/>
        <v>46093</v>
      </c>
      <c r="AL42" s="1" t="str">
        <f t="shared" si="1"/>
        <v>Week11</v>
      </c>
      <c r="AM42" s="1" t="s">
        <v>169</v>
      </c>
      <c r="AN42" s="1" t="str">
        <f t="shared" si="2"/>
        <v>NoGo</v>
      </c>
      <c r="AO42" s="2">
        <f t="shared" si="3"/>
        <v>97.167941093174733</v>
      </c>
      <c r="AP42" s="1">
        <f t="shared" si="4"/>
        <v>0</v>
      </c>
      <c r="AQ42" s="1">
        <f t="shared" si="5"/>
        <v>1</v>
      </c>
      <c r="AR42" s="1" t="s">
        <v>96</v>
      </c>
      <c r="AS42" s="1" t="s">
        <v>96</v>
      </c>
      <c r="AT42" s="1" t="s">
        <v>96</v>
      </c>
      <c r="AU42" s="1" t="str">
        <f t="shared" si="6"/>
        <v>Minor</v>
      </c>
      <c r="AV42" s="1" t="str">
        <f t="shared" si="7"/>
        <v>12827252Sandeep S</v>
      </c>
      <c r="AW42" s="1" t="str">
        <f t="shared" si="8"/>
        <v>Minor</v>
      </c>
      <c r="AX42" s="1">
        <f t="shared" si="9"/>
        <v>0</v>
      </c>
      <c r="AY42" s="1" t="s">
        <v>29</v>
      </c>
      <c r="AZ42" s="1" t="b">
        <v>0</v>
      </c>
      <c r="BA42" s="1">
        <f t="shared" si="10"/>
        <v>1</v>
      </c>
      <c r="BB42" s="1">
        <f t="shared" si="11"/>
        <v>3</v>
      </c>
      <c r="BC42" s="1" t="s">
        <v>478</v>
      </c>
      <c r="BD42" s="1" t="s">
        <v>43</v>
      </c>
      <c r="BE42" s="1" t="s">
        <v>98</v>
      </c>
      <c r="BF42" s="1" t="b">
        <v>0</v>
      </c>
      <c r="BG42" s="1" t="str">
        <f>VLOOKUP(AM42,Group!$C:$H,5,0)</f>
        <v>Fundamental</v>
      </c>
      <c r="BH42" s="1" t="str">
        <f>VLOOKUP(P42,others!$C:$G,5,0)</f>
        <v>MTX - India</v>
      </c>
    </row>
    <row r="43" spans="1:60" x14ac:dyDescent="0.25">
      <c r="A43" s="14">
        <v>46086.329664351855</v>
      </c>
      <c r="B43" s="14">
        <v>46086.558831018519</v>
      </c>
      <c r="C43" s="14">
        <v>46093.814351851855</v>
      </c>
      <c r="D43" s="14">
        <v>46094.04351851852</v>
      </c>
      <c r="E43" s="14">
        <v>46092.005636574075</v>
      </c>
      <c r="F43" s="14">
        <v>46094.04351851852</v>
      </c>
      <c r="G43" t="s">
        <v>470</v>
      </c>
      <c r="H43">
        <v>250</v>
      </c>
      <c r="I43">
        <v>2934.55</v>
      </c>
      <c r="J43" t="s">
        <v>104</v>
      </c>
      <c r="K43">
        <v>12826490</v>
      </c>
      <c r="L43" t="s">
        <v>1303</v>
      </c>
      <c r="M43" t="s">
        <v>109</v>
      </c>
      <c r="N43" t="s">
        <v>88</v>
      </c>
      <c r="O43" t="s">
        <v>458</v>
      </c>
      <c r="P43" t="s">
        <v>459</v>
      </c>
      <c r="Q43" t="s">
        <v>29</v>
      </c>
      <c r="R43" t="s">
        <v>1241</v>
      </c>
      <c r="S43">
        <v>24.2</v>
      </c>
      <c r="T43">
        <v>98</v>
      </c>
      <c r="U43" t="s">
        <v>471</v>
      </c>
      <c r="V43">
        <v>2</v>
      </c>
      <c r="X43" t="s">
        <v>1306</v>
      </c>
      <c r="AA43">
        <v>1440</v>
      </c>
      <c r="AB43" t="s">
        <v>26</v>
      </c>
      <c r="AC43">
        <v>158</v>
      </c>
      <c r="AD43" t="s">
        <v>27</v>
      </c>
      <c r="AE43" t="s">
        <v>28</v>
      </c>
      <c r="AF43">
        <v>0</v>
      </c>
      <c r="AK43" s="12">
        <f t="shared" si="0"/>
        <v>46094</v>
      </c>
      <c r="AL43" s="1" t="str">
        <f t="shared" si="1"/>
        <v>Week11</v>
      </c>
      <c r="AM43" s="1" t="s">
        <v>110</v>
      </c>
      <c r="AN43" s="1" t="str">
        <f t="shared" si="2"/>
        <v>NoGo</v>
      </c>
      <c r="AO43" s="2">
        <f t="shared" si="3"/>
        <v>91.735537190082638</v>
      </c>
      <c r="AP43" s="1">
        <f t="shared" si="4"/>
        <v>2</v>
      </c>
      <c r="AQ43" s="1">
        <f t="shared" si="5"/>
        <v>2</v>
      </c>
      <c r="AR43" s="1" t="s">
        <v>96</v>
      </c>
      <c r="AS43" s="1" t="s">
        <v>96</v>
      </c>
      <c r="AT43" s="1" t="s">
        <v>96</v>
      </c>
      <c r="AU43" s="1" t="str">
        <f t="shared" si="6"/>
        <v>Major</v>
      </c>
      <c r="AV43" s="1" t="str">
        <f t="shared" si="7"/>
        <v>12826490Usha M</v>
      </c>
      <c r="AW43" s="1" t="str">
        <f t="shared" si="8"/>
        <v>Major</v>
      </c>
      <c r="AX43" s="1">
        <f t="shared" si="9"/>
        <v>1</v>
      </c>
      <c r="AY43" s="1" t="s">
        <v>29</v>
      </c>
      <c r="AZ43" s="1" t="b">
        <v>1</v>
      </c>
      <c r="BA43" s="1">
        <f t="shared" si="10"/>
        <v>1</v>
      </c>
      <c r="BB43" s="1">
        <f t="shared" si="11"/>
        <v>2</v>
      </c>
      <c r="BC43" s="1" t="s">
        <v>459</v>
      </c>
      <c r="BD43" s="1" t="s">
        <v>43</v>
      </c>
      <c r="BE43" s="1" t="s">
        <v>98</v>
      </c>
      <c r="BF43" s="1" t="b">
        <v>1</v>
      </c>
      <c r="BG43" s="1" t="str">
        <f>VLOOKUP(AM43,Group!$C:$H,5,0)</f>
        <v>AMC Group</v>
      </c>
      <c r="BH43" s="1" t="str">
        <f>VLOOKUP(P43,others!$C:$G,5,0)</f>
        <v>MTX - India</v>
      </c>
    </row>
    <row r="44" spans="1:60" x14ac:dyDescent="0.25">
      <c r="A44" s="14">
        <v>46086.329664351855</v>
      </c>
      <c r="B44" s="14">
        <v>46086.558831018519</v>
      </c>
      <c r="C44" s="14">
        <v>46093.814351851855</v>
      </c>
      <c r="D44" s="14">
        <v>46094.04351851852</v>
      </c>
      <c r="E44" s="14">
        <v>46092.005636574075</v>
      </c>
      <c r="F44" s="14">
        <v>46094.04351851852</v>
      </c>
      <c r="G44" t="s">
        <v>470</v>
      </c>
      <c r="H44">
        <v>250</v>
      </c>
      <c r="I44">
        <v>2934.55</v>
      </c>
      <c r="J44" t="s">
        <v>104</v>
      </c>
      <c r="K44">
        <v>12826490</v>
      </c>
      <c r="L44" t="s">
        <v>1303</v>
      </c>
      <c r="M44" t="s">
        <v>109</v>
      </c>
      <c r="N44" t="s">
        <v>88</v>
      </c>
      <c r="O44" t="s">
        <v>458</v>
      </c>
      <c r="P44" t="s">
        <v>459</v>
      </c>
      <c r="Q44" t="s">
        <v>29</v>
      </c>
      <c r="R44" t="s">
        <v>1241</v>
      </c>
      <c r="S44">
        <v>24.2</v>
      </c>
      <c r="T44">
        <v>98</v>
      </c>
      <c r="U44" t="s">
        <v>100</v>
      </c>
      <c r="V44">
        <v>2</v>
      </c>
      <c r="X44" t="s">
        <v>1306</v>
      </c>
      <c r="AA44">
        <v>1440</v>
      </c>
      <c r="AB44" t="s">
        <v>26</v>
      </c>
      <c r="AC44">
        <v>158</v>
      </c>
      <c r="AD44" t="s">
        <v>27</v>
      </c>
      <c r="AE44" t="s">
        <v>28</v>
      </c>
      <c r="AF44">
        <v>0</v>
      </c>
      <c r="AK44" s="12">
        <f t="shared" si="0"/>
        <v>46094</v>
      </c>
      <c r="AL44" s="1" t="str">
        <f t="shared" si="1"/>
        <v>Week11</v>
      </c>
      <c r="AM44" s="1" t="s">
        <v>110</v>
      </c>
      <c r="AN44" s="1" t="str">
        <f t="shared" si="2"/>
        <v>NoGo</v>
      </c>
      <c r="AO44" s="2">
        <f t="shared" si="3"/>
        <v>91.735537190082638</v>
      </c>
      <c r="AP44" s="1">
        <f t="shared" si="4"/>
        <v>0</v>
      </c>
      <c r="AQ44" s="1">
        <f t="shared" si="5"/>
        <v>2</v>
      </c>
      <c r="AR44" s="1" t="s">
        <v>96</v>
      </c>
      <c r="AS44" s="1" t="s">
        <v>96</v>
      </c>
      <c r="AT44" s="1" t="s">
        <v>96</v>
      </c>
      <c r="AU44" s="1" t="str">
        <f t="shared" si="6"/>
        <v>Minor</v>
      </c>
      <c r="AV44" s="1" t="str">
        <f t="shared" si="7"/>
        <v>12826490Usha M</v>
      </c>
      <c r="AW44" s="1" t="str">
        <f t="shared" si="8"/>
        <v>Minor</v>
      </c>
      <c r="AX44" s="1">
        <f t="shared" si="9"/>
        <v>0</v>
      </c>
      <c r="AY44" s="1" t="s">
        <v>29</v>
      </c>
      <c r="AZ44" s="1" t="b">
        <v>0</v>
      </c>
      <c r="BA44" s="1">
        <f t="shared" si="10"/>
        <v>1</v>
      </c>
      <c r="BB44" s="1">
        <f t="shared" si="11"/>
        <v>2</v>
      </c>
      <c r="BC44" s="1" t="s">
        <v>459</v>
      </c>
      <c r="BD44" s="1" t="s">
        <v>43</v>
      </c>
      <c r="BE44" s="1" t="s">
        <v>98</v>
      </c>
      <c r="BF44" s="1" t="b">
        <v>0</v>
      </c>
      <c r="BG44" s="1" t="str">
        <f>VLOOKUP(AM44,Group!$C:$H,5,0)</f>
        <v>AMC Group</v>
      </c>
      <c r="BH44" s="1" t="str">
        <f>VLOOKUP(P44,others!$C:$G,5,0)</f>
        <v>MTX - India</v>
      </c>
    </row>
    <row r="45" spans="1:60" x14ac:dyDescent="0.25">
      <c r="A45" s="14">
        <v>46090.389988425923</v>
      </c>
      <c r="B45" s="14">
        <v>46090.619155092594</v>
      </c>
      <c r="C45" s="14">
        <v>46093.818657407406</v>
      </c>
      <c r="D45" s="14">
        <v>46094.047824074078</v>
      </c>
      <c r="E45" s="14">
        <v>46092.007106481484</v>
      </c>
      <c r="F45" s="14">
        <v>46094.047824074078</v>
      </c>
      <c r="G45" t="s">
        <v>470</v>
      </c>
      <c r="H45">
        <v>358</v>
      </c>
      <c r="I45">
        <v>2938.6333</v>
      </c>
      <c r="J45" t="s">
        <v>104</v>
      </c>
      <c r="K45">
        <v>12827283</v>
      </c>
      <c r="L45" t="s">
        <v>1320</v>
      </c>
      <c r="M45" t="s">
        <v>109</v>
      </c>
      <c r="N45" t="s">
        <v>88</v>
      </c>
      <c r="O45" t="s">
        <v>105</v>
      </c>
      <c r="P45" t="s">
        <v>103</v>
      </c>
      <c r="Q45" t="s">
        <v>29</v>
      </c>
      <c r="R45" t="s">
        <v>25</v>
      </c>
      <c r="S45">
        <v>17.920000000000002</v>
      </c>
      <c r="T45">
        <v>100</v>
      </c>
      <c r="U45" t="s">
        <v>100</v>
      </c>
      <c r="V45">
        <v>2</v>
      </c>
      <c r="X45" t="s">
        <v>1321</v>
      </c>
      <c r="AA45">
        <v>1440</v>
      </c>
      <c r="AB45" t="s">
        <v>26</v>
      </c>
      <c r="AC45">
        <v>159</v>
      </c>
      <c r="AD45" t="s">
        <v>27</v>
      </c>
      <c r="AE45" t="s">
        <v>28</v>
      </c>
      <c r="AF45">
        <v>1</v>
      </c>
      <c r="AK45" s="12">
        <f t="shared" si="0"/>
        <v>46094</v>
      </c>
      <c r="AL45" s="1" t="str">
        <f t="shared" si="1"/>
        <v>Week11</v>
      </c>
      <c r="AM45" s="1" t="s">
        <v>110</v>
      </c>
      <c r="AN45" s="1" t="str">
        <f t="shared" si="2"/>
        <v>Go</v>
      </c>
      <c r="AO45" s="2">
        <f t="shared" si="3"/>
        <v>100</v>
      </c>
      <c r="AP45" s="1">
        <f t="shared" si="4"/>
        <v>0</v>
      </c>
      <c r="AQ45" s="1">
        <f t="shared" si="5"/>
        <v>0</v>
      </c>
      <c r="AR45" s="1" t="s">
        <v>96</v>
      </c>
      <c r="AS45" s="1" t="s">
        <v>96</v>
      </c>
      <c r="AT45" s="1" t="s">
        <v>96</v>
      </c>
      <c r="AU45" s="1" t="str">
        <f t="shared" si="6"/>
        <v>Minor</v>
      </c>
      <c r="AV45" s="1" t="str">
        <f t="shared" si="7"/>
        <v>12827283Vijay Babu</v>
      </c>
      <c r="AW45" s="1" t="str">
        <f t="shared" si="8"/>
        <v>Minor</v>
      </c>
      <c r="AX45" s="1">
        <f t="shared" si="9"/>
        <v>0</v>
      </c>
      <c r="AY45" s="1" t="s">
        <v>29</v>
      </c>
      <c r="AZ45" s="1" t="b">
        <v>0</v>
      </c>
      <c r="BA45" s="1">
        <f t="shared" si="10"/>
        <v>1</v>
      </c>
      <c r="BB45" s="1">
        <f t="shared" si="11"/>
        <v>2</v>
      </c>
      <c r="BC45" s="1" t="s">
        <v>103</v>
      </c>
      <c r="BD45" s="1" t="s">
        <v>43</v>
      </c>
      <c r="BE45" s="1" t="s">
        <v>98</v>
      </c>
      <c r="BF45" s="1" t="b">
        <v>0</v>
      </c>
      <c r="BG45" s="1" t="str">
        <f>VLOOKUP(AM45,Group!$C:$H,5,0)</f>
        <v>AMC Group</v>
      </c>
      <c r="BH45" s="1" t="str">
        <f>VLOOKUP(P45,others!$C:$G,5,0)</f>
        <v>MTX - India</v>
      </c>
    </row>
    <row r="46" spans="1:60" x14ac:dyDescent="0.25">
      <c r="A46" s="14">
        <v>46088.596759259257</v>
      </c>
      <c r="B46" s="14">
        <v>46088.825925925928</v>
      </c>
      <c r="C46" s="14">
        <v>46093.821423611109</v>
      </c>
      <c r="D46" s="14">
        <v>46094.05059027778</v>
      </c>
      <c r="E46" s="14">
        <v>46092.006747685184</v>
      </c>
      <c r="F46" s="14">
        <v>46094.05059027778</v>
      </c>
      <c r="G46" t="s">
        <v>470</v>
      </c>
      <c r="H46">
        <v>227</v>
      </c>
      <c r="I46">
        <v>2943.1333</v>
      </c>
      <c r="J46" t="s">
        <v>104</v>
      </c>
      <c r="K46">
        <v>12827157</v>
      </c>
      <c r="L46" t="s">
        <v>1305</v>
      </c>
      <c r="M46" t="s">
        <v>109</v>
      </c>
      <c r="N46" t="s">
        <v>88</v>
      </c>
      <c r="O46" t="s">
        <v>105</v>
      </c>
      <c r="P46" t="s">
        <v>103</v>
      </c>
      <c r="Q46" t="s">
        <v>29</v>
      </c>
      <c r="R46" t="s">
        <v>25</v>
      </c>
      <c r="S46">
        <v>37.340000000000003</v>
      </c>
      <c r="T46">
        <v>100</v>
      </c>
      <c r="U46" t="s">
        <v>100</v>
      </c>
      <c r="V46">
        <v>1</v>
      </c>
      <c r="X46" t="s">
        <v>1266</v>
      </c>
      <c r="AA46">
        <v>360</v>
      </c>
      <c r="AB46" t="s">
        <v>26</v>
      </c>
      <c r="AC46">
        <v>174</v>
      </c>
      <c r="AD46" t="s">
        <v>27</v>
      </c>
      <c r="AE46" t="s">
        <v>28</v>
      </c>
      <c r="AF46">
        <v>0</v>
      </c>
      <c r="AK46" s="12">
        <f t="shared" si="0"/>
        <v>46094</v>
      </c>
      <c r="AL46" s="1" t="str">
        <f t="shared" si="1"/>
        <v>Week11</v>
      </c>
      <c r="AM46" s="1" t="s">
        <v>110</v>
      </c>
      <c r="AN46" s="1" t="str">
        <f t="shared" si="2"/>
        <v>Go</v>
      </c>
      <c r="AO46" s="2">
        <f t="shared" si="3"/>
        <v>100</v>
      </c>
      <c r="AP46" s="1">
        <f t="shared" si="4"/>
        <v>0</v>
      </c>
      <c r="AQ46" s="1">
        <f t="shared" si="5"/>
        <v>0</v>
      </c>
      <c r="AR46" s="1" t="s">
        <v>96</v>
      </c>
      <c r="AS46" s="1" t="s">
        <v>96</v>
      </c>
      <c r="AT46" s="1" t="s">
        <v>96</v>
      </c>
      <c r="AU46" s="1" t="str">
        <f t="shared" si="6"/>
        <v>Minor</v>
      </c>
      <c r="AV46" s="1" t="str">
        <f t="shared" si="7"/>
        <v>12827157Vijay Babu</v>
      </c>
      <c r="AW46" s="1" t="str">
        <f t="shared" si="8"/>
        <v>Minor</v>
      </c>
      <c r="AX46" s="1">
        <f t="shared" si="9"/>
        <v>0</v>
      </c>
      <c r="AY46" s="1" t="s">
        <v>29</v>
      </c>
      <c r="AZ46" s="1" t="b">
        <v>0</v>
      </c>
      <c r="BA46" s="1">
        <f t="shared" si="10"/>
        <v>1</v>
      </c>
      <c r="BB46" s="1">
        <f t="shared" si="11"/>
        <v>1</v>
      </c>
      <c r="BC46" s="1" t="s">
        <v>103</v>
      </c>
      <c r="BD46" s="1" t="s">
        <v>43</v>
      </c>
      <c r="BE46" s="1" t="s">
        <v>98</v>
      </c>
      <c r="BF46" s="1" t="b">
        <v>0</v>
      </c>
      <c r="BG46" s="1" t="str">
        <f>VLOOKUP(AM46,Group!$C:$H,5,0)</f>
        <v>AMC Group</v>
      </c>
      <c r="BH46" s="1" t="str">
        <f>VLOOKUP(P46,others!$C:$G,5,0)</f>
        <v>MTX - India</v>
      </c>
    </row>
    <row r="47" spans="1:60" x14ac:dyDescent="0.25">
      <c r="A47" s="14">
        <v>46086.537534722222</v>
      </c>
      <c r="B47" s="14">
        <v>46086.766701388886</v>
      </c>
      <c r="C47" s="14">
        <v>46093.832928240743</v>
      </c>
      <c r="D47" s="14">
        <v>46094.062094907407</v>
      </c>
      <c r="E47" s="14">
        <v>46091.534236111111</v>
      </c>
      <c r="F47" s="14">
        <v>46094.062094907407</v>
      </c>
      <c r="G47" t="s">
        <v>470</v>
      </c>
      <c r="H47">
        <v>178</v>
      </c>
      <c r="I47">
        <v>3640.1167</v>
      </c>
      <c r="J47" t="s">
        <v>104</v>
      </c>
      <c r="K47">
        <v>12826577</v>
      </c>
      <c r="L47" t="s">
        <v>1322</v>
      </c>
      <c r="M47" t="s">
        <v>174</v>
      </c>
      <c r="N47" t="s">
        <v>1323</v>
      </c>
      <c r="O47" t="s">
        <v>105</v>
      </c>
      <c r="P47" t="s">
        <v>103</v>
      </c>
      <c r="Q47" t="s">
        <v>29</v>
      </c>
      <c r="R47" t="s">
        <v>25</v>
      </c>
      <c r="S47">
        <v>34.85</v>
      </c>
      <c r="T47">
        <v>100</v>
      </c>
      <c r="V47">
        <v>0</v>
      </c>
      <c r="X47" t="s">
        <v>1324</v>
      </c>
      <c r="AA47">
        <v>720</v>
      </c>
      <c r="AB47" t="s">
        <v>1267</v>
      </c>
      <c r="AC47">
        <v>156</v>
      </c>
      <c r="AD47" t="s">
        <v>27</v>
      </c>
      <c r="AE47" t="s">
        <v>28</v>
      </c>
      <c r="AF47">
        <v>0</v>
      </c>
      <c r="AK47" s="12">
        <f t="shared" si="0"/>
        <v>46094</v>
      </c>
      <c r="AL47" s="1" t="str">
        <f t="shared" si="1"/>
        <v>Week11</v>
      </c>
      <c r="AM47" s="1" t="s">
        <v>189</v>
      </c>
      <c r="AN47" s="1" t="str">
        <f t="shared" si="2"/>
        <v>Go</v>
      </c>
      <c r="AO47" s="2">
        <f t="shared" si="3"/>
        <v>100</v>
      </c>
      <c r="AP47" s="1">
        <f t="shared" si="4"/>
        <v>0</v>
      </c>
      <c r="AQ47" s="1">
        <f t="shared" si="5"/>
        <v>0</v>
      </c>
      <c r="AR47" s="1" t="s">
        <v>96</v>
      </c>
      <c r="AS47" s="1" t="s">
        <v>96</v>
      </c>
      <c r="AT47" s="1" t="s">
        <v>96</v>
      </c>
      <c r="AU47" s="1" t="str">
        <f t="shared" si="6"/>
        <v/>
      </c>
      <c r="AV47" s="1" t="str">
        <f t="shared" si="7"/>
        <v>12826577Vijay Babu</v>
      </c>
      <c r="AW47" s="1" t="str">
        <f t="shared" si="8"/>
        <v/>
      </c>
      <c r="AX47" s="1" t="str">
        <f t="shared" si="9"/>
        <v/>
      </c>
      <c r="AY47" s="1" t="s">
        <v>29</v>
      </c>
      <c r="AZ47" s="1" t="b">
        <v>0</v>
      </c>
      <c r="BA47" s="1" t="str">
        <f t="shared" si="10"/>
        <v/>
      </c>
      <c r="BB47" s="1">
        <f t="shared" si="11"/>
        <v>0</v>
      </c>
      <c r="BC47" s="1" t="s">
        <v>99</v>
      </c>
      <c r="BD47" s="1" t="s">
        <v>1269</v>
      </c>
      <c r="BE47" s="1" t="s">
        <v>98</v>
      </c>
      <c r="BF47" s="1" t="b">
        <v>0</v>
      </c>
      <c r="BG47" s="1" t="str">
        <f>VLOOKUP(AM47,Group!$C:$H,5,0)</f>
        <v>Others</v>
      </c>
      <c r="BH47" s="1" t="str">
        <f>VLOOKUP(P47,others!$C:$G,5,0)</f>
        <v>MTX - India</v>
      </c>
    </row>
    <row r="48" spans="1:60" x14ac:dyDescent="0.25">
      <c r="A48" s="14">
        <v>46084.901967592596</v>
      </c>
      <c r="B48" s="14">
        <v>46085.13113425926</v>
      </c>
      <c r="C48" s="14">
        <v>46093.835578703707</v>
      </c>
      <c r="D48" s="14">
        <v>46094.064745370371</v>
      </c>
      <c r="E48" s="14">
        <v>46091.820960648147</v>
      </c>
      <c r="F48" s="14">
        <v>46094.064745370371</v>
      </c>
      <c r="G48" t="s">
        <v>470</v>
      </c>
      <c r="H48">
        <v>5502</v>
      </c>
      <c r="I48">
        <v>3231.05</v>
      </c>
      <c r="J48" t="s">
        <v>104</v>
      </c>
      <c r="K48">
        <v>12826021</v>
      </c>
      <c r="L48" t="s">
        <v>1325</v>
      </c>
      <c r="M48" t="s">
        <v>109</v>
      </c>
      <c r="N48" t="s">
        <v>88</v>
      </c>
      <c r="O48" t="s">
        <v>1300</v>
      </c>
      <c r="P48" t="s">
        <v>478</v>
      </c>
      <c r="Q48" t="s">
        <v>29</v>
      </c>
      <c r="R48" t="s">
        <v>25</v>
      </c>
      <c r="S48">
        <v>27.74</v>
      </c>
      <c r="T48">
        <v>100</v>
      </c>
      <c r="V48">
        <v>0</v>
      </c>
      <c r="X48" t="s">
        <v>1326</v>
      </c>
      <c r="AA48">
        <v>1440</v>
      </c>
      <c r="AB48" t="s">
        <v>26</v>
      </c>
      <c r="AC48">
        <v>191</v>
      </c>
      <c r="AD48" t="s">
        <v>27</v>
      </c>
      <c r="AE48" t="s">
        <v>28</v>
      </c>
      <c r="AF48">
        <v>0</v>
      </c>
      <c r="AK48" s="12">
        <f t="shared" si="0"/>
        <v>46094</v>
      </c>
      <c r="AL48" s="1" t="str">
        <f t="shared" si="1"/>
        <v>Week11</v>
      </c>
      <c r="AM48" s="1" t="s">
        <v>110</v>
      </c>
      <c r="AN48" s="1" t="str">
        <f t="shared" si="2"/>
        <v>Go</v>
      </c>
      <c r="AO48" s="2">
        <f t="shared" si="3"/>
        <v>100</v>
      </c>
      <c r="AP48" s="1">
        <f t="shared" si="4"/>
        <v>0</v>
      </c>
      <c r="AQ48" s="1">
        <f t="shared" si="5"/>
        <v>0</v>
      </c>
      <c r="AR48" s="1" t="s">
        <v>96</v>
      </c>
      <c r="AS48" s="1" t="s">
        <v>96</v>
      </c>
      <c r="AT48" s="1" t="s">
        <v>96</v>
      </c>
      <c r="AU48" s="1" t="str">
        <f t="shared" si="6"/>
        <v/>
      </c>
      <c r="AV48" s="1" t="str">
        <f t="shared" si="7"/>
        <v>12826021Sandeep S</v>
      </c>
      <c r="AW48" s="1" t="str">
        <f t="shared" si="8"/>
        <v/>
      </c>
      <c r="AX48" s="1" t="str">
        <f t="shared" si="9"/>
        <v/>
      </c>
      <c r="AY48" s="1" t="s">
        <v>29</v>
      </c>
      <c r="AZ48" s="1" t="b">
        <v>0</v>
      </c>
      <c r="BA48" s="1" t="str">
        <f t="shared" si="10"/>
        <v/>
      </c>
      <c r="BB48" s="1">
        <f t="shared" si="11"/>
        <v>0</v>
      </c>
      <c r="BC48" s="1" t="s">
        <v>478</v>
      </c>
      <c r="BD48" s="1" t="s">
        <v>43</v>
      </c>
      <c r="BE48" s="1" t="s">
        <v>98</v>
      </c>
      <c r="BF48" s="1" t="b">
        <v>0</v>
      </c>
      <c r="BG48" s="1" t="str">
        <f>VLOOKUP(AM48,Group!$C:$H,5,0)</f>
        <v>AMC Group</v>
      </c>
      <c r="BH48" s="1" t="str">
        <f>VLOOKUP(P48,others!$C:$G,5,0)</f>
        <v>MTX - India</v>
      </c>
    </row>
    <row r="49" spans="1:60" x14ac:dyDescent="0.25">
      <c r="A49" s="14">
        <v>46085.617430555554</v>
      </c>
      <c r="B49" s="14">
        <v>46085.846597222226</v>
      </c>
      <c r="C49" s="14">
        <v>46093.839155092595</v>
      </c>
      <c r="D49" s="14">
        <v>46094.06832175926</v>
      </c>
      <c r="E49" s="14">
        <v>46091.821076388886</v>
      </c>
      <c r="F49" s="14">
        <v>46094.06832175926</v>
      </c>
      <c r="G49" t="s">
        <v>470</v>
      </c>
      <c r="H49">
        <v>4731</v>
      </c>
      <c r="I49">
        <v>3236.0333000000001</v>
      </c>
      <c r="J49" t="s">
        <v>104</v>
      </c>
      <c r="K49">
        <v>12826278</v>
      </c>
      <c r="L49" t="s">
        <v>1325</v>
      </c>
      <c r="M49" t="s">
        <v>109</v>
      </c>
      <c r="N49" t="s">
        <v>88</v>
      </c>
      <c r="O49" t="s">
        <v>1300</v>
      </c>
      <c r="P49" t="s">
        <v>478</v>
      </c>
      <c r="Q49" t="s">
        <v>29</v>
      </c>
      <c r="R49" t="s">
        <v>25</v>
      </c>
      <c r="S49">
        <v>30.75</v>
      </c>
      <c r="T49">
        <v>100</v>
      </c>
      <c r="V49">
        <v>0</v>
      </c>
      <c r="X49" t="s">
        <v>1326</v>
      </c>
      <c r="AA49">
        <v>1440</v>
      </c>
      <c r="AB49" t="s">
        <v>26</v>
      </c>
      <c r="AC49">
        <v>190</v>
      </c>
      <c r="AD49" t="s">
        <v>27</v>
      </c>
      <c r="AE49" t="s">
        <v>28</v>
      </c>
      <c r="AF49">
        <v>0</v>
      </c>
      <c r="AK49" s="12">
        <f t="shared" si="0"/>
        <v>46094</v>
      </c>
      <c r="AL49" s="1" t="str">
        <f t="shared" si="1"/>
        <v>Week11</v>
      </c>
      <c r="AM49" s="1" t="s">
        <v>110</v>
      </c>
      <c r="AN49" s="1" t="str">
        <f t="shared" si="2"/>
        <v>Go</v>
      </c>
      <c r="AO49" s="2">
        <f t="shared" si="3"/>
        <v>100</v>
      </c>
      <c r="AP49" s="1">
        <f t="shared" si="4"/>
        <v>0</v>
      </c>
      <c r="AQ49" s="1">
        <f t="shared" si="5"/>
        <v>0</v>
      </c>
      <c r="AR49" s="1" t="s">
        <v>96</v>
      </c>
      <c r="AS49" s="1" t="s">
        <v>96</v>
      </c>
      <c r="AT49" s="1" t="s">
        <v>96</v>
      </c>
      <c r="AU49" s="1" t="str">
        <f t="shared" si="6"/>
        <v/>
      </c>
      <c r="AV49" s="1" t="str">
        <f t="shared" si="7"/>
        <v>12826278Sandeep S</v>
      </c>
      <c r="AW49" s="1" t="str">
        <f t="shared" si="8"/>
        <v/>
      </c>
      <c r="AX49" s="1" t="str">
        <f t="shared" si="9"/>
        <v/>
      </c>
      <c r="AY49" s="1" t="s">
        <v>29</v>
      </c>
      <c r="AZ49" s="1" t="b">
        <v>0</v>
      </c>
      <c r="BA49" s="1" t="str">
        <f t="shared" si="10"/>
        <v/>
      </c>
      <c r="BB49" s="1">
        <f t="shared" si="11"/>
        <v>0</v>
      </c>
      <c r="BC49" s="1" t="s">
        <v>478</v>
      </c>
      <c r="BD49" s="1" t="s">
        <v>43</v>
      </c>
      <c r="BE49" s="1" t="s">
        <v>98</v>
      </c>
      <c r="BF49" s="1" t="b">
        <v>0</v>
      </c>
      <c r="BG49" s="1" t="str">
        <f>VLOOKUP(AM49,Group!$C:$H,5,0)</f>
        <v>AMC Group</v>
      </c>
      <c r="BH49" s="1" t="str">
        <f>VLOOKUP(P49,others!$C:$G,5,0)</f>
        <v>MTX - India</v>
      </c>
    </row>
    <row r="50" spans="1:60" x14ac:dyDescent="0.25">
      <c r="A50" s="14">
        <v>46087.559328703705</v>
      </c>
      <c r="B50" s="14">
        <v>46087.788495370369</v>
      </c>
      <c r="C50" s="14">
        <v>46093.841064814813</v>
      </c>
      <c r="D50" s="14">
        <v>46094.070231481484</v>
      </c>
      <c r="E50" s="14">
        <v>46092.005844907406</v>
      </c>
      <c r="F50" s="14">
        <v>46094.070231481484</v>
      </c>
      <c r="G50" t="s">
        <v>470</v>
      </c>
      <c r="H50">
        <v>145</v>
      </c>
      <c r="I50">
        <v>2972.7166999999999</v>
      </c>
      <c r="J50" t="s">
        <v>104</v>
      </c>
      <c r="K50">
        <v>12826910</v>
      </c>
      <c r="L50" t="s">
        <v>1325</v>
      </c>
      <c r="M50" t="s">
        <v>109</v>
      </c>
      <c r="N50" t="s">
        <v>88</v>
      </c>
      <c r="O50" t="s">
        <v>105</v>
      </c>
      <c r="P50" t="s">
        <v>103</v>
      </c>
      <c r="Q50" t="s">
        <v>29</v>
      </c>
      <c r="R50" t="s">
        <v>25</v>
      </c>
      <c r="S50">
        <v>22.8</v>
      </c>
      <c r="T50">
        <v>100</v>
      </c>
      <c r="V50">
        <v>0</v>
      </c>
      <c r="X50" t="s">
        <v>1326</v>
      </c>
      <c r="AA50">
        <v>1440</v>
      </c>
      <c r="AB50" t="s">
        <v>26</v>
      </c>
      <c r="AC50">
        <v>115</v>
      </c>
      <c r="AD50" t="s">
        <v>27</v>
      </c>
      <c r="AE50" t="s">
        <v>28</v>
      </c>
      <c r="AF50">
        <v>0</v>
      </c>
      <c r="AK50" s="12">
        <f t="shared" si="0"/>
        <v>46094</v>
      </c>
      <c r="AL50" s="1" t="str">
        <f t="shared" si="1"/>
        <v>Week11</v>
      </c>
      <c r="AM50" s="1" t="s">
        <v>110</v>
      </c>
      <c r="AN50" s="1" t="str">
        <f t="shared" si="2"/>
        <v>Go</v>
      </c>
      <c r="AO50" s="2">
        <f t="shared" si="3"/>
        <v>100</v>
      </c>
      <c r="AP50" s="1">
        <f t="shared" si="4"/>
        <v>0</v>
      </c>
      <c r="AQ50" s="1">
        <f t="shared" si="5"/>
        <v>0</v>
      </c>
      <c r="AR50" s="1" t="s">
        <v>96</v>
      </c>
      <c r="AS50" s="1" t="s">
        <v>96</v>
      </c>
      <c r="AT50" s="1" t="s">
        <v>96</v>
      </c>
      <c r="AU50" s="1" t="str">
        <f t="shared" si="6"/>
        <v/>
      </c>
      <c r="AV50" s="1" t="str">
        <f t="shared" si="7"/>
        <v>12826910Vijay Babu</v>
      </c>
      <c r="AW50" s="1" t="str">
        <f t="shared" si="8"/>
        <v/>
      </c>
      <c r="AX50" s="1" t="str">
        <f t="shared" si="9"/>
        <v/>
      </c>
      <c r="AY50" s="1" t="s">
        <v>29</v>
      </c>
      <c r="AZ50" s="1" t="b">
        <v>0</v>
      </c>
      <c r="BA50" s="1" t="str">
        <f t="shared" si="10"/>
        <v/>
      </c>
      <c r="BB50" s="1">
        <f t="shared" si="11"/>
        <v>0</v>
      </c>
      <c r="BC50" s="1" t="s">
        <v>103</v>
      </c>
      <c r="BD50" s="1" t="s">
        <v>43</v>
      </c>
      <c r="BE50" s="1" t="s">
        <v>98</v>
      </c>
      <c r="BF50" s="1" t="b">
        <v>0</v>
      </c>
      <c r="BG50" s="1" t="str">
        <f>VLOOKUP(AM50,Group!$C:$H,5,0)</f>
        <v>AMC Group</v>
      </c>
      <c r="BH50" s="1" t="str">
        <f>VLOOKUP(P50,others!$C:$G,5,0)</f>
        <v>MTX - India</v>
      </c>
    </row>
    <row r="51" spans="1:60" x14ac:dyDescent="0.25">
      <c r="A51" s="14">
        <v>46092.454108796293</v>
      </c>
      <c r="B51" s="14">
        <v>46092.683275462965</v>
      </c>
      <c r="C51" s="14">
        <v>46094.110474537039</v>
      </c>
      <c r="D51" s="14">
        <v>46094.339641203704</v>
      </c>
      <c r="E51" s="14">
        <v>46094.070671296293</v>
      </c>
      <c r="F51" s="14">
        <v>46094.339641203704</v>
      </c>
      <c r="G51" t="s">
        <v>470</v>
      </c>
      <c r="H51">
        <v>381</v>
      </c>
      <c r="I51">
        <v>387.31670000000003</v>
      </c>
      <c r="J51" t="s">
        <v>104</v>
      </c>
      <c r="K51">
        <v>12828038</v>
      </c>
      <c r="L51" t="s">
        <v>1315</v>
      </c>
      <c r="M51" t="s">
        <v>109</v>
      </c>
      <c r="N51" t="s">
        <v>88</v>
      </c>
      <c r="O51" t="s">
        <v>458</v>
      </c>
      <c r="P51" t="s">
        <v>459</v>
      </c>
      <c r="Q51" t="s">
        <v>29</v>
      </c>
      <c r="R51" t="s">
        <v>25</v>
      </c>
      <c r="S51">
        <v>51.11</v>
      </c>
      <c r="T51">
        <v>100</v>
      </c>
      <c r="U51" t="s">
        <v>100</v>
      </c>
      <c r="V51">
        <v>1</v>
      </c>
      <c r="X51" t="s">
        <v>1261</v>
      </c>
      <c r="AA51">
        <v>360</v>
      </c>
      <c r="AB51" t="s">
        <v>26</v>
      </c>
      <c r="AC51">
        <v>204</v>
      </c>
      <c r="AD51" t="s">
        <v>27</v>
      </c>
      <c r="AE51" t="s">
        <v>28</v>
      </c>
      <c r="AF51">
        <v>0</v>
      </c>
      <c r="AK51" s="12">
        <f t="shared" si="0"/>
        <v>46094</v>
      </c>
      <c r="AL51" s="1" t="str">
        <f t="shared" si="1"/>
        <v>Week11</v>
      </c>
      <c r="AM51" s="1" t="s">
        <v>110</v>
      </c>
      <c r="AN51" s="1" t="str">
        <f t="shared" si="2"/>
        <v>Go</v>
      </c>
      <c r="AO51" s="2">
        <f t="shared" si="3"/>
        <v>100</v>
      </c>
      <c r="AP51" s="1">
        <f t="shared" si="4"/>
        <v>0</v>
      </c>
      <c r="AQ51" s="1">
        <f t="shared" si="5"/>
        <v>0</v>
      </c>
      <c r="AR51" s="1" t="s">
        <v>96</v>
      </c>
      <c r="AS51" s="1" t="s">
        <v>96</v>
      </c>
      <c r="AT51" s="1" t="s">
        <v>96</v>
      </c>
      <c r="AU51" s="1" t="str">
        <f t="shared" si="6"/>
        <v>Minor</v>
      </c>
      <c r="AV51" s="1" t="str">
        <f t="shared" si="7"/>
        <v>12828038Usha M</v>
      </c>
      <c r="AW51" s="1" t="str">
        <f t="shared" si="8"/>
        <v>Minor</v>
      </c>
      <c r="AX51" s="1">
        <f t="shared" si="9"/>
        <v>0</v>
      </c>
      <c r="AY51" s="1" t="s">
        <v>29</v>
      </c>
      <c r="AZ51" s="1" t="b">
        <v>0</v>
      </c>
      <c r="BA51" s="1">
        <f t="shared" si="10"/>
        <v>1</v>
      </c>
      <c r="BB51" s="1">
        <f t="shared" si="11"/>
        <v>1</v>
      </c>
      <c r="BC51" s="1" t="s">
        <v>459</v>
      </c>
      <c r="BD51" s="1" t="s">
        <v>43</v>
      </c>
      <c r="BE51" s="1" t="s">
        <v>98</v>
      </c>
      <c r="BF51" s="1" t="b">
        <v>0</v>
      </c>
      <c r="BG51" s="1" t="str">
        <f>VLOOKUP(AM51,Group!$C:$H,5,0)</f>
        <v>AMC Group</v>
      </c>
      <c r="BH51" s="1" t="str">
        <f>VLOOKUP(P51,others!$C:$G,5,0)</f>
        <v>MTX - India</v>
      </c>
    </row>
    <row r="52" spans="1:60" x14ac:dyDescent="0.25">
      <c r="A52" s="14">
        <v>46091.665347222224</v>
      </c>
      <c r="B52" s="14">
        <v>46091.894513888888</v>
      </c>
      <c r="C52" s="14">
        <v>46094.124664351853</v>
      </c>
      <c r="D52" s="14">
        <v>46094.353831018518</v>
      </c>
      <c r="E52" s="14">
        <v>46094.064849537041</v>
      </c>
      <c r="F52" s="14">
        <v>46094.353831018518</v>
      </c>
      <c r="G52" t="s">
        <v>470</v>
      </c>
      <c r="H52">
        <v>1490</v>
      </c>
      <c r="I52">
        <v>416.13330000000002</v>
      </c>
      <c r="J52" t="s">
        <v>104</v>
      </c>
      <c r="K52">
        <v>12827745</v>
      </c>
      <c r="L52" t="s">
        <v>1327</v>
      </c>
      <c r="M52" t="s">
        <v>136</v>
      </c>
      <c r="N52" t="s">
        <v>88</v>
      </c>
      <c r="O52" t="s">
        <v>465</v>
      </c>
      <c r="P52" t="s">
        <v>153</v>
      </c>
      <c r="Q52" t="s">
        <v>1328</v>
      </c>
      <c r="R52" t="s">
        <v>25</v>
      </c>
      <c r="S52">
        <v>155.22999999999999</v>
      </c>
      <c r="T52">
        <v>100</v>
      </c>
      <c r="U52" t="s">
        <v>100</v>
      </c>
      <c r="V52">
        <v>2</v>
      </c>
      <c r="X52" t="s">
        <v>1329</v>
      </c>
      <c r="AA52">
        <v>1440</v>
      </c>
      <c r="AB52" t="s">
        <v>26</v>
      </c>
      <c r="AC52">
        <v>1269</v>
      </c>
      <c r="AD52" t="s">
        <v>27</v>
      </c>
      <c r="AE52" t="s">
        <v>28</v>
      </c>
      <c r="AF52">
        <v>0</v>
      </c>
      <c r="AK52" s="12">
        <f t="shared" si="0"/>
        <v>46094</v>
      </c>
      <c r="AL52" s="1" t="str">
        <f t="shared" si="1"/>
        <v>Week11</v>
      </c>
      <c r="AM52" s="1" t="s">
        <v>138</v>
      </c>
      <c r="AN52" s="1" t="str">
        <f t="shared" si="2"/>
        <v>Go</v>
      </c>
      <c r="AO52" s="2">
        <f t="shared" si="3"/>
        <v>100</v>
      </c>
      <c r="AP52" s="1">
        <f t="shared" si="4"/>
        <v>0</v>
      </c>
      <c r="AQ52" s="1">
        <f t="shared" si="5"/>
        <v>0</v>
      </c>
      <c r="AR52" s="1" t="s">
        <v>96</v>
      </c>
      <c r="AS52" s="1" t="s">
        <v>96</v>
      </c>
      <c r="AT52" s="1" t="s">
        <v>96</v>
      </c>
      <c r="AU52" s="1" t="str">
        <f t="shared" si="6"/>
        <v>Minor</v>
      </c>
      <c r="AV52" s="1" t="str">
        <f t="shared" si="7"/>
        <v>12827745Sivasankari A</v>
      </c>
      <c r="AW52" s="1" t="str">
        <f t="shared" si="8"/>
        <v>Minor</v>
      </c>
      <c r="AX52" s="1">
        <f t="shared" si="9"/>
        <v>0</v>
      </c>
      <c r="AY52" s="1" t="s">
        <v>29</v>
      </c>
      <c r="AZ52" s="1" t="b">
        <v>0</v>
      </c>
      <c r="BA52" s="1">
        <f t="shared" si="10"/>
        <v>1</v>
      </c>
      <c r="BB52" s="1">
        <f t="shared" si="11"/>
        <v>2</v>
      </c>
      <c r="BC52" s="1" t="s">
        <v>153</v>
      </c>
      <c r="BD52" s="1" t="s">
        <v>43</v>
      </c>
      <c r="BE52" s="1" t="s">
        <v>98</v>
      </c>
      <c r="BF52" s="1" t="b">
        <v>0</v>
      </c>
      <c r="BG52" s="1" t="str">
        <f>VLOOKUP(AM52,Group!$C:$H,5,0)</f>
        <v>Top 25</v>
      </c>
      <c r="BH52" s="1" t="str">
        <f>VLOOKUP(P52,others!$C:$G,5,0)</f>
        <v>VR QA - India</v>
      </c>
    </row>
    <row r="53" spans="1:60" x14ac:dyDescent="0.25">
      <c r="A53" s="14">
        <v>46087.564421296294</v>
      </c>
      <c r="B53" s="14">
        <v>46087.793587962966</v>
      </c>
      <c r="C53" s="14">
        <v>46094.213148148148</v>
      </c>
      <c r="D53" s="14">
        <v>46094.442314814813</v>
      </c>
      <c r="E53" s="14">
        <v>46094.070486111108</v>
      </c>
      <c r="F53" s="14">
        <v>46094.442314814813</v>
      </c>
      <c r="G53" t="s">
        <v>470</v>
      </c>
      <c r="H53">
        <v>303</v>
      </c>
      <c r="I53">
        <v>535.43330000000003</v>
      </c>
      <c r="J53" t="s">
        <v>104</v>
      </c>
      <c r="K53">
        <v>12826912</v>
      </c>
      <c r="L53" t="s">
        <v>1325</v>
      </c>
      <c r="M53" t="s">
        <v>109</v>
      </c>
      <c r="N53" t="s">
        <v>88</v>
      </c>
      <c r="O53" t="s">
        <v>1300</v>
      </c>
      <c r="P53" t="s">
        <v>478</v>
      </c>
      <c r="Q53" t="s">
        <v>29</v>
      </c>
      <c r="R53" t="s">
        <v>25</v>
      </c>
      <c r="S53">
        <v>34.31</v>
      </c>
      <c r="T53">
        <v>100</v>
      </c>
      <c r="U53" t="s">
        <v>100</v>
      </c>
      <c r="V53">
        <v>1</v>
      </c>
      <c r="X53" t="s">
        <v>1326</v>
      </c>
      <c r="AA53">
        <v>1440</v>
      </c>
      <c r="AB53" t="s">
        <v>26</v>
      </c>
      <c r="AC53">
        <v>187</v>
      </c>
      <c r="AD53" t="s">
        <v>27</v>
      </c>
      <c r="AE53" t="s">
        <v>28</v>
      </c>
      <c r="AF53">
        <v>0</v>
      </c>
      <c r="AK53" s="12">
        <f t="shared" si="0"/>
        <v>46094</v>
      </c>
      <c r="AL53" s="1" t="str">
        <f t="shared" si="1"/>
        <v>Week11</v>
      </c>
      <c r="AM53" s="1" t="s">
        <v>110</v>
      </c>
      <c r="AN53" s="1" t="str">
        <f t="shared" si="2"/>
        <v>Go</v>
      </c>
      <c r="AO53" s="2">
        <f t="shared" si="3"/>
        <v>100</v>
      </c>
      <c r="AP53" s="1">
        <f t="shared" si="4"/>
        <v>0</v>
      </c>
      <c r="AQ53" s="1">
        <f t="shared" si="5"/>
        <v>0</v>
      </c>
      <c r="AR53" s="1" t="s">
        <v>96</v>
      </c>
      <c r="AS53" s="1" t="s">
        <v>96</v>
      </c>
      <c r="AT53" s="1" t="s">
        <v>96</v>
      </c>
      <c r="AU53" s="1" t="str">
        <f t="shared" si="6"/>
        <v>Minor</v>
      </c>
      <c r="AV53" s="1" t="str">
        <f t="shared" si="7"/>
        <v>12826912Sandeep S</v>
      </c>
      <c r="AW53" s="1" t="str">
        <f t="shared" si="8"/>
        <v>Minor</v>
      </c>
      <c r="AX53" s="1">
        <f t="shared" si="9"/>
        <v>0</v>
      </c>
      <c r="AY53" s="1" t="s">
        <v>29</v>
      </c>
      <c r="AZ53" s="1" t="b">
        <v>0</v>
      </c>
      <c r="BA53" s="1">
        <f t="shared" si="10"/>
        <v>1</v>
      </c>
      <c r="BB53" s="1">
        <f t="shared" si="11"/>
        <v>1</v>
      </c>
      <c r="BC53" s="1" t="s">
        <v>478</v>
      </c>
      <c r="BD53" s="1" t="s">
        <v>43</v>
      </c>
      <c r="BE53" s="1" t="s">
        <v>98</v>
      </c>
      <c r="BF53" s="1" t="b">
        <v>0</v>
      </c>
      <c r="BG53" s="1" t="str">
        <f>VLOOKUP(AM53,Group!$C:$H,5,0)</f>
        <v>AMC Group</v>
      </c>
      <c r="BH53" s="1" t="str">
        <f>VLOOKUP(P53,others!$C:$G,5,0)</f>
        <v>MTX - India</v>
      </c>
    </row>
    <row r="54" spans="1:60" x14ac:dyDescent="0.25">
      <c r="A54" s="14">
        <v>46087.947974537034</v>
      </c>
      <c r="B54" s="14">
        <v>46088.177141203705</v>
      </c>
      <c r="C54" s="14">
        <v>46094.479594907411</v>
      </c>
      <c r="D54" s="14">
        <v>46094.708761574075</v>
      </c>
      <c r="E54" s="14">
        <v>46094.070335648146</v>
      </c>
      <c r="F54" s="14">
        <v>46094.708761574075</v>
      </c>
      <c r="G54" t="s">
        <v>470</v>
      </c>
      <c r="H54">
        <v>292</v>
      </c>
      <c r="I54">
        <v>919.33330000000001</v>
      </c>
      <c r="J54" t="s">
        <v>104</v>
      </c>
      <c r="K54">
        <v>12827117</v>
      </c>
      <c r="L54" t="s">
        <v>1318</v>
      </c>
      <c r="M54" t="s">
        <v>163</v>
      </c>
      <c r="N54" t="s">
        <v>88</v>
      </c>
      <c r="O54" t="s">
        <v>1300</v>
      </c>
      <c r="P54" t="s">
        <v>478</v>
      </c>
      <c r="Q54" t="s">
        <v>29</v>
      </c>
      <c r="R54" t="s">
        <v>25</v>
      </c>
      <c r="S54">
        <v>36.25</v>
      </c>
      <c r="T54">
        <v>100</v>
      </c>
      <c r="V54">
        <v>0</v>
      </c>
      <c r="X54" t="s">
        <v>1319</v>
      </c>
      <c r="AA54">
        <v>480</v>
      </c>
      <c r="AB54" t="s">
        <v>26</v>
      </c>
      <c r="AC54">
        <v>196</v>
      </c>
      <c r="AD54" t="s">
        <v>27</v>
      </c>
      <c r="AE54" t="s">
        <v>28</v>
      </c>
      <c r="AF54">
        <v>0</v>
      </c>
      <c r="AK54" s="12">
        <f t="shared" si="0"/>
        <v>46094</v>
      </c>
      <c r="AL54" s="1" t="str">
        <f t="shared" si="1"/>
        <v>Week11</v>
      </c>
      <c r="AM54" s="1" t="s">
        <v>169</v>
      </c>
      <c r="AN54" s="1" t="str">
        <f t="shared" si="2"/>
        <v>Go</v>
      </c>
      <c r="AO54" s="2">
        <f t="shared" si="3"/>
        <v>100</v>
      </c>
      <c r="AP54" s="1">
        <f t="shared" si="4"/>
        <v>0</v>
      </c>
      <c r="AQ54" s="1">
        <f t="shared" si="5"/>
        <v>0</v>
      </c>
      <c r="AR54" s="1" t="s">
        <v>96</v>
      </c>
      <c r="AS54" s="1" t="s">
        <v>96</v>
      </c>
      <c r="AT54" s="1" t="s">
        <v>96</v>
      </c>
      <c r="AU54" s="1" t="str">
        <f t="shared" si="6"/>
        <v/>
      </c>
      <c r="AV54" s="1" t="str">
        <f t="shared" si="7"/>
        <v>12827117Sandeep S</v>
      </c>
      <c r="AW54" s="1" t="str">
        <f t="shared" si="8"/>
        <v/>
      </c>
      <c r="AX54" s="1" t="str">
        <f t="shared" si="9"/>
        <v/>
      </c>
      <c r="AY54" s="1" t="s">
        <v>29</v>
      </c>
      <c r="AZ54" s="1" t="b">
        <v>0</v>
      </c>
      <c r="BA54" s="1" t="str">
        <f t="shared" si="10"/>
        <v/>
      </c>
      <c r="BB54" s="1">
        <f t="shared" si="11"/>
        <v>0</v>
      </c>
      <c r="BC54" s="1" t="s">
        <v>478</v>
      </c>
      <c r="BD54" s="1" t="s">
        <v>43</v>
      </c>
      <c r="BE54" s="1" t="s">
        <v>98</v>
      </c>
      <c r="BF54" s="1" t="b">
        <v>0</v>
      </c>
      <c r="BG54" s="1" t="str">
        <f>VLOOKUP(AM54,Group!$C:$H,5,0)</f>
        <v>Fundamental</v>
      </c>
      <c r="BH54" s="1" t="str">
        <f>VLOOKUP(P54,others!$C:$G,5,0)</f>
        <v>MTX - India</v>
      </c>
    </row>
    <row r="55" spans="1:60" x14ac:dyDescent="0.25">
      <c r="A55" s="14">
        <v>46091.729432870372</v>
      </c>
      <c r="B55" s="14">
        <v>46091.958599537036</v>
      </c>
      <c r="C55" s="14">
        <v>46094.492071759261</v>
      </c>
      <c r="D55" s="14">
        <v>46094.721238425926</v>
      </c>
      <c r="E55" s="14">
        <v>46094.065034722225</v>
      </c>
      <c r="F55" s="14">
        <v>46094.721238425926</v>
      </c>
      <c r="G55" t="s">
        <v>470</v>
      </c>
      <c r="H55">
        <v>1184</v>
      </c>
      <c r="I55">
        <v>944.93330000000003</v>
      </c>
      <c r="J55" t="s">
        <v>104</v>
      </c>
      <c r="K55">
        <v>12827766</v>
      </c>
      <c r="L55" t="s">
        <v>1327</v>
      </c>
      <c r="M55" t="s">
        <v>136</v>
      </c>
      <c r="N55" t="s">
        <v>88</v>
      </c>
      <c r="O55" t="s">
        <v>465</v>
      </c>
      <c r="P55" t="s">
        <v>153</v>
      </c>
      <c r="Q55" t="s">
        <v>1328</v>
      </c>
      <c r="R55" t="s">
        <v>25</v>
      </c>
      <c r="S55">
        <v>99.77</v>
      </c>
      <c r="T55">
        <v>99</v>
      </c>
      <c r="U55" t="s">
        <v>472</v>
      </c>
      <c r="V55">
        <v>1</v>
      </c>
      <c r="X55" t="s">
        <v>1329</v>
      </c>
      <c r="AA55">
        <v>1440</v>
      </c>
      <c r="AB55" t="s">
        <v>26</v>
      </c>
      <c r="AC55">
        <v>875</v>
      </c>
      <c r="AD55" t="s">
        <v>27</v>
      </c>
      <c r="AE55" t="s">
        <v>28</v>
      </c>
      <c r="AF55">
        <v>0</v>
      </c>
      <c r="AK55" s="12">
        <f t="shared" si="0"/>
        <v>46094</v>
      </c>
      <c r="AL55" s="1" t="str">
        <f t="shared" si="1"/>
        <v>Week11</v>
      </c>
      <c r="AM55" s="1" t="s">
        <v>138</v>
      </c>
      <c r="AN55" s="1" t="str">
        <f t="shared" si="2"/>
        <v>Go</v>
      </c>
      <c r="AO55" s="2">
        <f t="shared" si="3"/>
        <v>98.997694697804945</v>
      </c>
      <c r="AP55" s="1">
        <f t="shared" si="4"/>
        <v>1</v>
      </c>
      <c r="AQ55" s="1">
        <f t="shared" si="5"/>
        <v>1</v>
      </c>
      <c r="AR55" s="1" t="s">
        <v>96</v>
      </c>
      <c r="AS55" s="1" t="s">
        <v>96</v>
      </c>
      <c r="AT55" s="1" t="s">
        <v>96</v>
      </c>
      <c r="AU55" s="1" t="str">
        <f t="shared" si="6"/>
        <v>Major</v>
      </c>
      <c r="AV55" s="1" t="str">
        <f t="shared" si="7"/>
        <v>12827766Sivasankari A</v>
      </c>
      <c r="AW55" s="1" t="str">
        <f t="shared" si="8"/>
        <v>Major</v>
      </c>
      <c r="AX55" s="1">
        <f t="shared" si="9"/>
        <v>1</v>
      </c>
      <c r="AY55" s="1" t="s">
        <v>29</v>
      </c>
      <c r="AZ55" s="1" t="b">
        <v>0</v>
      </c>
      <c r="BA55" s="1">
        <f t="shared" si="10"/>
        <v>1</v>
      </c>
      <c r="BB55" s="1">
        <f t="shared" si="11"/>
        <v>1</v>
      </c>
      <c r="BC55" s="1" t="s">
        <v>153</v>
      </c>
      <c r="BD55" s="1" t="s">
        <v>43</v>
      </c>
      <c r="BE55" s="1" t="s">
        <v>98</v>
      </c>
      <c r="BF55" s="1" t="b">
        <v>0</v>
      </c>
      <c r="BG55" s="1" t="str">
        <f>VLOOKUP(AM55,Group!$C:$H,5,0)</f>
        <v>Top 25</v>
      </c>
      <c r="BH55" s="1" t="str">
        <f>VLOOKUP(P55,others!$C:$G,5,0)</f>
        <v>VR QA - India</v>
      </c>
    </row>
    <row r="56" spans="1:60" x14ac:dyDescent="0.25">
      <c r="A56" s="14">
        <v>46091.492546296293</v>
      </c>
      <c r="B56" s="14">
        <v>46091.721712962964</v>
      </c>
      <c r="C56" s="14">
        <v>46096.702928240738</v>
      </c>
      <c r="D56" s="14">
        <v>46096.93209490741</v>
      </c>
      <c r="E56" s="14">
        <v>46095.419236111113</v>
      </c>
      <c r="F56" s="14">
        <v>46096.93209490741</v>
      </c>
      <c r="G56" t="s">
        <v>470</v>
      </c>
      <c r="H56">
        <v>221</v>
      </c>
      <c r="I56">
        <v>2178.5167000000001</v>
      </c>
      <c r="J56" t="s">
        <v>104</v>
      </c>
      <c r="K56">
        <v>12827712</v>
      </c>
      <c r="L56" t="s">
        <v>1330</v>
      </c>
      <c r="M56" t="s">
        <v>129</v>
      </c>
      <c r="N56" t="s">
        <v>1331</v>
      </c>
      <c r="O56" t="s">
        <v>1300</v>
      </c>
      <c r="P56" t="s">
        <v>478</v>
      </c>
      <c r="Q56" t="s">
        <v>29</v>
      </c>
      <c r="R56" t="s">
        <v>25</v>
      </c>
      <c r="S56">
        <v>22.37</v>
      </c>
      <c r="T56">
        <v>100</v>
      </c>
      <c r="V56">
        <v>0</v>
      </c>
      <c r="X56" t="s">
        <v>1332</v>
      </c>
      <c r="AA56">
        <v>1440</v>
      </c>
      <c r="AB56" t="s">
        <v>26</v>
      </c>
      <c r="AC56">
        <v>127</v>
      </c>
      <c r="AD56" t="s">
        <v>27</v>
      </c>
      <c r="AE56" t="s">
        <v>28</v>
      </c>
      <c r="AF56">
        <v>0</v>
      </c>
      <c r="AK56" s="12">
        <f t="shared" si="0"/>
        <v>46096</v>
      </c>
      <c r="AL56" s="1" t="str">
        <f t="shared" si="1"/>
        <v>Week12</v>
      </c>
      <c r="AM56" s="1" t="s">
        <v>135</v>
      </c>
      <c r="AN56" s="1" t="str">
        <f t="shared" si="2"/>
        <v>Go</v>
      </c>
      <c r="AO56" s="2">
        <f t="shared" si="3"/>
        <v>100</v>
      </c>
      <c r="AP56" s="1">
        <f t="shared" si="4"/>
        <v>0</v>
      </c>
      <c r="AQ56" s="1">
        <f t="shared" si="5"/>
        <v>0</v>
      </c>
      <c r="AR56" s="1" t="s">
        <v>96</v>
      </c>
      <c r="AS56" s="1" t="s">
        <v>96</v>
      </c>
      <c r="AT56" s="1" t="s">
        <v>96</v>
      </c>
      <c r="AU56" s="1" t="str">
        <f t="shared" si="6"/>
        <v/>
      </c>
      <c r="AV56" s="1" t="str">
        <f t="shared" si="7"/>
        <v>12827712Sandeep S</v>
      </c>
      <c r="AW56" s="1" t="str">
        <f t="shared" si="8"/>
        <v/>
      </c>
      <c r="AX56" s="1" t="str">
        <f t="shared" si="9"/>
        <v/>
      </c>
      <c r="AY56" s="1" t="s">
        <v>29</v>
      </c>
      <c r="AZ56" s="1" t="b">
        <v>0</v>
      </c>
      <c r="BA56" s="1" t="str">
        <f t="shared" si="10"/>
        <v/>
      </c>
      <c r="BB56" s="1">
        <f t="shared" si="11"/>
        <v>0</v>
      </c>
      <c r="BC56" s="1" t="s">
        <v>478</v>
      </c>
      <c r="BD56" s="1" t="s">
        <v>43</v>
      </c>
      <c r="BE56" s="1" t="s">
        <v>98</v>
      </c>
      <c r="BF56" s="1" t="b">
        <v>0</v>
      </c>
      <c r="BG56" s="1" t="str">
        <f>VLOOKUP(AM56,Group!$C:$H,5,0)</f>
        <v>Others</v>
      </c>
      <c r="BH56" s="1" t="str">
        <f>VLOOKUP(P56,others!$C:$G,5,0)</f>
        <v>MTX - India</v>
      </c>
    </row>
    <row r="57" spans="1:60" x14ac:dyDescent="0.25">
      <c r="A57" s="14">
        <v>46087.51662037037</v>
      </c>
      <c r="B57" s="14">
        <v>46087.745787037034</v>
      </c>
      <c r="C57" s="14">
        <v>46096.708078703705</v>
      </c>
      <c r="D57" s="14">
        <v>46096.937245370369</v>
      </c>
      <c r="E57" s="14">
        <v>46094.065451388888</v>
      </c>
      <c r="F57" s="14">
        <v>46096.937245370369</v>
      </c>
      <c r="G57" t="s">
        <v>470</v>
      </c>
      <c r="H57">
        <v>8577</v>
      </c>
      <c r="I57">
        <v>4135.3833000000004</v>
      </c>
      <c r="J57" t="s">
        <v>104</v>
      </c>
      <c r="K57">
        <v>12826908</v>
      </c>
      <c r="L57" t="s">
        <v>1333</v>
      </c>
      <c r="M57" t="s">
        <v>121</v>
      </c>
      <c r="N57" t="s">
        <v>88</v>
      </c>
      <c r="O57" t="s">
        <v>1300</v>
      </c>
      <c r="P57" t="s">
        <v>478</v>
      </c>
      <c r="Q57" t="s">
        <v>29</v>
      </c>
      <c r="R57" t="s">
        <v>25</v>
      </c>
      <c r="S57">
        <v>55.86</v>
      </c>
      <c r="T57">
        <v>100</v>
      </c>
      <c r="U57" t="s">
        <v>100</v>
      </c>
      <c r="V57">
        <v>3</v>
      </c>
      <c r="X57" t="s">
        <v>1256</v>
      </c>
      <c r="AA57">
        <v>1440</v>
      </c>
      <c r="AB57" t="s">
        <v>26</v>
      </c>
      <c r="AC57">
        <v>359</v>
      </c>
      <c r="AD57" t="s">
        <v>27</v>
      </c>
      <c r="AE57" t="s">
        <v>28</v>
      </c>
      <c r="AF57">
        <v>0</v>
      </c>
      <c r="AK57" s="12">
        <f t="shared" si="0"/>
        <v>46096</v>
      </c>
      <c r="AL57" s="1" t="str">
        <f t="shared" si="1"/>
        <v>Week12</v>
      </c>
      <c r="AM57" s="1" t="s">
        <v>122</v>
      </c>
      <c r="AN57" s="1" t="str">
        <f t="shared" si="2"/>
        <v>Go</v>
      </c>
      <c r="AO57" s="2">
        <f t="shared" si="3"/>
        <v>100</v>
      </c>
      <c r="AP57" s="1">
        <f t="shared" si="4"/>
        <v>0</v>
      </c>
      <c r="AQ57" s="1">
        <f t="shared" si="5"/>
        <v>0</v>
      </c>
      <c r="AR57" s="1" t="s">
        <v>96</v>
      </c>
      <c r="AS57" s="1" t="s">
        <v>96</v>
      </c>
      <c r="AT57" s="1" t="s">
        <v>96</v>
      </c>
      <c r="AU57" s="1" t="str">
        <f t="shared" si="6"/>
        <v>Minor</v>
      </c>
      <c r="AV57" s="1" t="str">
        <f t="shared" si="7"/>
        <v>12826908Sandeep S</v>
      </c>
      <c r="AW57" s="1" t="str">
        <f t="shared" si="8"/>
        <v>Minor</v>
      </c>
      <c r="AX57" s="1">
        <f t="shared" si="9"/>
        <v>0</v>
      </c>
      <c r="AY57" s="1" t="s">
        <v>29</v>
      </c>
      <c r="AZ57" s="1" t="b">
        <v>0</v>
      </c>
      <c r="BA57" s="1">
        <f t="shared" si="10"/>
        <v>1</v>
      </c>
      <c r="BB57" s="1">
        <f t="shared" si="11"/>
        <v>3</v>
      </c>
      <c r="BC57" s="1" t="s">
        <v>478</v>
      </c>
      <c r="BD57" s="1" t="s">
        <v>43</v>
      </c>
      <c r="BE57" s="1" t="s">
        <v>98</v>
      </c>
      <c r="BF57" s="1" t="b">
        <v>0</v>
      </c>
      <c r="BG57" s="1" t="str">
        <f>VLOOKUP(AM57,Group!$C:$H,5,0)</f>
        <v>Top 25</v>
      </c>
      <c r="BH57" s="1" t="str">
        <f>VLOOKUP(P57,others!$C:$G,5,0)</f>
        <v>MTX - India</v>
      </c>
    </row>
    <row r="58" spans="1:60" x14ac:dyDescent="0.25">
      <c r="A58" s="14">
        <v>46091.311168981483</v>
      </c>
      <c r="B58" s="14">
        <v>46091.540335648147</v>
      </c>
      <c r="C58" s="14">
        <v>46096.711180555554</v>
      </c>
      <c r="D58" s="14">
        <v>46096.940347222226</v>
      </c>
      <c r="E58" s="14">
        <v>46095.420219907406</v>
      </c>
      <c r="F58" s="14">
        <v>46096.940347222226</v>
      </c>
      <c r="G58" t="s">
        <v>470</v>
      </c>
      <c r="H58">
        <v>257</v>
      </c>
      <c r="I58">
        <v>2188.9832999999999</v>
      </c>
      <c r="J58" t="s">
        <v>104</v>
      </c>
      <c r="K58">
        <v>12827606</v>
      </c>
      <c r="L58" t="s">
        <v>1257</v>
      </c>
      <c r="M58" t="s">
        <v>162</v>
      </c>
      <c r="N58" t="s">
        <v>88</v>
      </c>
      <c r="O58" t="s">
        <v>458</v>
      </c>
      <c r="P58" t="s">
        <v>459</v>
      </c>
      <c r="Q58" t="s">
        <v>29</v>
      </c>
      <c r="R58" t="s">
        <v>25</v>
      </c>
      <c r="S58">
        <v>39.68</v>
      </c>
      <c r="T58">
        <v>100</v>
      </c>
      <c r="V58">
        <v>0</v>
      </c>
      <c r="X58" t="s">
        <v>1258</v>
      </c>
      <c r="AA58">
        <v>120</v>
      </c>
      <c r="AB58" t="s">
        <v>26</v>
      </c>
      <c r="AC58">
        <v>202</v>
      </c>
      <c r="AD58" t="s">
        <v>27</v>
      </c>
      <c r="AE58" t="s">
        <v>28</v>
      </c>
      <c r="AF58">
        <v>0</v>
      </c>
      <c r="AK58" s="12">
        <f t="shared" si="0"/>
        <v>46096</v>
      </c>
      <c r="AL58" s="1" t="str">
        <f t="shared" si="1"/>
        <v>Week12</v>
      </c>
      <c r="AM58" s="1" t="s">
        <v>168</v>
      </c>
      <c r="AN58" s="1" t="str">
        <f t="shared" si="2"/>
        <v>Go</v>
      </c>
      <c r="AO58" s="2">
        <f t="shared" si="3"/>
        <v>100</v>
      </c>
      <c r="AP58" s="1">
        <f t="shared" si="4"/>
        <v>0</v>
      </c>
      <c r="AQ58" s="1">
        <f t="shared" si="5"/>
        <v>0</v>
      </c>
      <c r="AR58" s="1" t="s">
        <v>96</v>
      </c>
      <c r="AS58" s="1" t="s">
        <v>96</v>
      </c>
      <c r="AT58" s="1" t="s">
        <v>96</v>
      </c>
      <c r="AU58" s="1" t="str">
        <f t="shared" si="6"/>
        <v/>
      </c>
      <c r="AV58" s="1" t="str">
        <f t="shared" si="7"/>
        <v>12827606Usha M</v>
      </c>
      <c r="AW58" s="1" t="str">
        <f t="shared" si="8"/>
        <v/>
      </c>
      <c r="AX58" s="1" t="str">
        <f t="shared" si="9"/>
        <v/>
      </c>
      <c r="AY58" s="1" t="s">
        <v>29</v>
      </c>
      <c r="AZ58" s="1" t="b">
        <v>0</v>
      </c>
      <c r="BA58" s="1" t="str">
        <f t="shared" si="10"/>
        <v/>
      </c>
      <c r="BB58" s="1">
        <f t="shared" si="11"/>
        <v>0</v>
      </c>
      <c r="BC58" s="1" t="s">
        <v>459</v>
      </c>
      <c r="BD58" s="1" t="s">
        <v>43</v>
      </c>
      <c r="BE58" s="1" t="s">
        <v>98</v>
      </c>
      <c r="BF58" s="1" t="b">
        <v>0</v>
      </c>
      <c r="BG58" s="1" t="str">
        <f>VLOOKUP(AM58,Group!$C:$H,5,0)</f>
        <v>Others</v>
      </c>
      <c r="BH58" s="1" t="str">
        <f>VLOOKUP(P58,others!$C:$G,5,0)</f>
        <v>MTX - India</v>
      </c>
    </row>
    <row r="59" spans="1:60" x14ac:dyDescent="0.25">
      <c r="A59" s="14">
        <v>46091.404363425929</v>
      </c>
      <c r="B59" s="14">
        <v>46091.633530092593</v>
      </c>
      <c r="C59" s="14">
        <v>46096.715937499997</v>
      </c>
      <c r="D59" s="14">
        <v>46096.945104166669</v>
      </c>
      <c r="E59" s="14">
        <v>46094.070543981485</v>
      </c>
      <c r="F59" s="14">
        <v>46096.945104166669</v>
      </c>
      <c r="G59" t="s">
        <v>470</v>
      </c>
      <c r="H59">
        <v>391</v>
      </c>
      <c r="I59">
        <v>4139.3666999999996</v>
      </c>
      <c r="J59" t="s">
        <v>104</v>
      </c>
      <c r="K59">
        <v>12827644</v>
      </c>
      <c r="L59" t="s">
        <v>1257</v>
      </c>
      <c r="M59" t="s">
        <v>162</v>
      </c>
      <c r="N59" t="s">
        <v>88</v>
      </c>
      <c r="O59" t="s">
        <v>458</v>
      </c>
      <c r="P59" t="s">
        <v>459</v>
      </c>
      <c r="Q59" t="s">
        <v>29</v>
      </c>
      <c r="R59" t="s">
        <v>25</v>
      </c>
      <c r="S59">
        <v>38.520000000000003</v>
      </c>
      <c r="T59">
        <v>100</v>
      </c>
      <c r="V59">
        <v>0</v>
      </c>
      <c r="X59" t="s">
        <v>1258</v>
      </c>
      <c r="AA59">
        <v>120</v>
      </c>
      <c r="AB59" t="s">
        <v>26</v>
      </c>
      <c r="AC59">
        <v>192</v>
      </c>
      <c r="AD59" t="s">
        <v>27</v>
      </c>
      <c r="AE59" t="s">
        <v>28</v>
      </c>
      <c r="AF59">
        <v>0</v>
      </c>
      <c r="AK59" s="12">
        <f t="shared" si="0"/>
        <v>46096</v>
      </c>
      <c r="AL59" s="1" t="str">
        <f t="shared" si="1"/>
        <v>Week12</v>
      </c>
      <c r="AM59" s="1" t="s">
        <v>168</v>
      </c>
      <c r="AN59" s="1" t="str">
        <f t="shared" si="2"/>
        <v>Go</v>
      </c>
      <c r="AO59" s="2">
        <f t="shared" si="3"/>
        <v>100</v>
      </c>
      <c r="AP59" s="1">
        <f t="shared" si="4"/>
        <v>0</v>
      </c>
      <c r="AQ59" s="1">
        <f t="shared" si="5"/>
        <v>0</v>
      </c>
      <c r="AR59" s="1" t="s">
        <v>96</v>
      </c>
      <c r="AS59" s="1" t="s">
        <v>96</v>
      </c>
      <c r="AT59" s="1" t="s">
        <v>96</v>
      </c>
      <c r="AU59" s="1" t="str">
        <f t="shared" si="6"/>
        <v/>
      </c>
      <c r="AV59" s="1" t="str">
        <f t="shared" si="7"/>
        <v>12827644Usha M</v>
      </c>
      <c r="AW59" s="1" t="str">
        <f t="shared" si="8"/>
        <v/>
      </c>
      <c r="AX59" s="1" t="str">
        <f t="shared" si="9"/>
        <v/>
      </c>
      <c r="AY59" s="1" t="s">
        <v>29</v>
      </c>
      <c r="AZ59" s="1" t="b">
        <v>0</v>
      </c>
      <c r="BA59" s="1" t="str">
        <f t="shared" si="10"/>
        <v/>
      </c>
      <c r="BB59" s="1">
        <f t="shared" si="11"/>
        <v>0</v>
      </c>
      <c r="BC59" s="1" t="s">
        <v>459</v>
      </c>
      <c r="BD59" s="1" t="s">
        <v>43</v>
      </c>
      <c r="BE59" s="1" t="s">
        <v>98</v>
      </c>
      <c r="BF59" s="1" t="b">
        <v>0</v>
      </c>
      <c r="BG59" s="1" t="str">
        <f>VLOOKUP(AM59,Group!$C:$H,5,0)</f>
        <v>Others</v>
      </c>
      <c r="BH59" s="1" t="str">
        <f>VLOOKUP(P59,others!$C:$G,5,0)</f>
        <v>MTX - India</v>
      </c>
    </row>
    <row r="60" spans="1:60" x14ac:dyDescent="0.25">
      <c r="A60" s="14">
        <v>46091.42428240741</v>
      </c>
      <c r="B60" s="14">
        <v>46091.653449074074</v>
      </c>
      <c r="C60" s="14">
        <v>46096.718738425923</v>
      </c>
      <c r="D60" s="14">
        <v>46096.947905092595</v>
      </c>
      <c r="E60" s="14">
        <v>46094.070601851854</v>
      </c>
      <c r="F60" s="14">
        <v>46096.947905092595</v>
      </c>
      <c r="G60" t="s">
        <v>470</v>
      </c>
      <c r="H60">
        <v>232</v>
      </c>
      <c r="I60">
        <v>4143.3167000000003</v>
      </c>
      <c r="J60" t="s">
        <v>104</v>
      </c>
      <c r="K60">
        <v>12827651</v>
      </c>
      <c r="L60" t="s">
        <v>1257</v>
      </c>
      <c r="M60" t="s">
        <v>162</v>
      </c>
      <c r="N60" t="s">
        <v>88</v>
      </c>
      <c r="O60" t="s">
        <v>458</v>
      </c>
      <c r="P60" t="s">
        <v>459</v>
      </c>
      <c r="Q60" t="s">
        <v>29</v>
      </c>
      <c r="R60" t="s">
        <v>25</v>
      </c>
      <c r="S60">
        <v>38.92</v>
      </c>
      <c r="T60">
        <v>100</v>
      </c>
      <c r="V60">
        <v>0</v>
      </c>
      <c r="X60" t="s">
        <v>1258</v>
      </c>
      <c r="AA60">
        <v>120</v>
      </c>
      <c r="AB60" t="s">
        <v>26</v>
      </c>
      <c r="AC60">
        <v>202</v>
      </c>
      <c r="AD60" t="s">
        <v>27</v>
      </c>
      <c r="AE60" t="s">
        <v>28</v>
      </c>
      <c r="AF60">
        <v>0</v>
      </c>
      <c r="AK60" s="12">
        <f t="shared" si="0"/>
        <v>46096</v>
      </c>
      <c r="AL60" s="1" t="str">
        <f t="shared" si="1"/>
        <v>Week12</v>
      </c>
      <c r="AM60" s="1" t="s">
        <v>168</v>
      </c>
      <c r="AN60" s="1" t="str">
        <f t="shared" si="2"/>
        <v>Go</v>
      </c>
      <c r="AO60" s="2">
        <f t="shared" si="3"/>
        <v>100</v>
      </c>
      <c r="AP60" s="1">
        <f t="shared" si="4"/>
        <v>0</v>
      </c>
      <c r="AQ60" s="1">
        <f t="shared" si="5"/>
        <v>0</v>
      </c>
      <c r="AR60" s="1" t="s">
        <v>96</v>
      </c>
      <c r="AS60" s="1" t="s">
        <v>96</v>
      </c>
      <c r="AT60" s="1" t="s">
        <v>96</v>
      </c>
      <c r="AU60" s="1" t="str">
        <f t="shared" si="6"/>
        <v/>
      </c>
      <c r="AV60" s="1" t="str">
        <f t="shared" si="7"/>
        <v>12827651Usha M</v>
      </c>
      <c r="AW60" s="1" t="str">
        <f t="shared" si="8"/>
        <v/>
      </c>
      <c r="AX60" s="1" t="str">
        <f t="shared" si="9"/>
        <v/>
      </c>
      <c r="AY60" s="1" t="s">
        <v>29</v>
      </c>
      <c r="AZ60" s="1" t="b">
        <v>0</v>
      </c>
      <c r="BA60" s="1" t="str">
        <f t="shared" si="10"/>
        <v/>
      </c>
      <c r="BB60" s="1">
        <f t="shared" si="11"/>
        <v>0</v>
      </c>
      <c r="BC60" s="1" t="s">
        <v>459</v>
      </c>
      <c r="BD60" s="1" t="s">
        <v>43</v>
      </c>
      <c r="BE60" s="1" t="s">
        <v>98</v>
      </c>
      <c r="BF60" s="1" t="b">
        <v>0</v>
      </c>
      <c r="BG60" s="1" t="str">
        <f>VLOOKUP(AM60,Group!$C:$H,5,0)</f>
        <v>Others</v>
      </c>
      <c r="BH60" s="1" t="str">
        <f>VLOOKUP(P60,others!$C:$G,5,0)</f>
        <v>MTX - India</v>
      </c>
    </row>
    <row r="61" spans="1:60" x14ac:dyDescent="0.25">
      <c r="A61" s="14">
        <v>46092.431990740741</v>
      </c>
      <c r="B61" s="14">
        <v>46092.661157407405</v>
      </c>
      <c r="C61" s="14">
        <v>46096.725752314815</v>
      </c>
      <c r="D61" s="14">
        <v>46096.954918981479</v>
      </c>
      <c r="E61" s="14">
        <v>46095.419340277775</v>
      </c>
      <c r="F61" s="14">
        <v>46096.954918981479</v>
      </c>
      <c r="G61" t="s">
        <v>470</v>
      </c>
      <c r="H61">
        <v>593</v>
      </c>
      <c r="I61">
        <v>2211.2332999999999</v>
      </c>
      <c r="J61" t="s">
        <v>104</v>
      </c>
      <c r="K61">
        <v>12828048</v>
      </c>
      <c r="L61" t="s">
        <v>1289</v>
      </c>
      <c r="M61" t="s">
        <v>121</v>
      </c>
      <c r="N61" t="s">
        <v>88</v>
      </c>
      <c r="O61" t="s">
        <v>458</v>
      </c>
      <c r="P61" t="s">
        <v>459</v>
      </c>
      <c r="Q61" t="s">
        <v>29</v>
      </c>
      <c r="R61" t="s">
        <v>1241</v>
      </c>
      <c r="S61">
        <v>91.6</v>
      </c>
      <c r="T61">
        <v>98</v>
      </c>
      <c r="U61" t="s">
        <v>471</v>
      </c>
      <c r="V61">
        <v>1</v>
      </c>
      <c r="X61" t="s">
        <v>1288</v>
      </c>
      <c r="AA61">
        <v>720</v>
      </c>
      <c r="AB61" t="s">
        <v>26</v>
      </c>
      <c r="AC61">
        <v>622</v>
      </c>
      <c r="AD61" t="s">
        <v>27</v>
      </c>
      <c r="AE61" t="s">
        <v>28</v>
      </c>
      <c r="AF61">
        <v>1</v>
      </c>
      <c r="AK61" s="12">
        <f t="shared" si="0"/>
        <v>46096</v>
      </c>
      <c r="AL61" s="1" t="str">
        <f t="shared" si="1"/>
        <v>Week12</v>
      </c>
      <c r="AM61" s="1" t="s">
        <v>122</v>
      </c>
      <c r="AN61" s="1" t="str">
        <f t="shared" si="2"/>
        <v>NoGo</v>
      </c>
      <c r="AO61" s="2">
        <f t="shared" si="3"/>
        <v>97.816593886462883</v>
      </c>
      <c r="AP61" s="1">
        <f t="shared" si="4"/>
        <v>1</v>
      </c>
      <c r="AQ61" s="1">
        <f t="shared" si="5"/>
        <v>2</v>
      </c>
      <c r="AR61" s="1" t="s">
        <v>96</v>
      </c>
      <c r="AS61" s="1" t="s">
        <v>96</v>
      </c>
      <c r="AT61" s="1" t="s">
        <v>96</v>
      </c>
      <c r="AU61" s="1" t="str">
        <f t="shared" si="6"/>
        <v>Major</v>
      </c>
      <c r="AV61" s="1" t="str">
        <f t="shared" si="7"/>
        <v>12828048Usha M</v>
      </c>
      <c r="AW61" s="1" t="str">
        <f t="shared" si="8"/>
        <v>Major</v>
      </c>
      <c r="AX61" s="1">
        <f t="shared" si="9"/>
        <v>1</v>
      </c>
      <c r="AY61" s="1" t="s">
        <v>29</v>
      </c>
      <c r="AZ61" s="1" t="b">
        <v>1</v>
      </c>
      <c r="BA61" s="1">
        <f t="shared" si="10"/>
        <v>1</v>
      </c>
      <c r="BB61" s="1">
        <f t="shared" si="11"/>
        <v>1</v>
      </c>
      <c r="BC61" s="1" t="s">
        <v>459</v>
      </c>
      <c r="BD61" s="1" t="s">
        <v>43</v>
      </c>
      <c r="BE61" s="1" t="s">
        <v>1262</v>
      </c>
      <c r="BF61" s="1" t="b">
        <v>1</v>
      </c>
      <c r="BG61" s="1" t="str">
        <f>VLOOKUP(AM61,Group!$C:$H,5,0)</f>
        <v>Top 25</v>
      </c>
      <c r="BH61" s="1" t="str">
        <f>VLOOKUP(P61,others!$C:$G,5,0)</f>
        <v>MTX - India</v>
      </c>
    </row>
    <row r="62" spans="1:60" x14ac:dyDescent="0.25">
      <c r="A62" s="14">
        <v>46092.431990740741</v>
      </c>
      <c r="B62" s="14">
        <v>46092.661157407405</v>
      </c>
      <c r="C62" s="14">
        <v>46096.725752314815</v>
      </c>
      <c r="D62" s="14">
        <v>46096.954918981479</v>
      </c>
      <c r="E62" s="14">
        <v>46095.419340277775</v>
      </c>
      <c r="F62" s="14">
        <v>46096.954918981479</v>
      </c>
      <c r="G62" t="s">
        <v>470</v>
      </c>
      <c r="H62">
        <v>593</v>
      </c>
      <c r="I62">
        <v>2211.2332999999999</v>
      </c>
      <c r="J62" t="s">
        <v>104</v>
      </c>
      <c r="K62">
        <v>12828048</v>
      </c>
      <c r="L62" t="s">
        <v>1289</v>
      </c>
      <c r="M62" t="s">
        <v>121</v>
      </c>
      <c r="N62" t="s">
        <v>88</v>
      </c>
      <c r="O62" t="s">
        <v>458</v>
      </c>
      <c r="P62" t="s">
        <v>459</v>
      </c>
      <c r="Q62" t="s">
        <v>29</v>
      </c>
      <c r="R62" t="s">
        <v>1241</v>
      </c>
      <c r="S62">
        <v>91.6</v>
      </c>
      <c r="T62">
        <v>98</v>
      </c>
      <c r="U62" t="s">
        <v>1243</v>
      </c>
      <c r="V62">
        <v>1</v>
      </c>
      <c r="X62" t="s">
        <v>1288</v>
      </c>
      <c r="AA62">
        <v>720</v>
      </c>
      <c r="AB62" t="s">
        <v>26</v>
      </c>
      <c r="AC62">
        <v>622</v>
      </c>
      <c r="AD62" t="s">
        <v>27</v>
      </c>
      <c r="AE62" t="s">
        <v>28</v>
      </c>
      <c r="AF62">
        <v>1</v>
      </c>
      <c r="AK62" s="12">
        <f t="shared" si="0"/>
        <v>46096</v>
      </c>
      <c r="AL62" s="1" t="str">
        <f t="shared" si="1"/>
        <v>Week12</v>
      </c>
      <c r="AM62" s="1" t="s">
        <v>122</v>
      </c>
      <c r="AN62" s="1" t="str">
        <f t="shared" si="2"/>
        <v>NoGo</v>
      </c>
      <c r="AO62" s="2">
        <f t="shared" si="3"/>
        <v>97.816593886462883</v>
      </c>
      <c r="AP62" s="1">
        <f t="shared" si="4"/>
        <v>1</v>
      </c>
      <c r="AQ62" s="1">
        <f t="shared" si="5"/>
        <v>2</v>
      </c>
      <c r="AR62" s="1" t="s">
        <v>96</v>
      </c>
      <c r="AS62" s="1" t="s">
        <v>96</v>
      </c>
      <c r="AT62" s="1" t="s">
        <v>96</v>
      </c>
      <c r="AU62" s="1" t="str">
        <f t="shared" si="6"/>
        <v>Major</v>
      </c>
      <c r="AV62" s="1" t="str">
        <f t="shared" si="7"/>
        <v>12828048Usha M</v>
      </c>
      <c r="AW62" s="1" t="str">
        <f t="shared" si="8"/>
        <v>Major</v>
      </c>
      <c r="AX62" s="1">
        <f t="shared" si="9"/>
        <v>1</v>
      </c>
      <c r="AY62" s="1" t="s">
        <v>29</v>
      </c>
      <c r="AZ62" s="1" t="b">
        <v>0</v>
      </c>
      <c r="BA62" s="1">
        <f t="shared" si="10"/>
        <v>1</v>
      </c>
      <c r="BB62" s="1">
        <f t="shared" si="11"/>
        <v>1</v>
      </c>
      <c r="BC62" s="1" t="s">
        <v>459</v>
      </c>
      <c r="BD62" s="1" t="s">
        <v>43</v>
      </c>
      <c r="BE62" s="1" t="s">
        <v>1262</v>
      </c>
      <c r="BF62" s="1" t="b">
        <v>0</v>
      </c>
      <c r="BG62" s="1" t="str">
        <f>VLOOKUP(AM62,Group!$C:$H,5,0)</f>
        <v>Top 25</v>
      </c>
      <c r="BH62" s="1" t="str">
        <f>VLOOKUP(P62,others!$C:$G,5,0)</f>
        <v>MTX - India</v>
      </c>
    </row>
    <row r="63" spans="1:60" x14ac:dyDescent="0.25">
      <c r="A63" s="14">
        <v>46090.894212962965</v>
      </c>
      <c r="B63" s="14">
        <v>46091.123379629629</v>
      </c>
      <c r="C63" s="14">
        <v>46096.734699074077</v>
      </c>
      <c r="D63" s="14">
        <v>46096.963865740741</v>
      </c>
      <c r="E63" s="14">
        <v>46094.064953703702</v>
      </c>
      <c r="F63" s="14">
        <v>46096.963865740741</v>
      </c>
      <c r="G63" t="s">
        <v>470</v>
      </c>
      <c r="H63">
        <v>2118</v>
      </c>
      <c r="I63">
        <v>4174.4332999999997</v>
      </c>
      <c r="J63" t="s">
        <v>104</v>
      </c>
      <c r="K63">
        <v>12827551</v>
      </c>
      <c r="L63" t="s">
        <v>1334</v>
      </c>
      <c r="M63" t="s">
        <v>136</v>
      </c>
      <c r="N63" t="s">
        <v>88</v>
      </c>
      <c r="O63" t="s">
        <v>465</v>
      </c>
      <c r="P63" t="s">
        <v>153</v>
      </c>
      <c r="Q63" t="s">
        <v>1328</v>
      </c>
      <c r="R63" t="s">
        <v>25</v>
      </c>
      <c r="S63">
        <v>109.38</v>
      </c>
      <c r="T63">
        <v>100</v>
      </c>
      <c r="V63">
        <v>0</v>
      </c>
      <c r="X63" t="s">
        <v>1335</v>
      </c>
      <c r="AA63">
        <v>1440</v>
      </c>
      <c r="AB63" t="s">
        <v>26</v>
      </c>
      <c r="AC63">
        <v>597</v>
      </c>
      <c r="AD63" t="s">
        <v>27</v>
      </c>
      <c r="AE63" t="s">
        <v>28</v>
      </c>
      <c r="AF63">
        <v>1</v>
      </c>
      <c r="AK63" s="12">
        <f t="shared" si="0"/>
        <v>46096</v>
      </c>
      <c r="AL63" s="1" t="str">
        <f t="shared" si="1"/>
        <v>Week12</v>
      </c>
      <c r="AM63" s="1" t="s">
        <v>138</v>
      </c>
      <c r="AN63" s="1" t="str">
        <f t="shared" si="2"/>
        <v>Go</v>
      </c>
      <c r="AO63" s="2">
        <f t="shared" si="3"/>
        <v>100</v>
      </c>
      <c r="AP63" s="1">
        <f t="shared" si="4"/>
        <v>0</v>
      </c>
      <c r="AQ63" s="1">
        <f t="shared" si="5"/>
        <v>0</v>
      </c>
      <c r="AR63" s="1" t="s">
        <v>96</v>
      </c>
      <c r="AS63" s="1" t="s">
        <v>96</v>
      </c>
      <c r="AT63" s="1" t="s">
        <v>96</v>
      </c>
      <c r="AU63" s="1" t="str">
        <f t="shared" si="6"/>
        <v/>
      </c>
      <c r="AV63" s="1" t="str">
        <f t="shared" si="7"/>
        <v>12827551Sivasankari A</v>
      </c>
      <c r="AW63" s="1" t="str">
        <f t="shared" si="8"/>
        <v/>
      </c>
      <c r="AX63" s="1" t="str">
        <f t="shared" si="9"/>
        <v/>
      </c>
      <c r="AY63" s="1" t="s">
        <v>29</v>
      </c>
      <c r="AZ63" s="1" t="b">
        <v>0</v>
      </c>
      <c r="BA63" s="1" t="str">
        <f t="shared" si="10"/>
        <v/>
      </c>
      <c r="BB63" s="1">
        <f t="shared" si="11"/>
        <v>0</v>
      </c>
      <c r="BC63" s="1" t="s">
        <v>153</v>
      </c>
      <c r="BD63" s="1" t="s">
        <v>43</v>
      </c>
      <c r="BE63" s="1" t="s">
        <v>98</v>
      </c>
      <c r="BF63" s="1" t="b">
        <v>0</v>
      </c>
      <c r="BG63" s="1" t="str">
        <f>VLOOKUP(AM63,Group!$C:$H,5,0)</f>
        <v>Top 25</v>
      </c>
      <c r="BH63" s="1" t="str">
        <f>VLOOKUP(P63,others!$C:$G,5,0)</f>
        <v>VR QA - India</v>
      </c>
    </row>
    <row r="64" spans="1:60" x14ac:dyDescent="0.25">
      <c r="A64" s="14">
        <v>46092.633032407408</v>
      </c>
      <c r="B64" s="14">
        <v>46092.862199074072</v>
      </c>
      <c r="C64" s="14">
        <v>46096.755474537036</v>
      </c>
      <c r="D64" s="14">
        <v>46096.9846412037</v>
      </c>
      <c r="E64" s="14">
        <v>46094.065370370372</v>
      </c>
      <c r="F64" s="14">
        <v>46096.9846412037</v>
      </c>
      <c r="G64" t="s">
        <v>470</v>
      </c>
      <c r="H64">
        <v>786</v>
      </c>
      <c r="I64">
        <v>4203.75</v>
      </c>
      <c r="J64" t="s">
        <v>104</v>
      </c>
      <c r="K64">
        <v>12828145</v>
      </c>
      <c r="L64" t="s">
        <v>1298</v>
      </c>
      <c r="M64" t="s">
        <v>109</v>
      </c>
      <c r="N64" t="s">
        <v>88</v>
      </c>
      <c r="O64" t="s">
        <v>458</v>
      </c>
      <c r="P64" t="s">
        <v>459</v>
      </c>
      <c r="Q64" t="s">
        <v>29</v>
      </c>
      <c r="R64" t="s">
        <v>25</v>
      </c>
      <c r="S64">
        <v>97.72</v>
      </c>
      <c r="T64">
        <v>99</v>
      </c>
      <c r="U64" t="s">
        <v>471</v>
      </c>
      <c r="V64">
        <v>1</v>
      </c>
      <c r="X64" t="s">
        <v>1261</v>
      </c>
      <c r="AA64">
        <v>360</v>
      </c>
      <c r="AB64" t="s">
        <v>26</v>
      </c>
      <c r="AC64">
        <v>388</v>
      </c>
      <c r="AD64" t="s">
        <v>27</v>
      </c>
      <c r="AE64" t="s">
        <v>1250</v>
      </c>
      <c r="AF64">
        <v>0</v>
      </c>
      <c r="AK64" s="12">
        <f t="shared" si="0"/>
        <v>46096</v>
      </c>
      <c r="AL64" s="1" t="str">
        <f t="shared" si="1"/>
        <v>Week12</v>
      </c>
      <c r="AM64" s="1" t="s">
        <v>110</v>
      </c>
      <c r="AN64" s="1" t="str">
        <f t="shared" si="2"/>
        <v>Go</v>
      </c>
      <c r="AO64" s="2">
        <f t="shared" si="3"/>
        <v>98.976668031109298</v>
      </c>
      <c r="AP64" s="1">
        <f t="shared" si="4"/>
        <v>1</v>
      </c>
      <c r="AQ64" s="1">
        <f t="shared" si="5"/>
        <v>1</v>
      </c>
      <c r="AR64" s="1" t="s">
        <v>96</v>
      </c>
      <c r="AS64" s="1" t="s">
        <v>96</v>
      </c>
      <c r="AT64" s="1" t="s">
        <v>96</v>
      </c>
      <c r="AU64" s="1" t="str">
        <f t="shared" si="6"/>
        <v>Major</v>
      </c>
      <c r="AV64" s="1" t="str">
        <f t="shared" si="7"/>
        <v>12828145Usha M</v>
      </c>
      <c r="AW64" s="1" t="str">
        <f t="shared" si="8"/>
        <v>Major</v>
      </c>
      <c r="AX64" s="1">
        <f t="shared" si="9"/>
        <v>1</v>
      </c>
      <c r="AY64" s="1" t="s">
        <v>29</v>
      </c>
      <c r="AZ64" s="1" t="b">
        <v>1</v>
      </c>
      <c r="BA64" s="1">
        <f t="shared" si="10"/>
        <v>1</v>
      </c>
      <c r="BB64" s="1">
        <f t="shared" si="11"/>
        <v>1</v>
      </c>
      <c r="BC64" s="1" t="s">
        <v>459</v>
      </c>
      <c r="BD64" s="1" t="s">
        <v>43</v>
      </c>
      <c r="BE64" s="1" t="s">
        <v>98</v>
      </c>
      <c r="BF64" s="1" t="b">
        <v>1</v>
      </c>
      <c r="BG64" s="1" t="str">
        <f>VLOOKUP(AM64,Group!$C:$H,5,0)</f>
        <v>AMC Group</v>
      </c>
      <c r="BH64" s="1" t="str">
        <f>VLOOKUP(P64,others!$C:$G,5,0)</f>
        <v>MTX - India</v>
      </c>
    </row>
    <row r="65" spans="1:60" x14ac:dyDescent="0.25">
      <c r="A65" s="14">
        <v>46092.633032407408</v>
      </c>
      <c r="B65" s="14">
        <v>46092.862199074072</v>
      </c>
      <c r="C65" s="14">
        <v>46096.755474537036</v>
      </c>
      <c r="D65" s="14">
        <v>46096.9846412037</v>
      </c>
      <c r="E65" s="14">
        <v>46094.065370370372</v>
      </c>
      <c r="F65" s="14">
        <v>46096.9846412037</v>
      </c>
      <c r="G65" t="s">
        <v>470</v>
      </c>
      <c r="H65">
        <v>786</v>
      </c>
      <c r="I65">
        <v>4203.75</v>
      </c>
      <c r="J65" t="s">
        <v>104</v>
      </c>
      <c r="K65">
        <v>12828145</v>
      </c>
      <c r="L65" t="s">
        <v>1298</v>
      </c>
      <c r="M65" t="s">
        <v>109</v>
      </c>
      <c r="N65" t="s">
        <v>88</v>
      </c>
      <c r="O65" t="s">
        <v>458</v>
      </c>
      <c r="P65" t="s">
        <v>459</v>
      </c>
      <c r="Q65" t="s">
        <v>29</v>
      </c>
      <c r="R65" t="s">
        <v>25</v>
      </c>
      <c r="S65">
        <v>97.72</v>
      </c>
      <c r="T65">
        <v>99</v>
      </c>
      <c r="U65" t="s">
        <v>100</v>
      </c>
      <c r="V65">
        <v>2</v>
      </c>
      <c r="X65" t="s">
        <v>1261</v>
      </c>
      <c r="AA65">
        <v>360</v>
      </c>
      <c r="AB65" t="s">
        <v>26</v>
      </c>
      <c r="AC65">
        <v>388</v>
      </c>
      <c r="AD65" t="s">
        <v>27</v>
      </c>
      <c r="AE65" t="s">
        <v>1250</v>
      </c>
      <c r="AF65">
        <v>0</v>
      </c>
      <c r="AK65" s="12">
        <f t="shared" si="0"/>
        <v>46096</v>
      </c>
      <c r="AL65" s="1" t="str">
        <f t="shared" si="1"/>
        <v>Week12</v>
      </c>
      <c r="AM65" s="1" t="s">
        <v>110</v>
      </c>
      <c r="AN65" s="1" t="str">
        <f t="shared" si="2"/>
        <v>Go</v>
      </c>
      <c r="AO65" s="2">
        <f t="shared" si="3"/>
        <v>98.976668031109298</v>
      </c>
      <c r="AP65" s="1">
        <f t="shared" si="4"/>
        <v>0</v>
      </c>
      <c r="AQ65" s="1">
        <f t="shared" si="5"/>
        <v>1</v>
      </c>
      <c r="AR65" s="1" t="s">
        <v>96</v>
      </c>
      <c r="AS65" s="1" t="s">
        <v>96</v>
      </c>
      <c r="AT65" s="1" t="s">
        <v>96</v>
      </c>
      <c r="AU65" s="1" t="str">
        <f t="shared" si="6"/>
        <v>Minor</v>
      </c>
      <c r="AV65" s="1" t="str">
        <f t="shared" si="7"/>
        <v>12828145Usha M</v>
      </c>
      <c r="AW65" s="1" t="str">
        <f t="shared" si="8"/>
        <v>Minor</v>
      </c>
      <c r="AX65" s="1">
        <f t="shared" si="9"/>
        <v>0</v>
      </c>
      <c r="AY65" s="1" t="s">
        <v>29</v>
      </c>
      <c r="AZ65" s="1" t="b">
        <v>0</v>
      </c>
      <c r="BA65" s="1">
        <f t="shared" si="10"/>
        <v>1</v>
      </c>
      <c r="BB65" s="1">
        <f t="shared" si="11"/>
        <v>2</v>
      </c>
      <c r="BC65" s="1" t="s">
        <v>459</v>
      </c>
      <c r="BD65" s="1" t="s">
        <v>43</v>
      </c>
      <c r="BE65" s="1" t="s">
        <v>98</v>
      </c>
      <c r="BF65" s="1" t="b">
        <v>0</v>
      </c>
      <c r="BG65" s="1" t="str">
        <f>VLOOKUP(AM65,Group!$C:$H,5,0)</f>
        <v>AMC Group</v>
      </c>
      <c r="BH65" s="1" t="str">
        <f>VLOOKUP(P65,others!$C:$G,5,0)</f>
        <v>MTX - India</v>
      </c>
    </row>
    <row r="66" spans="1:60" x14ac:dyDescent="0.25">
      <c r="A66" s="14">
        <v>46091.635300925926</v>
      </c>
      <c r="B66" s="14">
        <v>46091.86446759259</v>
      </c>
      <c r="C66" s="14">
        <v>46096.762696759259</v>
      </c>
      <c r="D66" s="14">
        <v>46096.991863425923</v>
      </c>
      <c r="E66" s="14">
        <v>46094.065115740741</v>
      </c>
      <c r="F66" s="14">
        <v>46096.991863425923</v>
      </c>
      <c r="G66" t="s">
        <v>470</v>
      </c>
      <c r="H66">
        <v>599</v>
      </c>
      <c r="I66">
        <v>4214.5167000000001</v>
      </c>
      <c r="J66" t="s">
        <v>104</v>
      </c>
      <c r="K66">
        <v>12827794</v>
      </c>
      <c r="L66" t="s">
        <v>1291</v>
      </c>
      <c r="M66" t="s">
        <v>129</v>
      </c>
      <c r="N66" t="s">
        <v>1292</v>
      </c>
      <c r="O66" t="s">
        <v>1300</v>
      </c>
      <c r="P66" t="s">
        <v>478</v>
      </c>
      <c r="Q66" t="s">
        <v>29</v>
      </c>
      <c r="R66" t="s">
        <v>25</v>
      </c>
      <c r="S66">
        <v>94.2</v>
      </c>
      <c r="T66">
        <v>100</v>
      </c>
      <c r="U66" t="s">
        <v>100</v>
      </c>
      <c r="V66">
        <v>1</v>
      </c>
      <c r="X66" t="s">
        <v>1293</v>
      </c>
      <c r="AA66">
        <v>1440</v>
      </c>
      <c r="AB66" t="s">
        <v>26</v>
      </c>
      <c r="AC66">
        <v>509</v>
      </c>
      <c r="AD66" t="s">
        <v>27</v>
      </c>
      <c r="AE66" t="s">
        <v>28</v>
      </c>
      <c r="AF66">
        <v>0</v>
      </c>
      <c r="AK66" s="12">
        <f t="shared" ref="AK66:AK129" si="12">INT(D66)</f>
        <v>46096</v>
      </c>
      <c r="AL66" s="1" t="str">
        <f t="shared" ref="AL66:AL129" si="13">"Week"&amp;WEEKNUM(D66)</f>
        <v>Week12</v>
      </c>
      <c r="AM66" s="1" t="s">
        <v>135</v>
      </c>
      <c r="AN66" s="1" t="str">
        <f t="shared" ref="AN66:AN129" si="14">IF(AO66&gt;98.5,"Go","NoGo")</f>
        <v>Go</v>
      </c>
      <c r="AO66" s="2">
        <f t="shared" ref="AO66:AO129" si="15">100-(AQ66/S66*100)</f>
        <v>100</v>
      </c>
      <c r="AP66" s="1">
        <f t="shared" ref="AP66:AP129" si="16">IFERROR(AX66*V66,0)</f>
        <v>0</v>
      </c>
      <c r="AQ66" s="1">
        <f t="shared" ref="AQ66:AQ129" si="17">100-T66</f>
        <v>0</v>
      </c>
      <c r="AR66" s="1" t="s">
        <v>96</v>
      </c>
      <c r="AS66" s="1" t="s">
        <v>96</v>
      </c>
      <c r="AT66" s="1" t="s">
        <v>96</v>
      </c>
      <c r="AU66" s="1" t="str">
        <f t="shared" ref="AU66:AU129" si="18">IF(AX66="","",IF(AX66=1,"Major",IF(AX66=3,"Critical",IF(AX66=0,"Minor",""))))</f>
        <v>Minor</v>
      </c>
      <c r="AV66" s="1" t="str">
        <f t="shared" ref="AV66:AV129" si="19">K66&amp;P66</f>
        <v>12827794Sandeep S</v>
      </c>
      <c r="AW66" s="1" t="str">
        <f t="shared" ref="AW66:AW129" si="20">IF(U66="","",LEFT(U66,FIND("-",U66,1)-1))</f>
        <v>Minor</v>
      </c>
      <c r="AX66" s="1">
        <f t="shared" ref="AX66:AX129" si="21">IF(AW66="Minor",0,IF(AW66="Major",1,IF(AW66="Critical",3,"")))</f>
        <v>0</v>
      </c>
      <c r="AY66" s="1" t="s">
        <v>29</v>
      </c>
      <c r="AZ66" s="1" t="b">
        <v>0</v>
      </c>
      <c r="BA66" s="1">
        <f t="shared" ref="BA66:BA129" si="22">IF(U66="","",COUNTIF(U66,U66:U66))</f>
        <v>1</v>
      </c>
      <c r="BB66" s="1">
        <f t="shared" ref="BB66:BB129" si="23">V66</f>
        <v>1</v>
      </c>
      <c r="BC66" s="1" t="s">
        <v>478</v>
      </c>
      <c r="BD66" s="1" t="s">
        <v>43</v>
      </c>
      <c r="BE66" s="1" t="s">
        <v>98</v>
      </c>
      <c r="BF66" s="1" t="b">
        <v>0</v>
      </c>
      <c r="BG66" s="1" t="str">
        <f>VLOOKUP(AM66,Group!$C:$H,5,0)</f>
        <v>Others</v>
      </c>
      <c r="BH66" s="1" t="str">
        <f>VLOOKUP(P66,others!$C:$G,5,0)</f>
        <v>MTX - India</v>
      </c>
    </row>
    <row r="67" spans="1:60" x14ac:dyDescent="0.25">
      <c r="A67" s="14">
        <v>46091.919548611113</v>
      </c>
      <c r="B67" s="14">
        <v>46092.148715277777</v>
      </c>
      <c r="C67" s="14">
        <v>46096.769409722219</v>
      </c>
      <c r="D67" s="14">
        <v>46096.998576388891</v>
      </c>
      <c r="E67" s="14">
        <v>46094.065196759257</v>
      </c>
      <c r="F67" s="14">
        <v>46096.998576388891</v>
      </c>
      <c r="G67" t="s">
        <v>470</v>
      </c>
      <c r="H67">
        <v>564</v>
      </c>
      <c r="I67">
        <v>4224.0667000000003</v>
      </c>
      <c r="J67" t="s">
        <v>104</v>
      </c>
      <c r="K67">
        <v>12827958</v>
      </c>
      <c r="L67" t="s">
        <v>1334</v>
      </c>
      <c r="M67" t="s">
        <v>136</v>
      </c>
      <c r="N67" t="s">
        <v>88</v>
      </c>
      <c r="O67" t="s">
        <v>465</v>
      </c>
      <c r="P67" t="s">
        <v>153</v>
      </c>
      <c r="Q67" t="s">
        <v>1328</v>
      </c>
      <c r="R67" t="s">
        <v>25</v>
      </c>
      <c r="S67">
        <v>104.74</v>
      </c>
      <c r="T67">
        <v>100</v>
      </c>
      <c r="V67">
        <v>0</v>
      </c>
      <c r="X67" t="s">
        <v>1335</v>
      </c>
      <c r="AA67">
        <v>1440</v>
      </c>
      <c r="AB67" t="s">
        <v>26</v>
      </c>
      <c r="AC67">
        <v>586</v>
      </c>
      <c r="AD67" t="s">
        <v>27</v>
      </c>
      <c r="AE67" t="s">
        <v>28</v>
      </c>
      <c r="AF67">
        <v>0</v>
      </c>
      <c r="AK67" s="12">
        <f t="shared" si="12"/>
        <v>46096</v>
      </c>
      <c r="AL67" s="1" t="str">
        <f t="shared" si="13"/>
        <v>Week12</v>
      </c>
      <c r="AM67" s="1" t="s">
        <v>138</v>
      </c>
      <c r="AN67" s="1" t="str">
        <f t="shared" si="14"/>
        <v>Go</v>
      </c>
      <c r="AO67" s="2">
        <f t="shared" si="15"/>
        <v>100</v>
      </c>
      <c r="AP67" s="1">
        <f t="shared" si="16"/>
        <v>0</v>
      </c>
      <c r="AQ67" s="1">
        <f t="shared" si="17"/>
        <v>0</v>
      </c>
      <c r="AR67" s="1" t="s">
        <v>96</v>
      </c>
      <c r="AS67" s="1" t="s">
        <v>96</v>
      </c>
      <c r="AT67" s="1" t="s">
        <v>96</v>
      </c>
      <c r="AU67" s="1" t="str">
        <f t="shared" si="18"/>
        <v/>
      </c>
      <c r="AV67" s="1" t="str">
        <f t="shared" si="19"/>
        <v>12827958Sivasankari A</v>
      </c>
      <c r="AW67" s="1" t="str">
        <f t="shared" si="20"/>
        <v/>
      </c>
      <c r="AX67" s="1" t="str">
        <f t="shared" si="21"/>
        <v/>
      </c>
      <c r="AY67" s="1" t="s">
        <v>29</v>
      </c>
      <c r="AZ67" s="1" t="b">
        <v>0</v>
      </c>
      <c r="BA67" s="1" t="str">
        <f t="shared" si="22"/>
        <v/>
      </c>
      <c r="BB67" s="1">
        <f t="shared" si="23"/>
        <v>0</v>
      </c>
      <c r="BC67" s="1" t="s">
        <v>153</v>
      </c>
      <c r="BD67" s="1" t="s">
        <v>43</v>
      </c>
      <c r="BE67" s="1" t="s">
        <v>98</v>
      </c>
      <c r="BF67" s="1" t="b">
        <v>0</v>
      </c>
      <c r="BG67" s="1" t="str">
        <f>VLOOKUP(AM67,Group!$C:$H,5,0)</f>
        <v>Top 25</v>
      </c>
      <c r="BH67" s="1" t="str">
        <f>VLOOKUP(P67,others!$C:$G,5,0)</f>
        <v>VR QA - India</v>
      </c>
    </row>
    <row r="68" spans="1:60" x14ac:dyDescent="0.25">
      <c r="A68" s="14">
        <v>46091.960462962961</v>
      </c>
      <c r="B68" s="14">
        <v>46092.189629629633</v>
      </c>
      <c r="C68" s="14">
        <v>46096.809027777781</v>
      </c>
      <c r="D68" s="14">
        <v>46097.038194444445</v>
      </c>
      <c r="E68" s="14">
        <v>46094.065266203703</v>
      </c>
      <c r="F68" s="14">
        <v>46097.038194444445</v>
      </c>
      <c r="G68" t="s">
        <v>470</v>
      </c>
      <c r="H68">
        <v>3503</v>
      </c>
      <c r="I68">
        <v>4281.0167000000001</v>
      </c>
      <c r="J68" t="s">
        <v>104</v>
      </c>
      <c r="K68">
        <v>12827962</v>
      </c>
      <c r="L68" t="s">
        <v>1336</v>
      </c>
      <c r="M68" t="s">
        <v>136</v>
      </c>
      <c r="N68" t="s">
        <v>88</v>
      </c>
      <c r="O68" t="s">
        <v>465</v>
      </c>
      <c r="P68" t="s">
        <v>153</v>
      </c>
      <c r="Q68" t="s">
        <v>1328</v>
      </c>
      <c r="R68" t="s">
        <v>1241</v>
      </c>
      <c r="S68">
        <v>131.77000000000001</v>
      </c>
      <c r="T68">
        <v>97</v>
      </c>
      <c r="U68" t="s">
        <v>1244</v>
      </c>
      <c r="V68">
        <v>1</v>
      </c>
      <c r="X68" t="s">
        <v>1337</v>
      </c>
      <c r="AA68">
        <v>1440</v>
      </c>
      <c r="AB68" t="s">
        <v>26</v>
      </c>
      <c r="AC68">
        <v>804</v>
      </c>
      <c r="AD68" t="s">
        <v>27</v>
      </c>
      <c r="AE68" t="s">
        <v>28</v>
      </c>
      <c r="AF68">
        <v>0</v>
      </c>
      <c r="AK68" s="12">
        <f t="shared" si="12"/>
        <v>46097</v>
      </c>
      <c r="AL68" s="1" t="str">
        <f t="shared" si="13"/>
        <v>Week12</v>
      </c>
      <c r="AM68" s="1" t="s">
        <v>138</v>
      </c>
      <c r="AN68" s="1" t="str">
        <f t="shared" si="14"/>
        <v>NoGo</v>
      </c>
      <c r="AO68" s="2">
        <f t="shared" si="15"/>
        <v>97.723305760036425</v>
      </c>
      <c r="AP68" s="1">
        <f t="shared" si="16"/>
        <v>1</v>
      </c>
      <c r="AQ68" s="1">
        <f t="shared" si="17"/>
        <v>3</v>
      </c>
      <c r="AR68" s="1" t="s">
        <v>96</v>
      </c>
      <c r="AS68" s="1" t="s">
        <v>96</v>
      </c>
      <c r="AT68" s="1" t="s">
        <v>96</v>
      </c>
      <c r="AU68" s="1" t="str">
        <f t="shared" si="18"/>
        <v>Major</v>
      </c>
      <c r="AV68" s="1" t="str">
        <f t="shared" si="19"/>
        <v>12827962Sivasankari A</v>
      </c>
      <c r="AW68" s="1" t="str">
        <f t="shared" si="20"/>
        <v>Major</v>
      </c>
      <c r="AX68" s="1">
        <f t="shared" si="21"/>
        <v>1</v>
      </c>
      <c r="AY68" s="1" t="s">
        <v>29</v>
      </c>
      <c r="AZ68" s="1" t="b">
        <v>1</v>
      </c>
      <c r="BA68" s="1">
        <f t="shared" si="22"/>
        <v>1</v>
      </c>
      <c r="BB68" s="1">
        <f t="shared" si="23"/>
        <v>1</v>
      </c>
      <c r="BC68" s="1" t="s">
        <v>153</v>
      </c>
      <c r="BD68" s="1" t="s">
        <v>43</v>
      </c>
      <c r="BE68" s="1" t="s">
        <v>98</v>
      </c>
      <c r="BF68" s="1" t="b">
        <v>1</v>
      </c>
      <c r="BG68" s="1" t="str">
        <f>VLOOKUP(AM68,Group!$C:$H,5,0)</f>
        <v>Top 25</v>
      </c>
      <c r="BH68" s="1" t="str">
        <f>VLOOKUP(P68,others!$C:$G,5,0)</f>
        <v>VR QA - India</v>
      </c>
    </row>
    <row r="69" spans="1:60" x14ac:dyDescent="0.25">
      <c r="A69" s="14">
        <v>46091.960462962961</v>
      </c>
      <c r="B69" s="14">
        <v>46092.189629629633</v>
      </c>
      <c r="C69" s="14">
        <v>46096.809027777781</v>
      </c>
      <c r="D69" s="14">
        <v>46097.038194444445</v>
      </c>
      <c r="E69" s="14">
        <v>46094.065266203703</v>
      </c>
      <c r="F69" s="14">
        <v>46097.038194444445</v>
      </c>
      <c r="G69" t="s">
        <v>470</v>
      </c>
      <c r="H69">
        <v>3503</v>
      </c>
      <c r="I69">
        <v>4281.0167000000001</v>
      </c>
      <c r="J69" t="s">
        <v>104</v>
      </c>
      <c r="K69">
        <v>12827962</v>
      </c>
      <c r="L69" t="s">
        <v>1336</v>
      </c>
      <c r="M69" t="s">
        <v>136</v>
      </c>
      <c r="N69" t="s">
        <v>88</v>
      </c>
      <c r="O69" t="s">
        <v>465</v>
      </c>
      <c r="P69" t="s">
        <v>153</v>
      </c>
      <c r="Q69" t="s">
        <v>1328</v>
      </c>
      <c r="R69" t="s">
        <v>1241</v>
      </c>
      <c r="S69">
        <v>131.77000000000001</v>
      </c>
      <c r="T69">
        <v>97</v>
      </c>
      <c r="U69" t="s">
        <v>471</v>
      </c>
      <c r="V69">
        <v>2</v>
      </c>
      <c r="X69" t="s">
        <v>1337</v>
      </c>
      <c r="AA69">
        <v>1440</v>
      </c>
      <c r="AB69" t="s">
        <v>26</v>
      </c>
      <c r="AC69">
        <v>804</v>
      </c>
      <c r="AD69" t="s">
        <v>27</v>
      </c>
      <c r="AE69" t="s">
        <v>28</v>
      </c>
      <c r="AF69">
        <v>0</v>
      </c>
      <c r="AK69" s="12">
        <f t="shared" si="12"/>
        <v>46097</v>
      </c>
      <c r="AL69" s="1" t="str">
        <f t="shared" si="13"/>
        <v>Week12</v>
      </c>
      <c r="AM69" s="1" t="s">
        <v>138</v>
      </c>
      <c r="AN69" s="1" t="str">
        <f t="shared" si="14"/>
        <v>NoGo</v>
      </c>
      <c r="AO69" s="2">
        <f t="shared" si="15"/>
        <v>97.723305760036425</v>
      </c>
      <c r="AP69" s="1">
        <f t="shared" si="16"/>
        <v>2</v>
      </c>
      <c r="AQ69" s="1">
        <f t="shared" si="17"/>
        <v>3</v>
      </c>
      <c r="AR69" s="1" t="s">
        <v>96</v>
      </c>
      <c r="AS69" s="1" t="s">
        <v>96</v>
      </c>
      <c r="AT69" s="1" t="s">
        <v>96</v>
      </c>
      <c r="AU69" s="1" t="str">
        <f t="shared" si="18"/>
        <v>Major</v>
      </c>
      <c r="AV69" s="1" t="str">
        <f t="shared" si="19"/>
        <v>12827962Sivasankari A</v>
      </c>
      <c r="AW69" s="1" t="str">
        <f t="shared" si="20"/>
        <v>Major</v>
      </c>
      <c r="AX69" s="1">
        <f t="shared" si="21"/>
        <v>1</v>
      </c>
      <c r="AY69" s="1" t="s">
        <v>29</v>
      </c>
      <c r="AZ69" s="1" t="b">
        <v>1</v>
      </c>
      <c r="BA69" s="1">
        <f t="shared" si="22"/>
        <v>1</v>
      </c>
      <c r="BB69" s="1">
        <f t="shared" si="23"/>
        <v>2</v>
      </c>
      <c r="BC69" s="1" t="s">
        <v>153</v>
      </c>
      <c r="BD69" s="1" t="s">
        <v>43</v>
      </c>
      <c r="BE69" s="1" t="s">
        <v>98</v>
      </c>
      <c r="BF69" s="1" t="b">
        <v>1</v>
      </c>
      <c r="BG69" s="1" t="str">
        <f>VLOOKUP(AM69,Group!$C:$H,5,0)</f>
        <v>Top 25</v>
      </c>
      <c r="BH69" s="1" t="str">
        <f>VLOOKUP(P69,others!$C:$G,5,0)</f>
        <v>VR QA - India</v>
      </c>
    </row>
    <row r="70" spans="1:60" x14ac:dyDescent="0.25">
      <c r="A70" s="14">
        <v>46091.960462962961</v>
      </c>
      <c r="B70" s="14">
        <v>46092.189629629633</v>
      </c>
      <c r="C70" s="14">
        <v>46096.809027777781</v>
      </c>
      <c r="D70" s="14">
        <v>46097.038194444445</v>
      </c>
      <c r="E70" s="14">
        <v>46094.065266203703</v>
      </c>
      <c r="F70" s="14">
        <v>46097.038194444445</v>
      </c>
      <c r="G70" t="s">
        <v>470</v>
      </c>
      <c r="H70">
        <v>3503</v>
      </c>
      <c r="I70">
        <v>4281.0167000000001</v>
      </c>
      <c r="J70" t="s">
        <v>104</v>
      </c>
      <c r="K70">
        <v>12827962</v>
      </c>
      <c r="L70" t="s">
        <v>1336</v>
      </c>
      <c r="M70" t="s">
        <v>136</v>
      </c>
      <c r="N70" t="s">
        <v>88</v>
      </c>
      <c r="O70" t="s">
        <v>465</v>
      </c>
      <c r="P70" t="s">
        <v>153</v>
      </c>
      <c r="Q70" t="s">
        <v>1328</v>
      </c>
      <c r="R70" t="s">
        <v>1241</v>
      </c>
      <c r="S70">
        <v>131.77000000000001</v>
      </c>
      <c r="T70">
        <v>97</v>
      </c>
      <c r="U70" t="s">
        <v>100</v>
      </c>
      <c r="V70">
        <v>1</v>
      </c>
      <c r="X70" t="s">
        <v>1337</v>
      </c>
      <c r="AA70">
        <v>1440</v>
      </c>
      <c r="AB70" t="s">
        <v>26</v>
      </c>
      <c r="AC70">
        <v>804</v>
      </c>
      <c r="AD70" t="s">
        <v>27</v>
      </c>
      <c r="AE70" t="s">
        <v>28</v>
      </c>
      <c r="AF70">
        <v>0</v>
      </c>
      <c r="AK70" s="12">
        <f t="shared" si="12"/>
        <v>46097</v>
      </c>
      <c r="AL70" s="1" t="str">
        <f t="shared" si="13"/>
        <v>Week12</v>
      </c>
      <c r="AM70" s="1" t="s">
        <v>138</v>
      </c>
      <c r="AN70" s="1" t="str">
        <f t="shared" si="14"/>
        <v>NoGo</v>
      </c>
      <c r="AO70" s="2">
        <f t="shared" si="15"/>
        <v>97.723305760036425</v>
      </c>
      <c r="AP70" s="1">
        <f t="shared" si="16"/>
        <v>0</v>
      </c>
      <c r="AQ70" s="1">
        <f t="shared" si="17"/>
        <v>3</v>
      </c>
      <c r="AR70" s="1" t="s">
        <v>96</v>
      </c>
      <c r="AS70" s="1" t="s">
        <v>96</v>
      </c>
      <c r="AT70" s="1" t="s">
        <v>96</v>
      </c>
      <c r="AU70" s="1" t="str">
        <f t="shared" si="18"/>
        <v>Minor</v>
      </c>
      <c r="AV70" s="1" t="str">
        <f t="shared" si="19"/>
        <v>12827962Sivasankari A</v>
      </c>
      <c r="AW70" s="1" t="str">
        <f t="shared" si="20"/>
        <v>Minor</v>
      </c>
      <c r="AX70" s="1">
        <f t="shared" si="21"/>
        <v>0</v>
      </c>
      <c r="AY70" s="1" t="s">
        <v>29</v>
      </c>
      <c r="AZ70" s="1" t="b">
        <v>0</v>
      </c>
      <c r="BA70" s="1">
        <f t="shared" si="22"/>
        <v>1</v>
      </c>
      <c r="BB70" s="1">
        <f t="shared" si="23"/>
        <v>1</v>
      </c>
      <c r="BC70" s="1" t="s">
        <v>153</v>
      </c>
      <c r="BD70" s="1" t="s">
        <v>43</v>
      </c>
      <c r="BE70" s="1" t="s">
        <v>98</v>
      </c>
      <c r="BF70" s="1" t="b">
        <v>0</v>
      </c>
      <c r="BG70" s="1" t="str">
        <f>VLOOKUP(AM70,Group!$C:$H,5,0)</f>
        <v>Top 25</v>
      </c>
      <c r="BH70" s="1" t="str">
        <f>VLOOKUP(P70,others!$C:$G,5,0)</f>
        <v>VR QA - India</v>
      </c>
    </row>
    <row r="71" spans="1:60" x14ac:dyDescent="0.25">
      <c r="A71" s="14">
        <v>46091.676458333335</v>
      </c>
      <c r="B71" s="14">
        <v>46091.905624999999</v>
      </c>
      <c r="C71" s="14">
        <v>46097.184479166666</v>
      </c>
      <c r="D71" s="14">
        <v>46097.413645833331</v>
      </c>
      <c r="E71" s="14">
        <v>46095.418958333335</v>
      </c>
      <c r="F71" s="14">
        <v>46097.413645833331</v>
      </c>
      <c r="G71" t="s">
        <v>470</v>
      </c>
      <c r="H71">
        <v>229</v>
      </c>
      <c r="I71">
        <v>2872.35</v>
      </c>
      <c r="J71" t="s">
        <v>104</v>
      </c>
      <c r="K71">
        <v>12827825</v>
      </c>
      <c r="L71" t="s">
        <v>1338</v>
      </c>
      <c r="M71" t="s">
        <v>129</v>
      </c>
      <c r="N71" t="s">
        <v>1339</v>
      </c>
      <c r="O71" t="s">
        <v>1300</v>
      </c>
      <c r="P71" t="s">
        <v>478</v>
      </c>
      <c r="Q71" t="s">
        <v>29</v>
      </c>
      <c r="R71" t="s">
        <v>25</v>
      </c>
      <c r="S71">
        <v>27.66</v>
      </c>
      <c r="T71">
        <v>100</v>
      </c>
      <c r="U71" t="s">
        <v>100</v>
      </c>
      <c r="V71">
        <v>1</v>
      </c>
      <c r="X71" t="s">
        <v>1340</v>
      </c>
      <c r="AA71">
        <v>1440</v>
      </c>
      <c r="AB71" t="s">
        <v>26</v>
      </c>
      <c r="AC71">
        <v>134</v>
      </c>
      <c r="AD71" t="s">
        <v>27</v>
      </c>
      <c r="AE71" t="s">
        <v>28</v>
      </c>
      <c r="AF71">
        <v>0</v>
      </c>
      <c r="AK71" s="12">
        <f t="shared" si="12"/>
        <v>46097</v>
      </c>
      <c r="AL71" s="1" t="str">
        <f t="shared" si="13"/>
        <v>Week12</v>
      </c>
      <c r="AM71" s="1" t="s">
        <v>135</v>
      </c>
      <c r="AN71" s="1" t="str">
        <f t="shared" si="14"/>
        <v>Go</v>
      </c>
      <c r="AO71" s="2">
        <f t="shared" si="15"/>
        <v>100</v>
      </c>
      <c r="AP71" s="1">
        <f t="shared" si="16"/>
        <v>0</v>
      </c>
      <c r="AQ71" s="1">
        <f t="shared" si="17"/>
        <v>0</v>
      </c>
      <c r="AR71" s="1" t="s">
        <v>96</v>
      </c>
      <c r="AS71" s="1" t="s">
        <v>96</v>
      </c>
      <c r="AT71" s="1" t="s">
        <v>96</v>
      </c>
      <c r="AU71" s="1" t="str">
        <f t="shared" si="18"/>
        <v>Minor</v>
      </c>
      <c r="AV71" s="1" t="str">
        <f t="shared" si="19"/>
        <v>12827825Sandeep S</v>
      </c>
      <c r="AW71" s="1" t="str">
        <f t="shared" si="20"/>
        <v>Minor</v>
      </c>
      <c r="AX71" s="1">
        <f t="shared" si="21"/>
        <v>0</v>
      </c>
      <c r="AY71" s="1" t="s">
        <v>29</v>
      </c>
      <c r="AZ71" s="1" t="b">
        <v>0</v>
      </c>
      <c r="BA71" s="1">
        <f t="shared" si="22"/>
        <v>1</v>
      </c>
      <c r="BB71" s="1">
        <f t="shared" si="23"/>
        <v>1</v>
      </c>
      <c r="BC71" s="1" t="s">
        <v>478</v>
      </c>
      <c r="BD71" s="1" t="s">
        <v>43</v>
      </c>
      <c r="BE71" s="1" t="s">
        <v>98</v>
      </c>
      <c r="BF71" s="1" t="b">
        <v>0</v>
      </c>
      <c r="BG71" s="1" t="str">
        <f>VLOOKUP(AM71,Group!$C:$H,5,0)</f>
        <v>Others</v>
      </c>
      <c r="BH71" s="1" t="str">
        <f>VLOOKUP(P71,others!$C:$G,5,0)</f>
        <v>MTX - India</v>
      </c>
    </row>
    <row r="72" spans="1:60" x14ac:dyDescent="0.25">
      <c r="A72" s="14">
        <v>46092.511828703704</v>
      </c>
      <c r="B72" s="14">
        <v>46092.740995370368</v>
      </c>
      <c r="C72" s="14">
        <v>46097.187106481484</v>
      </c>
      <c r="D72" s="14">
        <v>46097.416273148148</v>
      </c>
      <c r="E72" s="14">
        <v>46095.419085648151</v>
      </c>
      <c r="F72" s="14">
        <v>46097.416273148148</v>
      </c>
      <c r="G72" t="s">
        <v>470</v>
      </c>
      <c r="H72">
        <v>216</v>
      </c>
      <c r="I72">
        <v>2875.95</v>
      </c>
      <c r="J72" t="s">
        <v>104</v>
      </c>
      <c r="K72">
        <v>12828138</v>
      </c>
      <c r="L72" t="s">
        <v>1338</v>
      </c>
      <c r="M72" t="s">
        <v>129</v>
      </c>
      <c r="N72" t="s">
        <v>1341</v>
      </c>
      <c r="O72" t="s">
        <v>1300</v>
      </c>
      <c r="P72" t="s">
        <v>478</v>
      </c>
      <c r="Q72" t="s">
        <v>29</v>
      </c>
      <c r="R72" t="s">
        <v>25</v>
      </c>
      <c r="S72">
        <v>34.340000000000003</v>
      </c>
      <c r="T72">
        <v>100</v>
      </c>
      <c r="V72">
        <v>0</v>
      </c>
      <c r="X72" t="s">
        <v>1342</v>
      </c>
      <c r="AA72">
        <v>1440</v>
      </c>
      <c r="AB72" t="s">
        <v>26</v>
      </c>
      <c r="AC72">
        <v>156</v>
      </c>
      <c r="AD72" t="s">
        <v>27</v>
      </c>
      <c r="AE72" t="s">
        <v>28</v>
      </c>
      <c r="AF72">
        <v>0</v>
      </c>
      <c r="AK72" s="12">
        <f t="shared" si="12"/>
        <v>46097</v>
      </c>
      <c r="AL72" s="1" t="str">
        <f t="shared" si="13"/>
        <v>Week12</v>
      </c>
      <c r="AM72" s="1" t="s">
        <v>135</v>
      </c>
      <c r="AN72" s="1" t="str">
        <f t="shared" si="14"/>
        <v>Go</v>
      </c>
      <c r="AO72" s="2">
        <f t="shared" si="15"/>
        <v>100</v>
      </c>
      <c r="AP72" s="1">
        <f t="shared" si="16"/>
        <v>0</v>
      </c>
      <c r="AQ72" s="1">
        <f t="shared" si="17"/>
        <v>0</v>
      </c>
      <c r="AR72" s="1" t="s">
        <v>96</v>
      </c>
      <c r="AS72" s="1" t="s">
        <v>96</v>
      </c>
      <c r="AT72" s="1" t="s">
        <v>96</v>
      </c>
      <c r="AU72" s="1" t="str">
        <f t="shared" si="18"/>
        <v/>
      </c>
      <c r="AV72" s="1" t="str">
        <f t="shared" si="19"/>
        <v>12828138Sandeep S</v>
      </c>
      <c r="AW72" s="1" t="str">
        <f t="shared" si="20"/>
        <v/>
      </c>
      <c r="AX72" s="1" t="str">
        <f t="shared" si="21"/>
        <v/>
      </c>
      <c r="AY72" s="1" t="s">
        <v>29</v>
      </c>
      <c r="AZ72" s="1" t="b">
        <v>0</v>
      </c>
      <c r="BA72" s="1" t="str">
        <f t="shared" si="22"/>
        <v/>
      </c>
      <c r="BB72" s="1">
        <f t="shared" si="23"/>
        <v>0</v>
      </c>
      <c r="BC72" s="1" t="s">
        <v>478</v>
      </c>
      <c r="BD72" s="1" t="s">
        <v>43</v>
      </c>
      <c r="BE72" s="1" t="s">
        <v>98</v>
      </c>
      <c r="BF72" s="1" t="b">
        <v>0</v>
      </c>
      <c r="BG72" s="1" t="str">
        <f>VLOOKUP(AM72,Group!$C:$H,5,0)</f>
        <v>Others</v>
      </c>
      <c r="BH72" s="1" t="str">
        <f>VLOOKUP(P72,others!$C:$G,5,0)</f>
        <v>MTX - India</v>
      </c>
    </row>
    <row r="73" spans="1:60" x14ac:dyDescent="0.25">
      <c r="A73" s="14">
        <v>46092.572129629632</v>
      </c>
      <c r="B73" s="14">
        <v>46092.801296296297</v>
      </c>
      <c r="C73" s="14">
        <v>46097.191678240742</v>
      </c>
      <c r="D73" s="14">
        <v>46097.420844907407</v>
      </c>
      <c r="E73" s="14">
        <v>46095.418819444443</v>
      </c>
      <c r="F73" s="14">
        <v>46097.420844907407</v>
      </c>
      <c r="G73" t="s">
        <v>470</v>
      </c>
      <c r="H73">
        <v>383</v>
      </c>
      <c r="I73">
        <v>2882.9167000000002</v>
      </c>
      <c r="J73" t="s">
        <v>104</v>
      </c>
      <c r="K73">
        <v>12828184</v>
      </c>
      <c r="L73" t="s">
        <v>1338</v>
      </c>
      <c r="M73" t="s">
        <v>129</v>
      </c>
      <c r="N73" t="s">
        <v>1343</v>
      </c>
      <c r="O73" t="s">
        <v>1300</v>
      </c>
      <c r="P73" t="s">
        <v>478</v>
      </c>
      <c r="Q73" t="s">
        <v>29</v>
      </c>
      <c r="R73" t="s">
        <v>1241</v>
      </c>
      <c r="S73">
        <v>38.26</v>
      </c>
      <c r="T73">
        <v>98</v>
      </c>
      <c r="U73" t="s">
        <v>471</v>
      </c>
      <c r="V73">
        <v>2</v>
      </c>
      <c r="X73" t="s">
        <v>1344</v>
      </c>
      <c r="AA73">
        <v>1440</v>
      </c>
      <c r="AB73" t="s">
        <v>26</v>
      </c>
      <c r="AC73">
        <v>198</v>
      </c>
      <c r="AD73" t="s">
        <v>27</v>
      </c>
      <c r="AE73" t="s">
        <v>28</v>
      </c>
      <c r="AF73">
        <v>0</v>
      </c>
      <c r="AK73" s="12">
        <f t="shared" si="12"/>
        <v>46097</v>
      </c>
      <c r="AL73" s="1" t="str">
        <f t="shared" si="13"/>
        <v>Week12</v>
      </c>
      <c r="AM73" s="1" t="s">
        <v>135</v>
      </c>
      <c r="AN73" s="1" t="str">
        <f t="shared" si="14"/>
        <v>NoGo</v>
      </c>
      <c r="AO73" s="2">
        <f t="shared" si="15"/>
        <v>94.772608468374287</v>
      </c>
      <c r="AP73" s="1">
        <f t="shared" si="16"/>
        <v>2</v>
      </c>
      <c r="AQ73" s="1">
        <f t="shared" si="17"/>
        <v>2</v>
      </c>
      <c r="AR73" s="1" t="s">
        <v>96</v>
      </c>
      <c r="AS73" s="1" t="s">
        <v>96</v>
      </c>
      <c r="AT73" s="1" t="s">
        <v>96</v>
      </c>
      <c r="AU73" s="1" t="str">
        <f t="shared" si="18"/>
        <v>Major</v>
      </c>
      <c r="AV73" s="1" t="str">
        <f t="shared" si="19"/>
        <v>12828184Sandeep S</v>
      </c>
      <c r="AW73" s="1" t="str">
        <f t="shared" si="20"/>
        <v>Major</v>
      </c>
      <c r="AX73" s="1">
        <f t="shared" si="21"/>
        <v>1</v>
      </c>
      <c r="AY73" s="1" t="s">
        <v>29</v>
      </c>
      <c r="AZ73" s="1" t="b">
        <v>1</v>
      </c>
      <c r="BA73" s="1">
        <f t="shared" si="22"/>
        <v>1</v>
      </c>
      <c r="BB73" s="1">
        <f t="shared" si="23"/>
        <v>2</v>
      </c>
      <c r="BC73" s="1" t="s">
        <v>478</v>
      </c>
      <c r="BD73" s="1" t="s">
        <v>43</v>
      </c>
      <c r="BE73" s="1" t="s">
        <v>98</v>
      </c>
      <c r="BF73" s="1" t="b">
        <v>1</v>
      </c>
      <c r="BG73" s="1" t="str">
        <f>VLOOKUP(AM73,Group!$C:$H,5,0)</f>
        <v>Others</v>
      </c>
      <c r="BH73" s="1" t="str">
        <f>VLOOKUP(P73,others!$C:$G,5,0)</f>
        <v>MTX - India</v>
      </c>
    </row>
    <row r="74" spans="1:60" x14ac:dyDescent="0.25">
      <c r="A74" s="14">
        <v>46092.572129629632</v>
      </c>
      <c r="B74" s="14">
        <v>46092.801296296297</v>
      </c>
      <c r="C74" s="14">
        <v>46097.191678240742</v>
      </c>
      <c r="D74" s="14">
        <v>46097.420844907407</v>
      </c>
      <c r="E74" s="14">
        <v>46095.418819444443</v>
      </c>
      <c r="F74" s="14">
        <v>46097.420844907407</v>
      </c>
      <c r="G74" t="s">
        <v>470</v>
      </c>
      <c r="H74">
        <v>383</v>
      </c>
      <c r="I74">
        <v>2882.9167000000002</v>
      </c>
      <c r="J74" t="s">
        <v>104</v>
      </c>
      <c r="K74">
        <v>12828184</v>
      </c>
      <c r="L74" t="s">
        <v>1338</v>
      </c>
      <c r="M74" t="s">
        <v>129</v>
      </c>
      <c r="N74" t="s">
        <v>1343</v>
      </c>
      <c r="O74" t="s">
        <v>1300</v>
      </c>
      <c r="P74" t="s">
        <v>478</v>
      </c>
      <c r="Q74" t="s">
        <v>29</v>
      </c>
      <c r="R74" t="s">
        <v>1241</v>
      </c>
      <c r="S74">
        <v>38.26</v>
      </c>
      <c r="T74">
        <v>98</v>
      </c>
      <c r="U74" t="s">
        <v>100</v>
      </c>
      <c r="V74">
        <v>1</v>
      </c>
      <c r="X74" t="s">
        <v>1344</v>
      </c>
      <c r="AA74">
        <v>1440</v>
      </c>
      <c r="AB74" t="s">
        <v>26</v>
      </c>
      <c r="AC74">
        <v>198</v>
      </c>
      <c r="AD74" t="s">
        <v>27</v>
      </c>
      <c r="AE74" t="s">
        <v>28</v>
      </c>
      <c r="AF74">
        <v>0</v>
      </c>
      <c r="AK74" s="12">
        <f t="shared" si="12"/>
        <v>46097</v>
      </c>
      <c r="AL74" s="1" t="str">
        <f t="shared" si="13"/>
        <v>Week12</v>
      </c>
      <c r="AM74" s="1" t="s">
        <v>135</v>
      </c>
      <c r="AN74" s="1" t="str">
        <f t="shared" si="14"/>
        <v>NoGo</v>
      </c>
      <c r="AO74" s="2">
        <f t="shared" si="15"/>
        <v>94.772608468374287</v>
      </c>
      <c r="AP74" s="1">
        <f t="shared" si="16"/>
        <v>0</v>
      </c>
      <c r="AQ74" s="1">
        <f t="shared" si="17"/>
        <v>2</v>
      </c>
      <c r="AR74" s="1" t="s">
        <v>96</v>
      </c>
      <c r="AS74" s="1" t="s">
        <v>96</v>
      </c>
      <c r="AT74" s="1" t="s">
        <v>96</v>
      </c>
      <c r="AU74" s="1" t="str">
        <f t="shared" si="18"/>
        <v>Minor</v>
      </c>
      <c r="AV74" s="1" t="str">
        <f t="shared" si="19"/>
        <v>12828184Sandeep S</v>
      </c>
      <c r="AW74" s="1" t="str">
        <f t="shared" si="20"/>
        <v>Minor</v>
      </c>
      <c r="AX74" s="1">
        <f t="shared" si="21"/>
        <v>0</v>
      </c>
      <c r="AY74" s="1" t="s">
        <v>29</v>
      </c>
      <c r="AZ74" s="1" t="b">
        <v>0</v>
      </c>
      <c r="BA74" s="1">
        <f t="shared" si="22"/>
        <v>1</v>
      </c>
      <c r="BB74" s="1">
        <f t="shared" si="23"/>
        <v>1</v>
      </c>
      <c r="BC74" s="1" t="s">
        <v>478</v>
      </c>
      <c r="BD74" s="1" t="s">
        <v>43</v>
      </c>
      <c r="BE74" s="1" t="s">
        <v>98</v>
      </c>
      <c r="BF74" s="1" t="b">
        <v>0</v>
      </c>
      <c r="BG74" s="1" t="str">
        <f>VLOOKUP(AM74,Group!$C:$H,5,0)</f>
        <v>Others</v>
      </c>
      <c r="BH74" s="1" t="str">
        <f>VLOOKUP(P74,others!$C:$G,5,0)</f>
        <v>MTX - India</v>
      </c>
    </row>
    <row r="75" spans="1:60" x14ac:dyDescent="0.25">
      <c r="A75" s="14">
        <v>46091.725682870368</v>
      </c>
      <c r="B75" s="14">
        <v>46091.95484953704</v>
      </c>
      <c r="C75" s="14">
        <v>46097.196956018517</v>
      </c>
      <c r="D75" s="14">
        <v>46097.426122685189</v>
      </c>
      <c r="E75" s="14">
        <v>46095.418599537035</v>
      </c>
      <c r="F75" s="14">
        <v>46097.426122685189</v>
      </c>
      <c r="G75" t="s">
        <v>470</v>
      </c>
      <c r="H75">
        <v>540</v>
      </c>
      <c r="I75">
        <v>2890.8332999999998</v>
      </c>
      <c r="J75" t="s">
        <v>104</v>
      </c>
      <c r="K75">
        <v>12827798</v>
      </c>
      <c r="L75" t="s">
        <v>1268</v>
      </c>
      <c r="M75" t="s">
        <v>121</v>
      </c>
      <c r="N75" t="s">
        <v>88</v>
      </c>
      <c r="O75" t="s">
        <v>1300</v>
      </c>
      <c r="P75" t="s">
        <v>478</v>
      </c>
      <c r="Q75" t="s">
        <v>29</v>
      </c>
      <c r="R75" t="s">
        <v>25</v>
      </c>
      <c r="S75">
        <v>38.35</v>
      </c>
      <c r="T75">
        <v>100</v>
      </c>
      <c r="U75" t="s">
        <v>100</v>
      </c>
      <c r="V75">
        <v>1</v>
      </c>
      <c r="X75" t="s">
        <v>1288</v>
      </c>
      <c r="AA75">
        <v>720</v>
      </c>
      <c r="AB75" t="s">
        <v>26</v>
      </c>
      <c r="AC75">
        <v>350</v>
      </c>
      <c r="AD75" t="s">
        <v>27</v>
      </c>
      <c r="AE75" t="s">
        <v>28</v>
      </c>
      <c r="AF75">
        <v>0</v>
      </c>
      <c r="AK75" s="12">
        <f t="shared" si="12"/>
        <v>46097</v>
      </c>
      <c r="AL75" s="1" t="str">
        <f t="shared" si="13"/>
        <v>Week12</v>
      </c>
      <c r="AM75" s="1" t="s">
        <v>122</v>
      </c>
      <c r="AN75" s="1" t="str">
        <f t="shared" si="14"/>
        <v>Go</v>
      </c>
      <c r="AO75" s="2">
        <f t="shared" si="15"/>
        <v>100</v>
      </c>
      <c r="AP75" s="1">
        <f t="shared" si="16"/>
        <v>0</v>
      </c>
      <c r="AQ75" s="1">
        <f t="shared" si="17"/>
        <v>0</v>
      </c>
      <c r="AR75" s="1" t="s">
        <v>96</v>
      </c>
      <c r="AS75" s="1" t="s">
        <v>96</v>
      </c>
      <c r="AT75" s="1" t="s">
        <v>96</v>
      </c>
      <c r="AU75" s="1" t="str">
        <f t="shared" si="18"/>
        <v>Minor</v>
      </c>
      <c r="AV75" s="1" t="str">
        <f t="shared" si="19"/>
        <v>12827798Sandeep S</v>
      </c>
      <c r="AW75" s="1" t="str">
        <f t="shared" si="20"/>
        <v>Minor</v>
      </c>
      <c r="AX75" s="1">
        <f t="shared" si="21"/>
        <v>0</v>
      </c>
      <c r="AY75" s="1" t="s">
        <v>29</v>
      </c>
      <c r="AZ75" s="1" t="b">
        <v>0</v>
      </c>
      <c r="BA75" s="1">
        <f t="shared" si="22"/>
        <v>1</v>
      </c>
      <c r="BB75" s="1">
        <f t="shared" si="23"/>
        <v>1</v>
      </c>
      <c r="BC75" s="1" t="s">
        <v>478</v>
      </c>
      <c r="BD75" s="1" t="s">
        <v>43</v>
      </c>
      <c r="BE75" s="1" t="s">
        <v>98</v>
      </c>
      <c r="BF75" s="1" t="b">
        <v>0</v>
      </c>
      <c r="BG75" s="1" t="str">
        <f>VLOOKUP(AM75,Group!$C:$H,5,0)</f>
        <v>Top 25</v>
      </c>
      <c r="BH75" s="1" t="str">
        <f>VLOOKUP(P75,others!$C:$G,5,0)</f>
        <v>MTX - India</v>
      </c>
    </row>
    <row r="76" spans="1:60" x14ac:dyDescent="0.25">
      <c r="A76" s="14">
        <v>46093.215740740743</v>
      </c>
      <c r="B76" s="14">
        <v>46093.444907407407</v>
      </c>
      <c r="C76" s="14">
        <v>46097.204224537039</v>
      </c>
      <c r="D76" s="14">
        <v>46097.433391203704</v>
      </c>
      <c r="E76" s="14">
        <v>46095.419907407406</v>
      </c>
      <c r="F76" s="14">
        <v>46097.433391203704</v>
      </c>
      <c r="G76" t="s">
        <v>470</v>
      </c>
      <c r="H76">
        <v>322</v>
      </c>
      <c r="I76">
        <v>2899.4167000000002</v>
      </c>
      <c r="J76" t="s">
        <v>104</v>
      </c>
      <c r="K76">
        <v>12828416</v>
      </c>
      <c r="L76" t="s">
        <v>1345</v>
      </c>
      <c r="M76" t="s">
        <v>163</v>
      </c>
      <c r="N76" t="s">
        <v>88</v>
      </c>
      <c r="O76" t="s">
        <v>458</v>
      </c>
      <c r="P76" t="s">
        <v>459</v>
      </c>
      <c r="Q76" t="s">
        <v>29</v>
      </c>
      <c r="R76" t="s">
        <v>25</v>
      </c>
      <c r="S76">
        <v>31.92</v>
      </c>
      <c r="T76">
        <v>100</v>
      </c>
      <c r="U76" t="s">
        <v>100</v>
      </c>
      <c r="V76">
        <v>1</v>
      </c>
      <c r="X76" t="s">
        <v>1319</v>
      </c>
      <c r="AA76">
        <v>480</v>
      </c>
      <c r="AB76" t="s">
        <v>26</v>
      </c>
      <c r="AC76">
        <v>278</v>
      </c>
      <c r="AD76" t="s">
        <v>27</v>
      </c>
      <c r="AE76" t="s">
        <v>28</v>
      </c>
      <c r="AF76">
        <v>0</v>
      </c>
      <c r="AK76" s="12">
        <f t="shared" si="12"/>
        <v>46097</v>
      </c>
      <c r="AL76" s="1" t="str">
        <f t="shared" si="13"/>
        <v>Week12</v>
      </c>
      <c r="AM76" s="1" t="s">
        <v>169</v>
      </c>
      <c r="AN76" s="1" t="str">
        <f t="shared" si="14"/>
        <v>Go</v>
      </c>
      <c r="AO76" s="2">
        <f t="shared" si="15"/>
        <v>100</v>
      </c>
      <c r="AP76" s="1">
        <f t="shared" si="16"/>
        <v>0</v>
      </c>
      <c r="AQ76" s="1">
        <f t="shared" si="17"/>
        <v>0</v>
      </c>
      <c r="AR76" s="1" t="s">
        <v>96</v>
      </c>
      <c r="AS76" s="1" t="s">
        <v>96</v>
      </c>
      <c r="AT76" s="1" t="s">
        <v>96</v>
      </c>
      <c r="AU76" s="1" t="str">
        <f t="shared" si="18"/>
        <v>Minor</v>
      </c>
      <c r="AV76" s="1" t="str">
        <f t="shared" si="19"/>
        <v>12828416Usha M</v>
      </c>
      <c r="AW76" s="1" t="str">
        <f t="shared" si="20"/>
        <v>Minor</v>
      </c>
      <c r="AX76" s="1">
        <f t="shared" si="21"/>
        <v>0</v>
      </c>
      <c r="AY76" s="1" t="s">
        <v>29</v>
      </c>
      <c r="AZ76" s="1" t="b">
        <v>0</v>
      </c>
      <c r="BA76" s="1">
        <f t="shared" si="22"/>
        <v>1</v>
      </c>
      <c r="BB76" s="1">
        <f t="shared" si="23"/>
        <v>1</v>
      </c>
      <c r="BC76" s="1" t="s">
        <v>459</v>
      </c>
      <c r="BD76" s="1" t="s">
        <v>43</v>
      </c>
      <c r="BE76" s="1" t="s">
        <v>98</v>
      </c>
      <c r="BF76" s="1" t="b">
        <v>0</v>
      </c>
      <c r="BG76" s="1" t="str">
        <f>VLOOKUP(AM76,Group!$C:$H,5,0)</f>
        <v>Fundamental</v>
      </c>
      <c r="BH76" s="1" t="str">
        <f>VLOOKUP(P76,others!$C:$G,5,0)</f>
        <v>MTX - India</v>
      </c>
    </row>
    <row r="77" spans="1:60" x14ac:dyDescent="0.25">
      <c r="A77" s="14">
        <v>46091.688472222224</v>
      </c>
      <c r="B77" s="14">
        <v>46091.917638888888</v>
      </c>
      <c r="C77" s="14">
        <v>46097.215312499997</v>
      </c>
      <c r="D77" s="14">
        <v>46097.444479166668</v>
      </c>
      <c r="E77" s="14">
        <v>46095.41946759259</v>
      </c>
      <c r="F77" s="14">
        <v>46097.444479166668</v>
      </c>
      <c r="G77" t="s">
        <v>470</v>
      </c>
      <c r="H77">
        <v>1551</v>
      </c>
      <c r="I77">
        <v>2916.0167000000001</v>
      </c>
      <c r="J77" t="s">
        <v>104</v>
      </c>
      <c r="K77">
        <v>12827750</v>
      </c>
      <c r="L77" t="s">
        <v>1298</v>
      </c>
      <c r="M77" t="s">
        <v>109</v>
      </c>
      <c r="N77" t="s">
        <v>88</v>
      </c>
      <c r="O77" t="s">
        <v>458</v>
      </c>
      <c r="P77" t="s">
        <v>459</v>
      </c>
      <c r="Q77" t="s">
        <v>29</v>
      </c>
      <c r="R77" t="s">
        <v>1241</v>
      </c>
      <c r="S77">
        <v>100.75</v>
      </c>
      <c r="T77">
        <v>97</v>
      </c>
      <c r="U77" t="s">
        <v>471</v>
      </c>
      <c r="V77">
        <v>3</v>
      </c>
      <c r="X77" t="s">
        <v>1261</v>
      </c>
      <c r="AA77">
        <v>360</v>
      </c>
      <c r="AB77" t="s">
        <v>26</v>
      </c>
      <c r="AC77">
        <v>365</v>
      </c>
      <c r="AD77" t="s">
        <v>27</v>
      </c>
      <c r="AE77" t="s">
        <v>28</v>
      </c>
      <c r="AF77">
        <v>0</v>
      </c>
      <c r="AK77" s="12">
        <f t="shared" si="12"/>
        <v>46097</v>
      </c>
      <c r="AL77" s="1" t="str">
        <f t="shared" si="13"/>
        <v>Week12</v>
      </c>
      <c r="AM77" s="1" t="s">
        <v>110</v>
      </c>
      <c r="AN77" s="1" t="str">
        <f t="shared" si="14"/>
        <v>NoGo</v>
      </c>
      <c r="AO77" s="2">
        <f t="shared" si="15"/>
        <v>97.022332506203469</v>
      </c>
      <c r="AP77" s="1">
        <f t="shared" si="16"/>
        <v>3</v>
      </c>
      <c r="AQ77" s="1">
        <f t="shared" si="17"/>
        <v>3</v>
      </c>
      <c r="AR77" s="1" t="s">
        <v>96</v>
      </c>
      <c r="AS77" s="1" t="s">
        <v>96</v>
      </c>
      <c r="AT77" s="1" t="s">
        <v>96</v>
      </c>
      <c r="AU77" s="1" t="str">
        <f t="shared" si="18"/>
        <v>Major</v>
      </c>
      <c r="AV77" s="1" t="str">
        <f t="shared" si="19"/>
        <v>12827750Usha M</v>
      </c>
      <c r="AW77" s="1" t="str">
        <f t="shared" si="20"/>
        <v>Major</v>
      </c>
      <c r="AX77" s="1">
        <f t="shared" si="21"/>
        <v>1</v>
      </c>
      <c r="AY77" s="1" t="s">
        <v>29</v>
      </c>
      <c r="AZ77" s="1" t="b">
        <v>1</v>
      </c>
      <c r="BA77" s="1">
        <f t="shared" si="22"/>
        <v>1</v>
      </c>
      <c r="BB77" s="1">
        <f t="shared" si="23"/>
        <v>3</v>
      </c>
      <c r="BC77" s="1" t="s">
        <v>459</v>
      </c>
      <c r="BD77" s="1" t="s">
        <v>43</v>
      </c>
      <c r="BE77" s="1" t="s">
        <v>1262</v>
      </c>
      <c r="BF77" s="1" t="b">
        <v>1</v>
      </c>
      <c r="BG77" s="1" t="str">
        <f>VLOOKUP(AM77,Group!$C:$H,5,0)</f>
        <v>AMC Group</v>
      </c>
      <c r="BH77" s="1" t="str">
        <f>VLOOKUP(P77,others!$C:$G,5,0)</f>
        <v>MTX - India</v>
      </c>
    </row>
    <row r="78" spans="1:60" x14ac:dyDescent="0.25">
      <c r="A78" s="14">
        <v>46091.688472222224</v>
      </c>
      <c r="B78" s="14">
        <v>46091.917638888888</v>
      </c>
      <c r="C78" s="14">
        <v>46097.215312499997</v>
      </c>
      <c r="D78" s="14">
        <v>46097.444479166668</v>
      </c>
      <c r="E78" s="14">
        <v>46095.41946759259</v>
      </c>
      <c r="F78" s="14">
        <v>46097.444479166668</v>
      </c>
      <c r="G78" t="s">
        <v>470</v>
      </c>
      <c r="H78">
        <v>1551</v>
      </c>
      <c r="I78">
        <v>2916.0167000000001</v>
      </c>
      <c r="J78" t="s">
        <v>104</v>
      </c>
      <c r="K78">
        <v>12827750</v>
      </c>
      <c r="L78" t="s">
        <v>1298</v>
      </c>
      <c r="M78" t="s">
        <v>109</v>
      </c>
      <c r="N78" t="s">
        <v>88</v>
      </c>
      <c r="O78" t="s">
        <v>458</v>
      </c>
      <c r="P78" t="s">
        <v>459</v>
      </c>
      <c r="Q78" t="s">
        <v>29</v>
      </c>
      <c r="R78" t="s">
        <v>1241</v>
      </c>
      <c r="S78">
        <v>100.75</v>
      </c>
      <c r="T78">
        <v>97</v>
      </c>
      <c r="U78" t="s">
        <v>100</v>
      </c>
      <c r="V78">
        <v>3</v>
      </c>
      <c r="X78" t="s">
        <v>1261</v>
      </c>
      <c r="AA78">
        <v>360</v>
      </c>
      <c r="AB78" t="s">
        <v>26</v>
      </c>
      <c r="AC78">
        <v>365</v>
      </c>
      <c r="AD78" t="s">
        <v>27</v>
      </c>
      <c r="AE78" t="s">
        <v>28</v>
      </c>
      <c r="AF78">
        <v>0</v>
      </c>
      <c r="AK78" s="12">
        <f t="shared" si="12"/>
        <v>46097</v>
      </c>
      <c r="AL78" s="1" t="str">
        <f t="shared" si="13"/>
        <v>Week12</v>
      </c>
      <c r="AM78" s="1" t="s">
        <v>110</v>
      </c>
      <c r="AN78" s="1" t="str">
        <f t="shared" si="14"/>
        <v>NoGo</v>
      </c>
      <c r="AO78" s="2">
        <f t="shared" si="15"/>
        <v>97.022332506203469</v>
      </c>
      <c r="AP78" s="1">
        <f t="shared" si="16"/>
        <v>0</v>
      </c>
      <c r="AQ78" s="1">
        <f t="shared" si="17"/>
        <v>3</v>
      </c>
      <c r="AR78" s="1" t="s">
        <v>96</v>
      </c>
      <c r="AS78" s="1" t="s">
        <v>96</v>
      </c>
      <c r="AT78" s="1" t="s">
        <v>96</v>
      </c>
      <c r="AU78" s="1" t="str">
        <f t="shared" si="18"/>
        <v>Minor</v>
      </c>
      <c r="AV78" s="1" t="str">
        <f t="shared" si="19"/>
        <v>12827750Usha M</v>
      </c>
      <c r="AW78" s="1" t="str">
        <f t="shared" si="20"/>
        <v>Minor</v>
      </c>
      <c r="AX78" s="1">
        <f t="shared" si="21"/>
        <v>0</v>
      </c>
      <c r="AY78" s="1" t="s">
        <v>29</v>
      </c>
      <c r="AZ78" s="1" t="b">
        <v>0</v>
      </c>
      <c r="BA78" s="1">
        <f t="shared" si="22"/>
        <v>1</v>
      </c>
      <c r="BB78" s="1">
        <f t="shared" si="23"/>
        <v>3</v>
      </c>
      <c r="BC78" s="1" t="s">
        <v>459</v>
      </c>
      <c r="BD78" s="1" t="s">
        <v>43</v>
      </c>
      <c r="BE78" s="1" t="s">
        <v>1262</v>
      </c>
      <c r="BF78" s="1" t="b">
        <v>0</v>
      </c>
      <c r="BG78" s="1" t="str">
        <f>VLOOKUP(AM78,Group!$C:$H,5,0)</f>
        <v>AMC Group</v>
      </c>
      <c r="BH78" s="1" t="str">
        <f>VLOOKUP(P78,others!$C:$G,5,0)</f>
        <v>MTX - India</v>
      </c>
    </row>
    <row r="79" spans="1:60" x14ac:dyDescent="0.25">
      <c r="A79" s="14">
        <v>46093.54378472222</v>
      </c>
      <c r="B79" s="14">
        <v>46093.772951388892</v>
      </c>
      <c r="C79" s="14">
        <v>46097.226793981485</v>
      </c>
      <c r="D79" s="14">
        <v>46097.455960648149</v>
      </c>
      <c r="E79" s="14">
        <v>46095.420092592591</v>
      </c>
      <c r="F79" s="14">
        <v>46097.455960648149</v>
      </c>
      <c r="G79" t="s">
        <v>470</v>
      </c>
      <c r="H79">
        <v>925</v>
      </c>
      <c r="I79">
        <v>2931.65</v>
      </c>
      <c r="J79" t="s">
        <v>104</v>
      </c>
      <c r="K79">
        <v>12828538</v>
      </c>
      <c r="L79" t="s">
        <v>1282</v>
      </c>
      <c r="M79" t="s">
        <v>121</v>
      </c>
      <c r="N79" t="s">
        <v>88</v>
      </c>
      <c r="O79" t="s">
        <v>458</v>
      </c>
      <c r="P79" t="s">
        <v>459</v>
      </c>
      <c r="Q79" t="s">
        <v>29</v>
      </c>
      <c r="R79" t="s">
        <v>1241</v>
      </c>
      <c r="S79">
        <v>63.72</v>
      </c>
      <c r="T79">
        <v>95</v>
      </c>
      <c r="U79" t="s">
        <v>471</v>
      </c>
      <c r="V79">
        <v>4</v>
      </c>
      <c r="X79" t="s">
        <v>1256</v>
      </c>
      <c r="AA79">
        <v>1440</v>
      </c>
      <c r="AB79" t="s">
        <v>26</v>
      </c>
      <c r="AC79">
        <v>297</v>
      </c>
      <c r="AD79" t="s">
        <v>27</v>
      </c>
      <c r="AE79" t="s">
        <v>28</v>
      </c>
      <c r="AF79">
        <v>0</v>
      </c>
      <c r="AK79" s="12">
        <f t="shared" si="12"/>
        <v>46097</v>
      </c>
      <c r="AL79" s="1" t="str">
        <f t="shared" si="13"/>
        <v>Week12</v>
      </c>
      <c r="AM79" s="1" t="s">
        <v>122</v>
      </c>
      <c r="AN79" s="1" t="str">
        <f t="shared" si="14"/>
        <v>NoGo</v>
      </c>
      <c r="AO79" s="2">
        <f t="shared" si="15"/>
        <v>92.15317011927182</v>
      </c>
      <c r="AP79" s="1">
        <f t="shared" si="16"/>
        <v>4</v>
      </c>
      <c r="AQ79" s="1">
        <f t="shared" si="17"/>
        <v>5</v>
      </c>
      <c r="AR79" s="1" t="s">
        <v>96</v>
      </c>
      <c r="AS79" s="1" t="s">
        <v>96</v>
      </c>
      <c r="AT79" s="1" t="s">
        <v>96</v>
      </c>
      <c r="AU79" s="1" t="str">
        <f t="shared" si="18"/>
        <v>Major</v>
      </c>
      <c r="AV79" s="1" t="str">
        <f t="shared" si="19"/>
        <v>12828538Usha M</v>
      </c>
      <c r="AW79" s="1" t="str">
        <f t="shared" si="20"/>
        <v>Major</v>
      </c>
      <c r="AX79" s="1">
        <f t="shared" si="21"/>
        <v>1</v>
      </c>
      <c r="AY79" s="1" t="s">
        <v>29</v>
      </c>
      <c r="AZ79" s="1" t="b">
        <v>1</v>
      </c>
      <c r="BA79" s="1">
        <f t="shared" si="22"/>
        <v>1</v>
      </c>
      <c r="BB79" s="1">
        <f t="shared" si="23"/>
        <v>4</v>
      </c>
      <c r="BC79" s="1" t="s">
        <v>459</v>
      </c>
      <c r="BD79" s="1" t="s">
        <v>43</v>
      </c>
      <c r="BE79" s="1" t="s">
        <v>98</v>
      </c>
      <c r="BF79" s="1" t="b">
        <v>1</v>
      </c>
      <c r="BG79" s="1" t="str">
        <f>VLOOKUP(AM79,Group!$C:$H,5,0)</f>
        <v>Top 25</v>
      </c>
      <c r="BH79" s="1" t="str">
        <f>VLOOKUP(P79,others!$C:$G,5,0)</f>
        <v>MTX - India</v>
      </c>
    </row>
    <row r="80" spans="1:60" x14ac:dyDescent="0.25">
      <c r="A80" s="14">
        <v>46093.54378472222</v>
      </c>
      <c r="B80" s="14">
        <v>46093.772951388892</v>
      </c>
      <c r="C80" s="14">
        <v>46097.226793981485</v>
      </c>
      <c r="D80" s="14">
        <v>46097.455960648149</v>
      </c>
      <c r="E80" s="14">
        <v>46095.420092592591</v>
      </c>
      <c r="F80" s="14">
        <v>46097.455960648149</v>
      </c>
      <c r="G80" t="s">
        <v>470</v>
      </c>
      <c r="H80">
        <v>925</v>
      </c>
      <c r="I80">
        <v>2931.65</v>
      </c>
      <c r="J80" t="s">
        <v>104</v>
      </c>
      <c r="K80">
        <v>12828538</v>
      </c>
      <c r="L80" t="s">
        <v>1282</v>
      </c>
      <c r="M80" t="s">
        <v>121</v>
      </c>
      <c r="N80" t="s">
        <v>88</v>
      </c>
      <c r="O80" t="s">
        <v>458</v>
      </c>
      <c r="P80" t="s">
        <v>459</v>
      </c>
      <c r="Q80" t="s">
        <v>29</v>
      </c>
      <c r="R80" t="s">
        <v>1241</v>
      </c>
      <c r="S80">
        <v>63.72</v>
      </c>
      <c r="T80">
        <v>95</v>
      </c>
      <c r="U80" t="s">
        <v>472</v>
      </c>
      <c r="V80">
        <v>1</v>
      </c>
      <c r="X80" t="s">
        <v>1256</v>
      </c>
      <c r="AA80">
        <v>1440</v>
      </c>
      <c r="AB80" t="s">
        <v>26</v>
      </c>
      <c r="AC80">
        <v>297</v>
      </c>
      <c r="AD80" t="s">
        <v>27</v>
      </c>
      <c r="AE80" t="s">
        <v>28</v>
      </c>
      <c r="AF80">
        <v>0</v>
      </c>
      <c r="AK80" s="12">
        <f t="shared" si="12"/>
        <v>46097</v>
      </c>
      <c r="AL80" s="1" t="str">
        <f t="shared" si="13"/>
        <v>Week12</v>
      </c>
      <c r="AM80" s="1" t="s">
        <v>122</v>
      </c>
      <c r="AN80" s="1" t="str">
        <f t="shared" si="14"/>
        <v>NoGo</v>
      </c>
      <c r="AO80" s="2">
        <f t="shared" si="15"/>
        <v>92.15317011927182</v>
      </c>
      <c r="AP80" s="1">
        <f t="shared" si="16"/>
        <v>1</v>
      </c>
      <c r="AQ80" s="1">
        <f t="shared" si="17"/>
        <v>5</v>
      </c>
      <c r="AR80" s="1" t="s">
        <v>96</v>
      </c>
      <c r="AS80" s="1" t="s">
        <v>96</v>
      </c>
      <c r="AT80" s="1" t="s">
        <v>96</v>
      </c>
      <c r="AU80" s="1" t="str">
        <f t="shared" si="18"/>
        <v>Major</v>
      </c>
      <c r="AV80" s="1" t="str">
        <f t="shared" si="19"/>
        <v>12828538Usha M</v>
      </c>
      <c r="AW80" s="1" t="str">
        <f t="shared" si="20"/>
        <v>Major</v>
      </c>
      <c r="AX80" s="1">
        <f t="shared" si="21"/>
        <v>1</v>
      </c>
      <c r="AY80" s="1" t="s">
        <v>29</v>
      </c>
      <c r="AZ80" s="1" t="b">
        <v>1</v>
      </c>
      <c r="BA80" s="1">
        <f t="shared" si="22"/>
        <v>1</v>
      </c>
      <c r="BB80" s="1">
        <f t="shared" si="23"/>
        <v>1</v>
      </c>
      <c r="BC80" s="1" t="s">
        <v>459</v>
      </c>
      <c r="BD80" s="1" t="s">
        <v>43</v>
      </c>
      <c r="BE80" s="1" t="s">
        <v>98</v>
      </c>
      <c r="BF80" s="1" t="b">
        <v>1</v>
      </c>
      <c r="BG80" s="1" t="str">
        <f>VLOOKUP(AM80,Group!$C:$H,5,0)</f>
        <v>Top 25</v>
      </c>
      <c r="BH80" s="1" t="str">
        <f>VLOOKUP(P80,others!$C:$G,5,0)</f>
        <v>MTX - India</v>
      </c>
    </row>
    <row r="81" spans="1:60" x14ac:dyDescent="0.25">
      <c r="A81" s="14">
        <v>46093.54378472222</v>
      </c>
      <c r="B81" s="14">
        <v>46093.772951388892</v>
      </c>
      <c r="C81" s="14">
        <v>46097.226793981485</v>
      </c>
      <c r="D81" s="14">
        <v>46097.455960648149</v>
      </c>
      <c r="E81" s="14">
        <v>46095.420092592591</v>
      </c>
      <c r="F81" s="14">
        <v>46097.455960648149</v>
      </c>
      <c r="G81" t="s">
        <v>470</v>
      </c>
      <c r="H81">
        <v>925</v>
      </c>
      <c r="I81">
        <v>2931.65</v>
      </c>
      <c r="J81" t="s">
        <v>104</v>
      </c>
      <c r="K81">
        <v>12828538</v>
      </c>
      <c r="L81" t="s">
        <v>1282</v>
      </c>
      <c r="M81" t="s">
        <v>121</v>
      </c>
      <c r="N81" t="s">
        <v>88</v>
      </c>
      <c r="O81" t="s">
        <v>458</v>
      </c>
      <c r="P81" t="s">
        <v>459</v>
      </c>
      <c r="Q81" t="s">
        <v>29</v>
      </c>
      <c r="R81" t="s">
        <v>1241</v>
      </c>
      <c r="S81">
        <v>63.72</v>
      </c>
      <c r="T81">
        <v>95</v>
      </c>
      <c r="U81" t="s">
        <v>100</v>
      </c>
      <c r="V81">
        <v>2</v>
      </c>
      <c r="X81" t="s">
        <v>1256</v>
      </c>
      <c r="AA81">
        <v>1440</v>
      </c>
      <c r="AB81" t="s">
        <v>26</v>
      </c>
      <c r="AC81">
        <v>297</v>
      </c>
      <c r="AD81" t="s">
        <v>27</v>
      </c>
      <c r="AE81" t="s">
        <v>28</v>
      </c>
      <c r="AF81">
        <v>0</v>
      </c>
      <c r="AK81" s="12">
        <f t="shared" si="12"/>
        <v>46097</v>
      </c>
      <c r="AL81" s="1" t="str">
        <f t="shared" si="13"/>
        <v>Week12</v>
      </c>
      <c r="AM81" s="1" t="s">
        <v>122</v>
      </c>
      <c r="AN81" s="1" t="str">
        <f t="shared" si="14"/>
        <v>NoGo</v>
      </c>
      <c r="AO81" s="2">
        <f t="shared" si="15"/>
        <v>92.15317011927182</v>
      </c>
      <c r="AP81" s="1">
        <f t="shared" si="16"/>
        <v>0</v>
      </c>
      <c r="AQ81" s="1">
        <f t="shared" si="17"/>
        <v>5</v>
      </c>
      <c r="AR81" s="1" t="s">
        <v>96</v>
      </c>
      <c r="AS81" s="1" t="s">
        <v>96</v>
      </c>
      <c r="AT81" s="1" t="s">
        <v>96</v>
      </c>
      <c r="AU81" s="1" t="str">
        <f t="shared" si="18"/>
        <v>Minor</v>
      </c>
      <c r="AV81" s="1" t="str">
        <f t="shared" si="19"/>
        <v>12828538Usha M</v>
      </c>
      <c r="AW81" s="1" t="str">
        <f t="shared" si="20"/>
        <v>Minor</v>
      </c>
      <c r="AX81" s="1">
        <f t="shared" si="21"/>
        <v>0</v>
      </c>
      <c r="AY81" s="1" t="s">
        <v>29</v>
      </c>
      <c r="AZ81" s="1" t="b">
        <v>0</v>
      </c>
      <c r="BA81" s="1">
        <f t="shared" si="22"/>
        <v>1</v>
      </c>
      <c r="BB81" s="1">
        <f t="shared" si="23"/>
        <v>2</v>
      </c>
      <c r="BC81" s="1" t="s">
        <v>459</v>
      </c>
      <c r="BD81" s="1" t="s">
        <v>43</v>
      </c>
      <c r="BE81" s="1" t="s">
        <v>98</v>
      </c>
      <c r="BF81" s="1" t="b">
        <v>0</v>
      </c>
      <c r="BG81" s="1" t="str">
        <f>VLOOKUP(AM81,Group!$C:$H,5,0)</f>
        <v>Top 25</v>
      </c>
      <c r="BH81" s="1" t="str">
        <f>VLOOKUP(P81,others!$C:$G,5,0)</f>
        <v>MTX - India</v>
      </c>
    </row>
    <row r="82" spans="1:60" x14ac:dyDescent="0.25">
      <c r="A82" s="14">
        <v>46093.444340277776</v>
      </c>
      <c r="B82" s="14">
        <v>46093.673506944448</v>
      </c>
      <c r="C82" s="14">
        <v>46097.232615740744</v>
      </c>
      <c r="D82" s="14">
        <v>46097.461782407408</v>
      </c>
      <c r="E82" s="14">
        <v>46097.457060185188</v>
      </c>
      <c r="F82" s="14">
        <v>46097.461782407408</v>
      </c>
      <c r="G82" t="s">
        <v>470</v>
      </c>
      <c r="H82">
        <v>77</v>
      </c>
      <c r="I82">
        <v>6.8</v>
      </c>
      <c r="J82" t="s">
        <v>104</v>
      </c>
      <c r="K82">
        <v>12828485</v>
      </c>
      <c r="L82" t="s">
        <v>1346</v>
      </c>
      <c r="M82" t="s">
        <v>106</v>
      </c>
      <c r="N82" t="s">
        <v>97</v>
      </c>
      <c r="O82" t="s">
        <v>455</v>
      </c>
      <c r="P82" t="s">
        <v>99</v>
      </c>
      <c r="Q82" t="s">
        <v>29</v>
      </c>
      <c r="R82" t="s">
        <v>25</v>
      </c>
      <c r="S82">
        <v>8.18</v>
      </c>
      <c r="T82">
        <v>100</v>
      </c>
      <c r="V82">
        <v>0</v>
      </c>
      <c r="X82" t="s">
        <v>1347</v>
      </c>
      <c r="AA82">
        <v>360</v>
      </c>
      <c r="AB82" t="s">
        <v>26</v>
      </c>
      <c r="AC82">
        <v>39</v>
      </c>
      <c r="AD82" t="s">
        <v>27</v>
      </c>
      <c r="AE82" t="s">
        <v>28</v>
      </c>
      <c r="AF82">
        <v>0</v>
      </c>
      <c r="AK82" s="12">
        <f t="shared" si="12"/>
        <v>46097</v>
      </c>
      <c r="AL82" s="1" t="str">
        <f t="shared" si="13"/>
        <v>Week12</v>
      </c>
      <c r="AM82" s="1" t="s">
        <v>108</v>
      </c>
      <c r="AN82" s="1" t="str">
        <f t="shared" si="14"/>
        <v>Go</v>
      </c>
      <c r="AO82" s="2">
        <f t="shared" si="15"/>
        <v>100</v>
      </c>
      <c r="AP82" s="1">
        <f t="shared" si="16"/>
        <v>0</v>
      </c>
      <c r="AQ82" s="1">
        <f t="shared" si="17"/>
        <v>0</v>
      </c>
      <c r="AR82" s="1" t="s">
        <v>93</v>
      </c>
      <c r="AS82" s="1" t="s">
        <v>96</v>
      </c>
      <c r="AT82" s="1" t="s">
        <v>96</v>
      </c>
      <c r="AU82" s="1" t="str">
        <f t="shared" si="18"/>
        <v/>
      </c>
      <c r="AV82" s="1" t="str">
        <f t="shared" si="19"/>
        <v>12828485Gopal Rajith</v>
      </c>
      <c r="AW82" s="1" t="str">
        <f t="shared" si="20"/>
        <v/>
      </c>
      <c r="AX82" s="1" t="str">
        <f t="shared" si="21"/>
        <v/>
      </c>
      <c r="AY82" s="1" t="s">
        <v>29</v>
      </c>
      <c r="AZ82" s="1" t="b">
        <v>0</v>
      </c>
      <c r="BA82" s="1" t="str">
        <f t="shared" si="22"/>
        <v/>
      </c>
      <c r="BB82" s="1">
        <f t="shared" si="23"/>
        <v>0</v>
      </c>
      <c r="BC82" s="1" t="s">
        <v>99</v>
      </c>
      <c r="BD82" s="1" t="s">
        <v>43</v>
      </c>
      <c r="BE82" s="1" t="s">
        <v>98</v>
      </c>
      <c r="BF82" s="1" t="b">
        <v>0</v>
      </c>
      <c r="BG82" s="1" t="str">
        <f>VLOOKUP(AM82,Group!$C:$H,5,0)</f>
        <v>Top 25</v>
      </c>
      <c r="BH82" s="1" t="str">
        <f>VLOOKUP(P82,others!$C:$G,5,0)</f>
        <v>MTx-India</v>
      </c>
    </row>
    <row r="83" spans="1:60" x14ac:dyDescent="0.25">
      <c r="A83" s="14">
        <v>46087.573680555557</v>
      </c>
      <c r="B83" s="14">
        <v>46087.802847222221</v>
      </c>
      <c r="C83" s="14">
        <v>46097.272303240738</v>
      </c>
      <c r="D83" s="14">
        <v>46097.501469907409</v>
      </c>
      <c r="E83" s="14">
        <v>46097.456562500003</v>
      </c>
      <c r="F83" s="14">
        <v>46097.501469907409</v>
      </c>
      <c r="G83" t="s">
        <v>470</v>
      </c>
      <c r="H83">
        <v>225</v>
      </c>
      <c r="I83">
        <v>64.666700000000006</v>
      </c>
      <c r="J83" t="s">
        <v>104</v>
      </c>
      <c r="K83">
        <v>12826924</v>
      </c>
      <c r="L83" t="s">
        <v>1348</v>
      </c>
      <c r="M83" t="s">
        <v>106</v>
      </c>
      <c r="N83" t="s">
        <v>97</v>
      </c>
      <c r="O83" t="s">
        <v>455</v>
      </c>
      <c r="P83" t="s">
        <v>99</v>
      </c>
      <c r="Q83" t="s">
        <v>29</v>
      </c>
      <c r="R83" t="s">
        <v>25</v>
      </c>
      <c r="S83">
        <v>31.06</v>
      </c>
      <c r="T83">
        <v>100</v>
      </c>
      <c r="U83" t="s">
        <v>100</v>
      </c>
      <c r="V83">
        <v>3</v>
      </c>
      <c r="X83" t="s">
        <v>1349</v>
      </c>
      <c r="AA83">
        <v>720</v>
      </c>
      <c r="AB83" t="s">
        <v>26</v>
      </c>
      <c r="AC83">
        <v>145</v>
      </c>
      <c r="AD83" t="s">
        <v>27</v>
      </c>
      <c r="AE83" t="s">
        <v>28</v>
      </c>
      <c r="AF83">
        <v>0</v>
      </c>
      <c r="AK83" s="12">
        <f t="shared" si="12"/>
        <v>46097</v>
      </c>
      <c r="AL83" s="1" t="str">
        <f t="shared" si="13"/>
        <v>Week12</v>
      </c>
      <c r="AM83" s="1" t="s">
        <v>108</v>
      </c>
      <c r="AN83" s="1" t="str">
        <f t="shared" si="14"/>
        <v>Go</v>
      </c>
      <c r="AO83" s="2">
        <f t="shared" si="15"/>
        <v>100</v>
      </c>
      <c r="AP83" s="1">
        <f t="shared" si="16"/>
        <v>0</v>
      </c>
      <c r="AQ83" s="1">
        <f t="shared" si="17"/>
        <v>0</v>
      </c>
      <c r="AR83" s="1" t="s">
        <v>93</v>
      </c>
      <c r="AS83" s="1" t="s">
        <v>96</v>
      </c>
      <c r="AT83" s="1" t="s">
        <v>96</v>
      </c>
      <c r="AU83" s="1" t="str">
        <f t="shared" si="18"/>
        <v>Minor</v>
      </c>
      <c r="AV83" s="1" t="str">
        <f t="shared" si="19"/>
        <v>12826924Gopal Rajith</v>
      </c>
      <c r="AW83" s="1" t="str">
        <f t="shared" si="20"/>
        <v>Minor</v>
      </c>
      <c r="AX83" s="1">
        <f t="shared" si="21"/>
        <v>0</v>
      </c>
      <c r="AY83" s="1" t="s">
        <v>29</v>
      </c>
      <c r="AZ83" s="1" t="b">
        <v>0</v>
      </c>
      <c r="BA83" s="1">
        <f t="shared" si="22"/>
        <v>1</v>
      </c>
      <c r="BB83" s="1">
        <f t="shared" si="23"/>
        <v>3</v>
      </c>
      <c r="BC83" s="1" t="s">
        <v>99</v>
      </c>
      <c r="BD83" s="1" t="s">
        <v>43</v>
      </c>
      <c r="BE83" s="1" t="s">
        <v>98</v>
      </c>
      <c r="BF83" s="1" t="b">
        <v>0</v>
      </c>
      <c r="BG83" s="1" t="str">
        <f>VLOOKUP(AM83,Group!$C:$H,5,0)</f>
        <v>Top 25</v>
      </c>
      <c r="BH83" s="1" t="str">
        <f>VLOOKUP(P83,others!$C:$G,5,0)</f>
        <v>MTx-India</v>
      </c>
    </row>
    <row r="84" spans="1:60" x14ac:dyDescent="0.25">
      <c r="A84" s="14">
        <v>46087.54415509259</v>
      </c>
      <c r="B84" s="14">
        <v>46087.773321759261</v>
      </c>
      <c r="C84" s="14">
        <v>46097.279918981483</v>
      </c>
      <c r="D84" s="14">
        <v>46097.509085648147</v>
      </c>
      <c r="E84" s="14">
        <v>46097.456157407411</v>
      </c>
      <c r="F84" s="14">
        <v>46097.509085648147</v>
      </c>
      <c r="G84" t="s">
        <v>470</v>
      </c>
      <c r="H84">
        <v>1415</v>
      </c>
      <c r="I84">
        <v>76.216700000000003</v>
      </c>
      <c r="J84" t="s">
        <v>104</v>
      </c>
      <c r="K84">
        <v>12826952</v>
      </c>
      <c r="L84" t="s">
        <v>1318</v>
      </c>
      <c r="M84" t="s">
        <v>252</v>
      </c>
      <c r="N84" t="s">
        <v>97</v>
      </c>
      <c r="O84" t="s">
        <v>455</v>
      </c>
      <c r="P84" t="s">
        <v>99</v>
      </c>
      <c r="Q84" t="s">
        <v>29</v>
      </c>
      <c r="R84" t="s">
        <v>25</v>
      </c>
      <c r="S84">
        <v>42.4</v>
      </c>
      <c r="T84">
        <v>100</v>
      </c>
      <c r="U84" t="s">
        <v>100</v>
      </c>
      <c r="V84">
        <v>4</v>
      </c>
      <c r="X84" t="s">
        <v>1319</v>
      </c>
      <c r="AA84">
        <v>480</v>
      </c>
      <c r="AB84" t="s">
        <v>26</v>
      </c>
      <c r="AC84">
        <v>246</v>
      </c>
      <c r="AD84" t="s">
        <v>27</v>
      </c>
      <c r="AE84" t="s">
        <v>28</v>
      </c>
      <c r="AF84">
        <v>0</v>
      </c>
      <c r="AK84" s="12">
        <f t="shared" si="12"/>
        <v>46097</v>
      </c>
      <c r="AL84" s="1" t="str">
        <f t="shared" si="13"/>
        <v>Week12</v>
      </c>
      <c r="AM84" s="1" t="s">
        <v>253</v>
      </c>
      <c r="AN84" s="1" t="str">
        <f t="shared" si="14"/>
        <v>Go</v>
      </c>
      <c r="AO84" s="2">
        <f t="shared" si="15"/>
        <v>100</v>
      </c>
      <c r="AP84" s="1">
        <f t="shared" si="16"/>
        <v>0</v>
      </c>
      <c r="AQ84" s="1">
        <f t="shared" si="17"/>
        <v>0</v>
      </c>
      <c r="AR84" s="1" t="s">
        <v>96</v>
      </c>
      <c r="AS84" s="1" t="s">
        <v>96</v>
      </c>
      <c r="AT84" s="1" t="s">
        <v>96</v>
      </c>
      <c r="AU84" s="1" t="str">
        <f t="shared" si="18"/>
        <v>Minor</v>
      </c>
      <c r="AV84" s="1" t="str">
        <f t="shared" si="19"/>
        <v>12826952Gopal Rajith</v>
      </c>
      <c r="AW84" s="1" t="str">
        <f t="shared" si="20"/>
        <v>Minor</v>
      </c>
      <c r="AX84" s="1">
        <f t="shared" si="21"/>
        <v>0</v>
      </c>
      <c r="AY84" s="1" t="s">
        <v>29</v>
      </c>
      <c r="AZ84" s="1" t="b">
        <v>0</v>
      </c>
      <c r="BA84" s="1">
        <f t="shared" si="22"/>
        <v>1</v>
      </c>
      <c r="BB84" s="1">
        <f t="shared" si="23"/>
        <v>4</v>
      </c>
      <c r="BC84" s="1" t="s">
        <v>99</v>
      </c>
      <c r="BD84" s="1" t="s">
        <v>43</v>
      </c>
      <c r="BE84" s="1" t="s">
        <v>98</v>
      </c>
      <c r="BF84" s="1" t="b">
        <v>0</v>
      </c>
      <c r="BG84" s="1" t="str">
        <f>VLOOKUP(AM84,Group!$C:$H,5,0)</f>
        <v>Fundamental</v>
      </c>
      <c r="BH84" s="1" t="str">
        <f>VLOOKUP(P84,others!$C:$G,5,0)</f>
        <v>MTx-India</v>
      </c>
    </row>
    <row r="85" spans="1:60" x14ac:dyDescent="0.25">
      <c r="A85" s="14">
        <v>46091.640405092592</v>
      </c>
      <c r="B85" s="14">
        <v>46091.869571759256</v>
      </c>
      <c r="C85" s="14">
        <v>46097.294247685182</v>
      </c>
      <c r="D85" s="14">
        <v>46097.523414351854</v>
      </c>
      <c r="E85" s="14">
        <v>46097.456284722219</v>
      </c>
      <c r="F85" s="14">
        <v>46097.523414351854</v>
      </c>
      <c r="G85" t="s">
        <v>470</v>
      </c>
      <c r="H85">
        <v>1093</v>
      </c>
      <c r="I85">
        <v>96.666700000000006</v>
      </c>
      <c r="J85" t="s">
        <v>104</v>
      </c>
      <c r="K85">
        <v>12827738</v>
      </c>
      <c r="L85" t="s">
        <v>1277</v>
      </c>
      <c r="M85" t="s">
        <v>109</v>
      </c>
      <c r="N85" t="s">
        <v>88</v>
      </c>
      <c r="O85" t="s">
        <v>1350</v>
      </c>
      <c r="P85" t="s">
        <v>480</v>
      </c>
      <c r="Q85" t="s">
        <v>29</v>
      </c>
      <c r="R85" t="s">
        <v>1241</v>
      </c>
      <c r="S85">
        <v>24.77</v>
      </c>
      <c r="T85">
        <v>98</v>
      </c>
      <c r="U85" t="s">
        <v>471</v>
      </c>
      <c r="V85">
        <v>2</v>
      </c>
      <c r="X85" t="s">
        <v>1261</v>
      </c>
      <c r="AA85">
        <v>360</v>
      </c>
      <c r="AB85" t="s">
        <v>26</v>
      </c>
      <c r="AC85">
        <v>206</v>
      </c>
      <c r="AD85" t="s">
        <v>27</v>
      </c>
      <c r="AE85" t="s">
        <v>28</v>
      </c>
      <c r="AF85">
        <v>0</v>
      </c>
      <c r="AK85" s="12">
        <f t="shared" si="12"/>
        <v>46097</v>
      </c>
      <c r="AL85" s="1" t="str">
        <f t="shared" si="13"/>
        <v>Week12</v>
      </c>
      <c r="AM85" s="1" t="s">
        <v>110</v>
      </c>
      <c r="AN85" s="1" t="str">
        <f t="shared" si="14"/>
        <v>NoGo</v>
      </c>
      <c r="AO85" s="2">
        <f t="shared" si="15"/>
        <v>91.925716592652407</v>
      </c>
      <c r="AP85" s="1">
        <f t="shared" si="16"/>
        <v>2</v>
      </c>
      <c r="AQ85" s="1">
        <f t="shared" si="17"/>
        <v>2</v>
      </c>
      <c r="AR85" s="1" t="s">
        <v>96</v>
      </c>
      <c r="AS85" s="1" t="s">
        <v>96</v>
      </c>
      <c r="AT85" s="1" t="s">
        <v>96</v>
      </c>
      <c r="AU85" s="1" t="str">
        <f t="shared" si="18"/>
        <v>Major</v>
      </c>
      <c r="AV85" s="1" t="str">
        <f t="shared" si="19"/>
        <v>12827738Savitha Arun</v>
      </c>
      <c r="AW85" s="1" t="str">
        <f t="shared" si="20"/>
        <v>Major</v>
      </c>
      <c r="AX85" s="1">
        <f t="shared" si="21"/>
        <v>1</v>
      </c>
      <c r="AY85" s="1" t="s">
        <v>29</v>
      </c>
      <c r="AZ85" s="1" t="b">
        <v>1</v>
      </c>
      <c r="BA85" s="1">
        <f t="shared" si="22"/>
        <v>1</v>
      </c>
      <c r="BB85" s="1">
        <f t="shared" si="23"/>
        <v>2</v>
      </c>
      <c r="BC85" s="1" t="s">
        <v>459</v>
      </c>
      <c r="BD85" s="1" t="s">
        <v>1269</v>
      </c>
      <c r="BE85" s="1" t="s">
        <v>98</v>
      </c>
      <c r="BF85" s="1" t="b">
        <v>1</v>
      </c>
      <c r="BG85" s="1" t="str">
        <f>VLOOKUP(AM85,Group!$C:$H,5,0)</f>
        <v>AMC Group</v>
      </c>
      <c r="BH85" s="1" t="str">
        <f>VLOOKUP(P85,others!$C:$G,5,0)</f>
        <v>QA - India</v>
      </c>
    </row>
    <row r="86" spans="1:60" x14ac:dyDescent="0.25">
      <c r="A86" s="14">
        <v>46091.640405092592</v>
      </c>
      <c r="B86" s="14">
        <v>46091.869571759256</v>
      </c>
      <c r="C86" s="14">
        <v>46097.294247685182</v>
      </c>
      <c r="D86" s="14">
        <v>46097.523414351854</v>
      </c>
      <c r="E86" s="14">
        <v>46097.456284722219</v>
      </c>
      <c r="F86" s="14">
        <v>46097.523414351854</v>
      </c>
      <c r="G86" t="s">
        <v>470</v>
      </c>
      <c r="H86">
        <v>1093</v>
      </c>
      <c r="I86">
        <v>96.666700000000006</v>
      </c>
      <c r="J86" t="s">
        <v>104</v>
      </c>
      <c r="K86">
        <v>12827738</v>
      </c>
      <c r="L86" t="s">
        <v>1277</v>
      </c>
      <c r="M86" t="s">
        <v>109</v>
      </c>
      <c r="N86" t="s">
        <v>88</v>
      </c>
      <c r="O86" t="s">
        <v>1350</v>
      </c>
      <c r="P86" t="s">
        <v>480</v>
      </c>
      <c r="Q86" t="s">
        <v>29</v>
      </c>
      <c r="R86" t="s">
        <v>1241</v>
      </c>
      <c r="S86">
        <v>24.77</v>
      </c>
      <c r="T86">
        <v>98</v>
      </c>
      <c r="U86" t="s">
        <v>100</v>
      </c>
      <c r="V86">
        <v>4</v>
      </c>
      <c r="X86" t="s">
        <v>1261</v>
      </c>
      <c r="AA86">
        <v>360</v>
      </c>
      <c r="AB86" t="s">
        <v>26</v>
      </c>
      <c r="AC86">
        <v>206</v>
      </c>
      <c r="AD86" t="s">
        <v>27</v>
      </c>
      <c r="AE86" t="s">
        <v>28</v>
      </c>
      <c r="AF86">
        <v>0</v>
      </c>
      <c r="AK86" s="12">
        <f t="shared" si="12"/>
        <v>46097</v>
      </c>
      <c r="AL86" s="1" t="str">
        <f t="shared" si="13"/>
        <v>Week12</v>
      </c>
      <c r="AM86" s="1" t="s">
        <v>110</v>
      </c>
      <c r="AN86" s="1" t="str">
        <f t="shared" si="14"/>
        <v>NoGo</v>
      </c>
      <c r="AO86" s="2">
        <f t="shared" si="15"/>
        <v>91.925716592652407</v>
      </c>
      <c r="AP86" s="1">
        <f t="shared" si="16"/>
        <v>0</v>
      </c>
      <c r="AQ86" s="1">
        <f t="shared" si="17"/>
        <v>2</v>
      </c>
      <c r="AR86" s="1" t="s">
        <v>96</v>
      </c>
      <c r="AS86" s="1" t="s">
        <v>96</v>
      </c>
      <c r="AT86" s="1" t="s">
        <v>96</v>
      </c>
      <c r="AU86" s="1" t="str">
        <f t="shared" si="18"/>
        <v>Minor</v>
      </c>
      <c r="AV86" s="1" t="str">
        <f t="shared" si="19"/>
        <v>12827738Savitha Arun</v>
      </c>
      <c r="AW86" s="1" t="str">
        <f t="shared" si="20"/>
        <v>Minor</v>
      </c>
      <c r="AX86" s="1">
        <f t="shared" si="21"/>
        <v>0</v>
      </c>
      <c r="AY86" s="1" t="s">
        <v>29</v>
      </c>
      <c r="AZ86" s="1" t="b">
        <v>0</v>
      </c>
      <c r="BA86" s="1">
        <f t="shared" si="22"/>
        <v>1</v>
      </c>
      <c r="BB86" s="1">
        <f t="shared" si="23"/>
        <v>4</v>
      </c>
      <c r="BC86" s="1" t="s">
        <v>459</v>
      </c>
      <c r="BD86" s="1" t="s">
        <v>1269</v>
      </c>
      <c r="BE86" s="1" t="s">
        <v>98</v>
      </c>
      <c r="BF86" s="1" t="b">
        <v>0</v>
      </c>
      <c r="BG86" s="1" t="str">
        <f>VLOOKUP(AM86,Group!$C:$H,5,0)</f>
        <v>AMC Group</v>
      </c>
      <c r="BH86" s="1" t="str">
        <f>VLOOKUP(P86,others!$C:$G,5,0)</f>
        <v>QA - India</v>
      </c>
    </row>
    <row r="87" spans="1:60" x14ac:dyDescent="0.25">
      <c r="A87" s="14">
        <v>46091.480243055557</v>
      </c>
      <c r="B87" s="14">
        <v>46091.709409722222</v>
      </c>
      <c r="C87" s="14">
        <v>46097.295972222222</v>
      </c>
      <c r="D87" s="14">
        <v>46097.525138888886</v>
      </c>
      <c r="E87" s="14">
        <v>46097.456828703704</v>
      </c>
      <c r="F87" s="14">
        <v>46097.525138888886</v>
      </c>
      <c r="G87" t="s">
        <v>470</v>
      </c>
      <c r="H87">
        <v>113</v>
      </c>
      <c r="I87">
        <v>98.366699999999994</v>
      </c>
      <c r="J87" t="s">
        <v>104</v>
      </c>
      <c r="K87">
        <v>12827705</v>
      </c>
      <c r="L87" t="s">
        <v>1248</v>
      </c>
      <c r="M87" t="s">
        <v>101</v>
      </c>
      <c r="N87" t="s">
        <v>88</v>
      </c>
      <c r="O87" t="s">
        <v>131</v>
      </c>
      <c r="P87" t="s">
        <v>132</v>
      </c>
      <c r="Q87" t="s">
        <v>1328</v>
      </c>
      <c r="R87" t="s">
        <v>25</v>
      </c>
      <c r="S87">
        <v>20.71</v>
      </c>
      <c r="T87">
        <v>100</v>
      </c>
      <c r="U87" t="s">
        <v>100</v>
      </c>
      <c r="V87">
        <v>1</v>
      </c>
      <c r="X87" t="s">
        <v>469</v>
      </c>
      <c r="AA87">
        <v>1440</v>
      </c>
      <c r="AB87" t="s">
        <v>26</v>
      </c>
      <c r="AC87">
        <v>74</v>
      </c>
      <c r="AD87" t="s">
        <v>27</v>
      </c>
      <c r="AE87" t="s">
        <v>28</v>
      </c>
      <c r="AF87">
        <v>0</v>
      </c>
      <c r="AK87" s="12">
        <f t="shared" si="12"/>
        <v>46097</v>
      </c>
      <c r="AL87" s="1" t="str">
        <f t="shared" si="13"/>
        <v>Week12</v>
      </c>
      <c r="AM87" s="1" t="s">
        <v>102</v>
      </c>
      <c r="AN87" s="1" t="str">
        <f t="shared" si="14"/>
        <v>Go</v>
      </c>
      <c r="AO87" s="2">
        <f t="shared" si="15"/>
        <v>100</v>
      </c>
      <c r="AP87" s="1">
        <f t="shared" si="16"/>
        <v>0</v>
      </c>
      <c r="AQ87" s="1">
        <f t="shared" si="17"/>
        <v>0</v>
      </c>
      <c r="AR87" s="1" t="s">
        <v>95</v>
      </c>
      <c r="AS87" s="1" t="s">
        <v>96</v>
      </c>
      <c r="AT87" s="1" t="s">
        <v>96</v>
      </c>
      <c r="AU87" s="1" t="str">
        <f t="shared" si="18"/>
        <v>Minor</v>
      </c>
      <c r="AV87" s="1" t="str">
        <f t="shared" si="19"/>
        <v>12827705Pratheep Kumar</v>
      </c>
      <c r="AW87" s="1" t="str">
        <f t="shared" si="20"/>
        <v>Minor</v>
      </c>
      <c r="AX87" s="1">
        <f t="shared" si="21"/>
        <v>0</v>
      </c>
      <c r="AY87" s="1" t="s">
        <v>29</v>
      </c>
      <c r="AZ87" s="1" t="b">
        <v>0</v>
      </c>
      <c r="BA87" s="1">
        <f t="shared" si="22"/>
        <v>1</v>
      </c>
      <c r="BB87" s="1">
        <f t="shared" si="23"/>
        <v>1</v>
      </c>
      <c r="BC87" s="1" t="s">
        <v>132</v>
      </c>
      <c r="BD87" s="1" t="s">
        <v>43</v>
      </c>
      <c r="BE87" s="1" t="s">
        <v>98</v>
      </c>
      <c r="BF87" s="1" t="b">
        <v>0</v>
      </c>
      <c r="BG87" s="1" t="str">
        <f>VLOOKUP(AM87,Group!$C:$H,5,0)</f>
        <v>Top 25</v>
      </c>
      <c r="BH87" s="1" t="str">
        <f>VLOOKUP(P87,others!$C:$G,5,0)</f>
        <v>MT - India</v>
      </c>
    </row>
    <row r="88" spans="1:60" x14ac:dyDescent="0.25">
      <c r="A88" s="14">
        <v>46093.796307870369</v>
      </c>
      <c r="B88" s="14">
        <v>46094.02547453704</v>
      </c>
      <c r="C88" s="14">
        <v>46097.308506944442</v>
      </c>
      <c r="D88" s="14">
        <v>46097.537673611114</v>
      </c>
      <c r="E88" s="14">
        <v>46097.406597222223</v>
      </c>
      <c r="F88" s="14">
        <v>46097.537673611114</v>
      </c>
      <c r="G88" t="s">
        <v>470</v>
      </c>
      <c r="H88">
        <v>1045</v>
      </c>
      <c r="I88">
        <v>188.75</v>
      </c>
      <c r="J88" t="s">
        <v>104</v>
      </c>
      <c r="K88">
        <v>12828770</v>
      </c>
      <c r="L88" t="s">
        <v>1264</v>
      </c>
      <c r="M88" t="s">
        <v>139</v>
      </c>
      <c r="N88" t="s">
        <v>97</v>
      </c>
      <c r="O88" t="s">
        <v>1350</v>
      </c>
      <c r="P88" t="s">
        <v>480</v>
      </c>
      <c r="Q88" t="s">
        <v>29</v>
      </c>
      <c r="R88" t="s">
        <v>25</v>
      </c>
      <c r="S88">
        <v>95.94</v>
      </c>
      <c r="T88">
        <v>100</v>
      </c>
      <c r="U88" t="s">
        <v>100</v>
      </c>
      <c r="V88">
        <v>9</v>
      </c>
      <c r="X88" t="s">
        <v>1265</v>
      </c>
      <c r="AA88">
        <v>1440</v>
      </c>
      <c r="AB88" t="s">
        <v>26</v>
      </c>
      <c r="AC88">
        <v>595</v>
      </c>
      <c r="AD88" t="s">
        <v>27</v>
      </c>
      <c r="AE88" t="s">
        <v>28</v>
      </c>
      <c r="AF88">
        <v>0</v>
      </c>
      <c r="AK88" s="12">
        <f t="shared" si="12"/>
        <v>46097</v>
      </c>
      <c r="AL88" s="1" t="str">
        <f t="shared" si="13"/>
        <v>Week12</v>
      </c>
      <c r="AM88" s="1" t="s">
        <v>141</v>
      </c>
      <c r="AN88" s="1" t="str">
        <f t="shared" si="14"/>
        <v>Go</v>
      </c>
      <c r="AO88" s="2">
        <f t="shared" si="15"/>
        <v>100</v>
      </c>
      <c r="AP88" s="1">
        <f t="shared" si="16"/>
        <v>0</v>
      </c>
      <c r="AQ88" s="1">
        <f t="shared" si="17"/>
        <v>0</v>
      </c>
      <c r="AR88" s="1" t="s">
        <v>96</v>
      </c>
      <c r="AS88" s="1" t="s">
        <v>96</v>
      </c>
      <c r="AT88" s="1" t="s">
        <v>96</v>
      </c>
      <c r="AU88" s="1" t="str">
        <f t="shared" si="18"/>
        <v>Minor</v>
      </c>
      <c r="AV88" s="1" t="str">
        <f t="shared" si="19"/>
        <v>12828770Savitha Arun</v>
      </c>
      <c r="AW88" s="1" t="str">
        <f t="shared" si="20"/>
        <v>Minor</v>
      </c>
      <c r="AX88" s="1">
        <f t="shared" si="21"/>
        <v>0</v>
      </c>
      <c r="AY88" s="1" t="s">
        <v>29</v>
      </c>
      <c r="AZ88" s="1" t="b">
        <v>0</v>
      </c>
      <c r="BA88" s="1">
        <f t="shared" si="22"/>
        <v>1</v>
      </c>
      <c r="BB88" s="1">
        <f t="shared" si="23"/>
        <v>9</v>
      </c>
      <c r="BC88" s="1" t="s">
        <v>486</v>
      </c>
      <c r="BD88" s="1" t="s">
        <v>1269</v>
      </c>
      <c r="BE88" s="1" t="s">
        <v>98</v>
      </c>
      <c r="BF88" s="1" t="b">
        <v>0</v>
      </c>
      <c r="BG88" s="1" t="str">
        <f>VLOOKUP(AM88,Group!$C:$H,5,0)</f>
        <v>Others</v>
      </c>
      <c r="BH88" s="1" t="str">
        <f>VLOOKUP(P88,others!$C:$G,5,0)</f>
        <v>QA - India</v>
      </c>
    </row>
    <row r="89" spans="1:60" x14ac:dyDescent="0.25">
      <c r="A89" s="14">
        <v>46093.520972222221</v>
      </c>
      <c r="B89" s="14">
        <v>46093.750138888892</v>
      </c>
      <c r="C89" s="14">
        <v>46097.330613425926</v>
      </c>
      <c r="D89" s="14">
        <v>46097.55978009259</v>
      </c>
      <c r="E89" s="14">
        <v>46097.406817129631</v>
      </c>
      <c r="F89" s="14">
        <v>46097.55978009259</v>
      </c>
      <c r="G89" t="s">
        <v>470</v>
      </c>
      <c r="H89">
        <v>1582</v>
      </c>
      <c r="I89">
        <v>220.26669999999999</v>
      </c>
      <c r="J89" t="s">
        <v>104</v>
      </c>
      <c r="K89">
        <v>12828532</v>
      </c>
      <c r="L89" t="s">
        <v>1304</v>
      </c>
      <c r="M89" t="s">
        <v>116</v>
      </c>
      <c r="N89" t="s">
        <v>88</v>
      </c>
      <c r="O89" t="s">
        <v>1351</v>
      </c>
      <c r="P89" t="s">
        <v>1096</v>
      </c>
      <c r="Q89" t="s">
        <v>24</v>
      </c>
      <c r="R89" t="s">
        <v>1241</v>
      </c>
      <c r="S89">
        <v>144.94999999999999</v>
      </c>
      <c r="T89">
        <v>97</v>
      </c>
      <c r="U89" t="s">
        <v>471</v>
      </c>
      <c r="V89">
        <v>3</v>
      </c>
      <c r="X89" t="s">
        <v>1251</v>
      </c>
      <c r="AA89">
        <v>1440</v>
      </c>
      <c r="AB89" t="s">
        <v>26</v>
      </c>
      <c r="AC89">
        <v>857</v>
      </c>
      <c r="AD89" t="s">
        <v>27</v>
      </c>
      <c r="AE89" t="s">
        <v>28</v>
      </c>
      <c r="AF89">
        <v>0</v>
      </c>
      <c r="AK89" s="12">
        <f t="shared" si="12"/>
        <v>46097</v>
      </c>
      <c r="AL89" s="1" t="str">
        <f t="shared" si="13"/>
        <v>Week12</v>
      </c>
      <c r="AM89" s="1" t="s">
        <v>119</v>
      </c>
      <c r="AN89" s="1" t="str">
        <f t="shared" si="14"/>
        <v>NoGo</v>
      </c>
      <c r="AO89" s="2">
        <f t="shared" si="15"/>
        <v>97.93032080027595</v>
      </c>
      <c r="AP89" s="1">
        <f t="shared" si="16"/>
        <v>3</v>
      </c>
      <c r="AQ89" s="1">
        <f t="shared" si="17"/>
        <v>3</v>
      </c>
      <c r="AR89" s="1" t="s">
        <v>95</v>
      </c>
      <c r="AS89" s="1" t="s">
        <v>93</v>
      </c>
      <c r="AT89" s="1" t="s">
        <v>93</v>
      </c>
      <c r="AU89" s="1" t="str">
        <f t="shared" si="18"/>
        <v>Major</v>
      </c>
      <c r="AV89" s="1" t="str">
        <f t="shared" si="19"/>
        <v>12828532Tejas Patel</v>
      </c>
      <c r="AW89" s="1" t="str">
        <f t="shared" si="20"/>
        <v>Major</v>
      </c>
      <c r="AX89" s="1">
        <f t="shared" si="21"/>
        <v>1</v>
      </c>
      <c r="AY89" s="1" t="s">
        <v>24</v>
      </c>
      <c r="AZ89" s="1" t="b">
        <v>1</v>
      </c>
      <c r="BA89" s="1">
        <f t="shared" si="22"/>
        <v>1</v>
      </c>
      <c r="BB89" s="1">
        <f t="shared" si="23"/>
        <v>3</v>
      </c>
      <c r="BC89" s="1" t="s">
        <v>1096</v>
      </c>
      <c r="BD89" s="1" t="s">
        <v>43</v>
      </c>
      <c r="BE89" s="1" t="s">
        <v>98</v>
      </c>
      <c r="BF89" s="1" t="b">
        <v>1</v>
      </c>
      <c r="BG89" s="1" t="str">
        <f>VLOOKUP(AM89,Group!$C:$H,5,0)</f>
        <v>Top 25</v>
      </c>
      <c r="BH89" s="1" t="str">
        <f>VLOOKUP(P89,others!$C:$G,5,0)</f>
        <v>QA</v>
      </c>
    </row>
    <row r="90" spans="1:60" x14ac:dyDescent="0.25">
      <c r="A90" s="14">
        <v>46093.520972222221</v>
      </c>
      <c r="B90" s="14">
        <v>46093.750138888892</v>
      </c>
      <c r="C90" s="14">
        <v>46097.330613425926</v>
      </c>
      <c r="D90" s="14">
        <v>46097.55978009259</v>
      </c>
      <c r="E90" s="14">
        <v>46097.406817129631</v>
      </c>
      <c r="F90" s="14">
        <v>46097.55978009259</v>
      </c>
      <c r="G90" t="s">
        <v>470</v>
      </c>
      <c r="H90">
        <v>1582</v>
      </c>
      <c r="I90">
        <v>220.26669999999999</v>
      </c>
      <c r="J90" t="s">
        <v>104</v>
      </c>
      <c r="K90">
        <v>12828532</v>
      </c>
      <c r="L90" t="s">
        <v>1304</v>
      </c>
      <c r="M90" t="s">
        <v>116</v>
      </c>
      <c r="N90" t="s">
        <v>88</v>
      </c>
      <c r="O90" t="s">
        <v>1351</v>
      </c>
      <c r="P90" t="s">
        <v>1096</v>
      </c>
      <c r="Q90" t="s">
        <v>24</v>
      </c>
      <c r="R90" t="s">
        <v>1241</v>
      </c>
      <c r="S90">
        <v>144.94999999999999</v>
      </c>
      <c r="T90">
        <v>97</v>
      </c>
      <c r="U90" t="s">
        <v>100</v>
      </c>
      <c r="V90">
        <v>2</v>
      </c>
      <c r="X90" t="s">
        <v>1251</v>
      </c>
      <c r="AA90">
        <v>1440</v>
      </c>
      <c r="AB90" t="s">
        <v>26</v>
      </c>
      <c r="AC90">
        <v>857</v>
      </c>
      <c r="AD90" t="s">
        <v>27</v>
      </c>
      <c r="AE90" t="s">
        <v>28</v>
      </c>
      <c r="AF90">
        <v>0</v>
      </c>
      <c r="AK90" s="12">
        <f t="shared" si="12"/>
        <v>46097</v>
      </c>
      <c r="AL90" s="1" t="str">
        <f t="shared" si="13"/>
        <v>Week12</v>
      </c>
      <c r="AM90" s="1" t="s">
        <v>119</v>
      </c>
      <c r="AN90" s="1" t="str">
        <f t="shared" si="14"/>
        <v>NoGo</v>
      </c>
      <c r="AO90" s="2">
        <f t="shared" si="15"/>
        <v>97.93032080027595</v>
      </c>
      <c r="AP90" s="1">
        <f t="shared" si="16"/>
        <v>0</v>
      </c>
      <c r="AQ90" s="1">
        <f t="shared" si="17"/>
        <v>3</v>
      </c>
      <c r="AR90" s="1" t="s">
        <v>95</v>
      </c>
      <c r="AS90" s="1" t="s">
        <v>93</v>
      </c>
      <c r="AT90" s="1" t="s">
        <v>93</v>
      </c>
      <c r="AU90" s="1" t="str">
        <f t="shared" si="18"/>
        <v>Minor</v>
      </c>
      <c r="AV90" s="1" t="str">
        <f t="shared" si="19"/>
        <v>12828532Tejas Patel</v>
      </c>
      <c r="AW90" s="1" t="str">
        <f t="shared" si="20"/>
        <v>Minor</v>
      </c>
      <c r="AX90" s="1">
        <f t="shared" si="21"/>
        <v>0</v>
      </c>
      <c r="AY90" s="1" t="s">
        <v>24</v>
      </c>
      <c r="AZ90" s="1" t="b">
        <v>0</v>
      </c>
      <c r="BA90" s="1">
        <f t="shared" si="22"/>
        <v>1</v>
      </c>
      <c r="BB90" s="1">
        <f t="shared" si="23"/>
        <v>2</v>
      </c>
      <c r="BC90" s="1" t="s">
        <v>1096</v>
      </c>
      <c r="BD90" s="1" t="s">
        <v>43</v>
      </c>
      <c r="BE90" s="1" t="s">
        <v>98</v>
      </c>
      <c r="BF90" s="1" t="b">
        <v>0</v>
      </c>
      <c r="BG90" s="1" t="str">
        <f>VLOOKUP(AM90,Group!$C:$H,5,0)</f>
        <v>Top 25</v>
      </c>
      <c r="BH90" s="1" t="str">
        <f>VLOOKUP(P90,others!$C:$G,5,0)</f>
        <v>QA</v>
      </c>
    </row>
    <row r="91" spans="1:60" x14ac:dyDescent="0.25">
      <c r="A91" s="14">
        <v>46091.699143518519</v>
      </c>
      <c r="B91" s="14">
        <v>46091.928310185183</v>
      </c>
      <c r="C91" s="14">
        <v>46097.748993055553</v>
      </c>
      <c r="D91" s="14">
        <v>46097.978159722225</v>
      </c>
      <c r="E91" s="14">
        <v>46097.456967592596</v>
      </c>
      <c r="F91" s="14">
        <v>46097.978159722225</v>
      </c>
      <c r="G91" t="s">
        <v>470</v>
      </c>
      <c r="H91">
        <v>454</v>
      </c>
      <c r="I91">
        <v>750.51670000000001</v>
      </c>
      <c r="J91" t="s">
        <v>104</v>
      </c>
      <c r="K91">
        <v>12827876</v>
      </c>
      <c r="L91" t="s">
        <v>1272</v>
      </c>
      <c r="M91" t="s">
        <v>101</v>
      </c>
      <c r="N91" t="s">
        <v>88</v>
      </c>
      <c r="O91" t="s">
        <v>131</v>
      </c>
      <c r="P91" t="s">
        <v>132</v>
      </c>
      <c r="Q91" t="s">
        <v>1328</v>
      </c>
      <c r="R91" t="s">
        <v>25</v>
      </c>
      <c r="S91">
        <v>38.200000000000003</v>
      </c>
      <c r="T91">
        <v>100</v>
      </c>
      <c r="U91" t="s">
        <v>100</v>
      </c>
      <c r="V91">
        <v>1</v>
      </c>
      <c r="X91" t="s">
        <v>469</v>
      </c>
      <c r="AA91">
        <v>1440</v>
      </c>
      <c r="AB91" t="s">
        <v>26</v>
      </c>
      <c r="AC91">
        <v>142</v>
      </c>
      <c r="AD91" t="s">
        <v>27</v>
      </c>
      <c r="AE91" t="s">
        <v>28</v>
      </c>
      <c r="AF91">
        <v>0</v>
      </c>
      <c r="AK91" s="12">
        <f t="shared" si="12"/>
        <v>46097</v>
      </c>
      <c r="AL91" s="1" t="str">
        <f t="shared" si="13"/>
        <v>Week12</v>
      </c>
      <c r="AM91" s="1" t="s">
        <v>102</v>
      </c>
      <c r="AN91" s="1" t="str">
        <f t="shared" si="14"/>
        <v>Go</v>
      </c>
      <c r="AO91" s="2">
        <f t="shared" si="15"/>
        <v>100</v>
      </c>
      <c r="AP91" s="1">
        <f t="shared" si="16"/>
        <v>0</v>
      </c>
      <c r="AQ91" s="1">
        <f t="shared" si="17"/>
        <v>0</v>
      </c>
      <c r="AR91" s="1" t="s">
        <v>95</v>
      </c>
      <c r="AS91" s="1" t="s">
        <v>96</v>
      </c>
      <c r="AT91" s="1" t="s">
        <v>96</v>
      </c>
      <c r="AU91" s="1" t="str">
        <f t="shared" si="18"/>
        <v>Minor</v>
      </c>
      <c r="AV91" s="1" t="str">
        <f t="shared" si="19"/>
        <v>12827876Pratheep Kumar</v>
      </c>
      <c r="AW91" s="1" t="str">
        <f t="shared" si="20"/>
        <v>Minor</v>
      </c>
      <c r="AX91" s="1">
        <f t="shared" si="21"/>
        <v>0</v>
      </c>
      <c r="AY91" s="1" t="s">
        <v>29</v>
      </c>
      <c r="AZ91" s="1" t="b">
        <v>0</v>
      </c>
      <c r="BA91" s="1">
        <f t="shared" si="22"/>
        <v>1</v>
      </c>
      <c r="BB91" s="1">
        <f t="shared" si="23"/>
        <v>1</v>
      </c>
      <c r="BC91" s="1" t="s">
        <v>132</v>
      </c>
      <c r="BD91" s="1" t="s">
        <v>43</v>
      </c>
      <c r="BE91" s="1" t="s">
        <v>98</v>
      </c>
      <c r="BF91" s="1" t="b">
        <v>0</v>
      </c>
      <c r="BG91" s="1" t="str">
        <f>VLOOKUP(AM91,Group!$C:$H,5,0)</f>
        <v>Top 25</v>
      </c>
      <c r="BH91" s="1" t="str">
        <f>VLOOKUP(P91,others!$C:$G,5,0)</f>
        <v>MT - India</v>
      </c>
    </row>
    <row r="92" spans="1:60" x14ac:dyDescent="0.25">
      <c r="A92" s="14">
        <v>46091.431828703702</v>
      </c>
      <c r="B92" s="14">
        <v>46091.660995370374</v>
      </c>
      <c r="C92" s="14">
        <v>46097.755243055559</v>
      </c>
      <c r="D92" s="14">
        <v>46097.984409722223</v>
      </c>
      <c r="E92" s="14">
        <v>46097.406134259261</v>
      </c>
      <c r="F92" s="14">
        <v>46097.984409722223</v>
      </c>
      <c r="G92" t="s">
        <v>470</v>
      </c>
      <c r="H92">
        <v>531</v>
      </c>
      <c r="I92">
        <v>832.71669999999995</v>
      </c>
      <c r="J92" t="s">
        <v>104</v>
      </c>
      <c r="K92">
        <v>12827655</v>
      </c>
      <c r="L92" t="s">
        <v>1352</v>
      </c>
      <c r="M92" t="s">
        <v>116</v>
      </c>
      <c r="N92" t="s">
        <v>88</v>
      </c>
      <c r="O92" t="s">
        <v>1351</v>
      </c>
      <c r="P92" t="s">
        <v>1096</v>
      </c>
      <c r="Q92" t="s">
        <v>24</v>
      </c>
      <c r="R92" t="s">
        <v>25</v>
      </c>
      <c r="S92">
        <v>77.8</v>
      </c>
      <c r="T92">
        <v>99</v>
      </c>
      <c r="U92" t="s">
        <v>471</v>
      </c>
      <c r="V92">
        <v>1</v>
      </c>
      <c r="X92" t="s">
        <v>1251</v>
      </c>
      <c r="AA92">
        <v>1440</v>
      </c>
      <c r="AB92" t="s">
        <v>26</v>
      </c>
      <c r="AC92">
        <v>399</v>
      </c>
      <c r="AD92" t="s">
        <v>27</v>
      </c>
      <c r="AE92" t="s">
        <v>28</v>
      </c>
      <c r="AF92">
        <v>0</v>
      </c>
      <c r="AK92" s="12">
        <f t="shared" si="12"/>
        <v>46097</v>
      </c>
      <c r="AL92" s="1" t="str">
        <f t="shared" si="13"/>
        <v>Week12</v>
      </c>
      <c r="AM92" s="1" t="s">
        <v>119</v>
      </c>
      <c r="AN92" s="1" t="str">
        <f t="shared" si="14"/>
        <v>Go</v>
      </c>
      <c r="AO92" s="2">
        <f t="shared" si="15"/>
        <v>98.714652956298195</v>
      </c>
      <c r="AP92" s="1">
        <f t="shared" si="16"/>
        <v>1</v>
      </c>
      <c r="AQ92" s="1">
        <f t="shared" si="17"/>
        <v>1</v>
      </c>
      <c r="AR92" s="1" t="s">
        <v>95</v>
      </c>
      <c r="AS92" s="1" t="s">
        <v>93</v>
      </c>
      <c r="AT92" s="1" t="s">
        <v>93</v>
      </c>
      <c r="AU92" s="1" t="str">
        <f t="shared" si="18"/>
        <v>Major</v>
      </c>
      <c r="AV92" s="1" t="str">
        <f t="shared" si="19"/>
        <v>12827655Tejas Patel</v>
      </c>
      <c r="AW92" s="1" t="str">
        <f t="shared" si="20"/>
        <v>Major</v>
      </c>
      <c r="AX92" s="1">
        <f t="shared" si="21"/>
        <v>1</v>
      </c>
      <c r="AY92" s="1" t="s">
        <v>24</v>
      </c>
      <c r="AZ92" s="1" t="b">
        <v>0</v>
      </c>
      <c r="BA92" s="1">
        <f t="shared" si="22"/>
        <v>1</v>
      </c>
      <c r="BB92" s="1">
        <f t="shared" si="23"/>
        <v>1</v>
      </c>
      <c r="BC92" s="1" t="s">
        <v>1096</v>
      </c>
      <c r="BD92" s="1" t="s">
        <v>43</v>
      </c>
      <c r="BE92" s="1" t="s">
        <v>98</v>
      </c>
      <c r="BF92" s="1" t="b">
        <v>0</v>
      </c>
      <c r="BG92" s="1" t="str">
        <f>VLOOKUP(AM92,Group!$C:$H,5,0)</f>
        <v>Top 25</v>
      </c>
      <c r="BH92" s="1" t="str">
        <f>VLOOKUP(P92,others!$C:$G,5,0)</f>
        <v>QA</v>
      </c>
    </row>
    <row r="93" spans="1:60" x14ac:dyDescent="0.25">
      <c r="A93" s="14">
        <v>46090.808449074073</v>
      </c>
      <c r="B93" s="14">
        <v>46091.037615740737</v>
      </c>
      <c r="C93" s="14">
        <v>46097.759131944447</v>
      </c>
      <c r="D93" s="14">
        <v>46097.988298611112</v>
      </c>
      <c r="E93" s="14">
        <v>46097.456620370373</v>
      </c>
      <c r="F93" s="14">
        <v>46097.988298611112</v>
      </c>
      <c r="G93" t="s">
        <v>470</v>
      </c>
      <c r="H93">
        <v>329</v>
      </c>
      <c r="I93">
        <v>765.61670000000004</v>
      </c>
      <c r="J93" t="s">
        <v>104</v>
      </c>
      <c r="K93">
        <v>12827454</v>
      </c>
      <c r="L93" t="s">
        <v>1238</v>
      </c>
      <c r="M93" t="s">
        <v>1238</v>
      </c>
      <c r="N93" t="s">
        <v>88</v>
      </c>
      <c r="O93" t="s">
        <v>1350</v>
      </c>
      <c r="P93" t="s">
        <v>480</v>
      </c>
      <c r="Q93" t="s">
        <v>29</v>
      </c>
      <c r="R93" t="s">
        <v>25</v>
      </c>
      <c r="S93">
        <v>55.94</v>
      </c>
      <c r="T93">
        <v>99</v>
      </c>
      <c r="U93" t="s">
        <v>1244</v>
      </c>
      <c r="V93">
        <v>1</v>
      </c>
      <c r="X93" t="s">
        <v>1242</v>
      </c>
      <c r="AA93">
        <v>1440</v>
      </c>
      <c r="AB93" t="s">
        <v>26</v>
      </c>
      <c r="AC93">
        <v>126</v>
      </c>
      <c r="AD93" t="s">
        <v>27</v>
      </c>
      <c r="AE93" t="s">
        <v>28</v>
      </c>
      <c r="AF93">
        <v>0</v>
      </c>
      <c r="AK93" s="12">
        <f t="shared" si="12"/>
        <v>46097</v>
      </c>
      <c r="AL93" s="1" t="str">
        <f t="shared" si="13"/>
        <v>Week12</v>
      </c>
      <c r="AM93" s="1" t="s">
        <v>1239</v>
      </c>
      <c r="AN93" s="1" t="str">
        <f t="shared" si="14"/>
        <v>NoGo</v>
      </c>
      <c r="AO93" s="2">
        <f t="shared" si="15"/>
        <v>98.212370396853771</v>
      </c>
      <c r="AP93" s="1">
        <f t="shared" si="16"/>
        <v>1</v>
      </c>
      <c r="AQ93" s="1">
        <f t="shared" si="17"/>
        <v>1</v>
      </c>
      <c r="AR93" s="1" t="s">
        <v>96</v>
      </c>
      <c r="AS93" s="1" t="s">
        <v>96</v>
      </c>
      <c r="AT93" s="1" t="s">
        <v>96</v>
      </c>
      <c r="AU93" s="1" t="str">
        <f t="shared" si="18"/>
        <v>Major</v>
      </c>
      <c r="AV93" s="1" t="str">
        <f t="shared" si="19"/>
        <v>12827454Savitha Arun</v>
      </c>
      <c r="AW93" s="1" t="str">
        <f t="shared" si="20"/>
        <v>Major</v>
      </c>
      <c r="AX93" s="1">
        <f t="shared" si="21"/>
        <v>1</v>
      </c>
      <c r="AY93" s="1" t="s">
        <v>29</v>
      </c>
      <c r="AZ93" s="1" t="b">
        <v>1</v>
      </c>
      <c r="BA93" s="1">
        <f t="shared" si="22"/>
        <v>1</v>
      </c>
      <c r="BB93" s="1">
        <f t="shared" si="23"/>
        <v>1</v>
      </c>
      <c r="BC93" s="1" t="s">
        <v>478</v>
      </c>
      <c r="BD93" s="1" t="s">
        <v>1269</v>
      </c>
      <c r="BE93" s="1" t="s">
        <v>98</v>
      </c>
      <c r="BF93" s="1" t="b">
        <v>1</v>
      </c>
      <c r="BG93" s="1" t="str">
        <f>VLOOKUP(AM93,Group!$C:$H,5,0)</f>
        <v>Others</v>
      </c>
      <c r="BH93" s="1" t="str">
        <f>VLOOKUP(P93,others!$C:$G,5,0)</f>
        <v>QA - India</v>
      </c>
    </row>
    <row r="94" spans="1:60" x14ac:dyDescent="0.25">
      <c r="A94" s="14">
        <v>46090.808449074073</v>
      </c>
      <c r="B94" s="14">
        <v>46091.037615740737</v>
      </c>
      <c r="C94" s="14">
        <v>46097.759131944447</v>
      </c>
      <c r="D94" s="14">
        <v>46097.988298611112</v>
      </c>
      <c r="E94" s="14">
        <v>46097.456620370373</v>
      </c>
      <c r="F94" s="14">
        <v>46097.988298611112</v>
      </c>
      <c r="G94" t="s">
        <v>470</v>
      </c>
      <c r="H94">
        <v>329</v>
      </c>
      <c r="I94">
        <v>765.61670000000004</v>
      </c>
      <c r="J94" t="s">
        <v>104</v>
      </c>
      <c r="K94">
        <v>12827454</v>
      </c>
      <c r="L94" t="s">
        <v>1238</v>
      </c>
      <c r="M94" t="s">
        <v>1238</v>
      </c>
      <c r="N94" t="s">
        <v>88</v>
      </c>
      <c r="O94" t="s">
        <v>1350</v>
      </c>
      <c r="P94" t="s">
        <v>480</v>
      </c>
      <c r="Q94" t="s">
        <v>29</v>
      </c>
      <c r="R94" t="s">
        <v>25</v>
      </c>
      <c r="S94">
        <v>55.94</v>
      </c>
      <c r="T94">
        <v>99</v>
      </c>
      <c r="U94" t="s">
        <v>100</v>
      </c>
      <c r="V94">
        <v>1</v>
      </c>
      <c r="X94" t="s">
        <v>1242</v>
      </c>
      <c r="AA94">
        <v>1440</v>
      </c>
      <c r="AB94" t="s">
        <v>26</v>
      </c>
      <c r="AC94">
        <v>126</v>
      </c>
      <c r="AD94" t="s">
        <v>27</v>
      </c>
      <c r="AE94" t="s">
        <v>28</v>
      </c>
      <c r="AF94">
        <v>0</v>
      </c>
      <c r="AK94" s="12">
        <f t="shared" si="12"/>
        <v>46097</v>
      </c>
      <c r="AL94" s="1" t="str">
        <f t="shared" si="13"/>
        <v>Week12</v>
      </c>
      <c r="AM94" s="1" t="s">
        <v>1239</v>
      </c>
      <c r="AN94" s="1" t="str">
        <f t="shared" si="14"/>
        <v>NoGo</v>
      </c>
      <c r="AO94" s="2">
        <f t="shared" si="15"/>
        <v>98.212370396853771</v>
      </c>
      <c r="AP94" s="1">
        <f t="shared" si="16"/>
        <v>0</v>
      </c>
      <c r="AQ94" s="1">
        <f t="shared" si="17"/>
        <v>1</v>
      </c>
      <c r="AR94" s="1" t="s">
        <v>96</v>
      </c>
      <c r="AS94" s="1" t="s">
        <v>96</v>
      </c>
      <c r="AT94" s="1" t="s">
        <v>96</v>
      </c>
      <c r="AU94" s="1" t="str">
        <f t="shared" si="18"/>
        <v>Minor</v>
      </c>
      <c r="AV94" s="1" t="str">
        <f t="shared" si="19"/>
        <v>12827454Savitha Arun</v>
      </c>
      <c r="AW94" s="1" t="str">
        <f t="shared" si="20"/>
        <v>Minor</v>
      </c>
      <c r="AX94" s="1">
        <f t="shared" si="21"/>
        <v>0</v>
      </c>
      <c r="AY94" s="1" t="s">
        <v>29</v>
      </c>
      <c r="AZ94" s="1" t="b">
        <v>0</v>
      </c>
      <c r="BA94" s="1">
        <f t="shared" si="22"/>
        <v>1</v>
      </c>
      <c r="BB94" s="1">
        <f t="shared" si="23"/>
        <v>1</v>
      </c>
      <c r="BC94" s="1" t="s">
        <v>478</v>
      </c>
      <c r="BD94" s="1" t="s">
        <v>1269</v>
      </c>
      <c r="BE94" s="1" t="s">
        <v>98</v>
      </c>
      <c r="BF94" s="1" t="b">
        <v>0</v>
      </c>
      <c r="BG94" s="1" t="str">
        <f>VLOOKUP(AM94,Group!$C:$H,5,0)</f>
        <v>Others</v>
      </c>
      <c r="BH94" s="1" t="str">
        <f>VLOOKUP(P94,others!$C:$G,5,0)</f>
        <v>QA - India</v>
      </c>
    </row>
    <row r="95" spans="1:60" x14ac:dyDescent="0.25">
      <c r="A95" s="14">
        <v>46091.673842592594</v>
      </c>
      <c r="B95" s="14">
        <v>46091.903009259258</v>
      </c>
      <c r="C95" s="14">
        <v>46097.766122685185</v>
      </c>
      <c r="D95" s="14">
        <v>46097.995289351849</v>
      </c>
      <c r="E95" s="14">
        <v>46097.406400462962</v>
      </c>
      <c r="F95" s="14">
        <v>46097.995289351849</v>
      </c>
      <c r="G95" t="s">
        <v>470</v>
      </c>
      <c r="H95">
        <v>627</v>
      </c>
      <c r="I95">
        <v>848</v>
      </c>
      <c r="J95" t="s">
        <v>104</v>
      </c>
      <c r="K95">
        <v>12827753</v>
      </c>
      <c r="L95" t="s">
        <v>1352</v>
      </c>
      <c r="M95" t="s">
        <v>116</v>
      </c>
      <c r="N95" t="s">
        <v>88</v>
      </c>
      <c r="O95" t="s">
        <v>1351</v>
      </c>
      <c r="P95" t="s">
        <v>1096</v>
      </c>
      <c r="Q95" t="s">
        <v>24</v>
      </c>
      <c r="R95" t="s">
        <v>25</v>
      </c>
      <c r="S95">
        <v>76.45</v>
      </c>
      <c r="T95">
        <v>99</v>
      </c>
      <c r="U95" t="s">
        <v>471</v>
      </c>
      <c r="V95">
        <v>1</v>
      </c>
      <c r="X95" t="s">
        <v>1251</v>
      </c>
      <c r="AA95">
        <v>1440</v>
      </c>
      <c r="AB95" t="s">
        <v>26</v>
      </c>
      <c r="AC95">
        <v>416</v>
      </c>
      <c r="AD95" t="s">
        <v>27</v>
      </c>
      <c r="AE95" t="s">
        <v>28</v>
      </c>
      <c r="AF95">
        <v>0</v>
      </c>
      <c r="AK95" s="12">
        <f t="shared" si="12"/>
        <v>46097</v>
      </c>
      <c r="AL95" s="1" t="str">
        <f t="shared" si="13"/>
        <v>Week12</v>
      </c>
      <c r="AM95" s="1" t="s">
        <v>119</v>
      </c>
      <c r="AN95" s="1" t="str">
        <f t="shared" si="14"/>
        <v>Go</v>
      </c>
      <c r="AO95" s="2">
        <f t="shared" si="15"/>
        <v>98.691955526487902</v>
      </c>
      <c r="AP95" s="1">
        <f t="shared" si="16"/>
        <v>1</v>
      </c>
      <c r="AQ95" s="1">
        <f t="shared" si="17"/>
        <v>1</v>
      </c>
      <c r="AR95" s="1" t="s">
        <v>95</v>
      </c>
      <c r="AS95" s="1" t="s">
        <v>93</v>
      </c>
      <c r="AT95" s="1" t="s">
        <v>93</v>
      </c>
      <c r="AU95" s="1" t="str">
        <f t="shared" si="18"/>
        <v>Major</v>
      </c>
      <c r="AV95" s="1" t="str">
        <f t="shared" si="19"/>
        <v>12827753Tejas Patel</v>
      </c>
      <c r="AW95" s="1" t="str">
        <f t="shared" si="20"/>
        <v>Major</v>
      </c>
      <c r="AX95" s="1">
        <f t="shared" si="21"/>
        <v>1</v>
      </c>
      <c r="AY95" s="1" t="s">
        <v>24</v>
      </c>
      <c r="AZ95" s="1" t="b">
        <v>1</v>
      </c>
      <c r="BA95" s="1">
        <f t="shared" si="22"/>
        <v>1</v>
      </c>
      <c r="BB95" s="1">
        <f t="shared" si="23"/>
        <v>1</v>
      </c>
      <c r="BC95" s="1" t="s">
        <v>1096</v>
      </c>
      <c r="BD95" s="1" t="s">
        <v>43</v>
      </c>
      <c r="BE95" s="1" t="s">
        <v>98</v>
      </c>
      <c r="BF95" s="1" t="b">
        <v>1</v>
      </c>
      <c r="BG95" s="1" t="str">
        <f>VLOOKUP(AM95,Group!$C:$H,5,0)</f>
        <v>Top 25</v>
      </c>
      <c r="BH95" s="1" t="str">
        <f>VLOOKUP(P95,others!$C:$G,5,0)</f>
        <v>QA</v>
      </c>
    </row>
    <row r="96" spans="1:60" x14ac:dyDescent="0.25">
      <c r="A96" s="14">
        <v>46091.673842592594</v>
      </c>
      <c r="B96" s="14">
        <v>46091.903009259258</v>
      </c>
      <c r="C96" s="14">
        <v>46097.766122685185</v>
      </c>
      <c r="D96" s="14">
        <v>46097.995289351849</v>
      </c>
      <c r="E96" s="14">
        <v>46097.406400462962</v>
      </c>
      <c r="F96" s="14">
        <v>46097.995289351849</v>
      </c>
      <c r="G96" t="s">
        <v>470</v>
      </c>
      <c r="H96">
        <v>627</v>
      </c>
      <c r="I96">
        <v>848</v>
      </c>
      <c r="J96" t="s">
        <v>104</v>
      </c>
      <c r="K96">
        <v>12827753</v>
      </c>
      <c r="L96" t="s">
        <v>1352</v>
      </c>
      <c r="M96" t="s">
        <v>116</v>
      </c>
      <c r="N96" t="s">
        <v>88</v>
      </c>
      <c r="O96" t="s">
        <v>1351</v>
      </c>
      <c r="P96" t="s">
        <v>1096</v>
      </c>
      <c r="Q96" t="s">
        <v>24</v>
      </c>
      <c r="R96" t="s">
        <v>25</v>
      </c>
      <c r="S96">
        <v>76.45</v>
      </c>
      <c r="T96">
        <v>99</v>
      </c>
      <c r="U96" t="s">
        <v>100</v>
      </c>
      <c r="V96">
        <v>2</v>
      </c>
      <c r="X96" t="s">
        <v>1251</v>
      </c>
      <c r="AA96">
        <v>1440</v>
      </c>
      <c r="AB96" t="s">
        <v>26</v>
      </c>
      <c r="AC96">
        <v>416</v>
      </c>
      <c r="AD96" t="s">
        <v>27</v>
      </c>
      <c r="AE96" t="s">
        <v>28</v>
      </c>
      <c r="AF96">
        <v>0</v>
      </c>
      <c r="AK96" s="12">
        <f t="shared" si="12"/>
        <v>46097</v>
      </c>
      <c r="AL96" s="1" t="str">
        <f t="shared" si="13"/>
        <v>Week12</v>
      </c>
      <c r="AM96" s="1" t="s">
        <v>119</v>
      </c>
      <c r="AN96" s="1" t="str">
        <f t="shared" si="14"/>
        <v>Go</v>
      </c>
      <c r="AO96" s="2">
        <f t="shared" si="15"/>
        <v>98.691955526487902</v>
      </c>
      <c r="AP96" s="1">
        <f t="shared" si="16"/>
        <v>0</v>
      </c>
      <c r="AQ96" s="1">
        <f t="shared" si="17"/>
        <v>1</v>
      </c>
      <c r="AR96" s="1" t="s">
        <v>95</v>
      </c>
      <c r="AS96" s="1" t="s">
        <v>93</v>
      </c>
      <c r="AT96" s="1" t="s">
        <v>93</v>
      </c>
      <c r="AU96" s="1" t="str">
        <f t="shared" si="18"/>
        <v>Minor</v>
      </c>
      <c r="AV96" s="1" t="str">
        <f t="shared" si="19"/>
        <v>12827753Tejas Patel</v>
      </c>
      <c r="AW96" s="1" t="str">
        <f t="shared" si="20"/>
        <v>Minor</v>
      </c>
      <c r="AX96" s="1">
        <f t="shared" si="21"/>
        <v>0</v>
      </c>
      <c r="AY96" s="1" t="s">
        <v>24</v>
      </c>
      <c r="AZ96" s="1" t="b">
        <v>0</v>
      </c>
      <c r="BA96" s="1">
        <f t="shared" si="22"/>
        <v>1</v>
      </c>
      <c r="BB96" s="1">
        <f t="shared" si="23"/>
        <v>2</v>
      </c>
      <c r="BC96" s="1" t="s">
        <v>1096</v>
      </c>
      <c r="BD96" s="1" t="s">
        <v>43</v>
      </c>
      <c r="BE96" s="1" t="s">
        <v>98</v>
      </c>
      <c r="BF96" s="1" t="b">
        <v>0</v>
      </c>
      <c r="BG96" s="1" t="str">
        <f>VLOOKUP(AM96,Group!$C:$H,5,0)</f>
        <v>Top 25</v>
      </c>
      <c r="BH96" s="1" t="str">
        <f>VLOOKUP(P96,others!$C:$G,5,0)</f>
        <v>QA</v>
      </c>
    </row>
    <row r="97" spans="1:60" x14ac:dyDescent="0.25">
      <c r="A97" s="14">
        <v>46091.535833333335</v>
      </c>
      <c r="B97" s="14">
        <v>46091.764999999999</v>
      </c>
      <c r="C97" s="14">
        <v>46097.770995370367</v>
      </c>
      <c r="D97" s="14">
        <v>46098.000162037039</v>
      </c>
      <c r="E97" s="14">
        <v>46097.40729166667</v>
      </c>
      <c r="F97" s="14">
        <v>46098.000162037039</v>
      </c>
      <c r="G97" t="s">
        <v>470</v>
      </c>
      <c r="H97">
        <v>405</v>
      </c>
      <c r="I97">
        <v>853.73329999999999</v>
      </c>
      <c r="J97" t="s">
        <v>104</v>
      </c>
      <c r="K97">
        <v>12827742</v>
      </c>
      <c r="L97" t="s">
        <v>1353</v>
      </c>
      <c r="M97" t="s">
        <v>163</v>
      </c>
      <c r="N97" t="s">
        <v>88</v>
      </c>
      <c r="O97" t="s">
        <v>455</v>
      </c>
      <c r="P97" t="s">
        <v>99</v>
      </c>
      <c r="Q97" t="s">
        <v>29</v>
      </c>
      <c r="R97" t="s">
        <v>25</v>
      </c>
      <c r="S97">
        <v>77.17</v>
      </c>
      <c r="T97">
        <v>100</v>
      </c>
      <c r="U97" t="s">
        <v>100</v>
      </c>
      <c r="V97">
        <v>4</v>
      </c>
      <c r="X97" t="s">
        <v>1274</v>
      </c>
      <c r="AA97">
        <v>1440</v>
      </c>
      <c r="AB97" t="s">
        <v>26</v>
      </c>
      <c r="AC97">
        <v>278</v>
      </c>
      <c r="AD97" t="s">
        <v>27</v>
      </c>
      <c r="AE97" t="s">
        <v>28</v>
      </c>
      <c r="AF97">
        <v>0</v>
      </c>
      <c r="AK97" s="12">
        <f t="shared" si="12"/>
        <v>46098</v>
      </c>
      <c r="AL97" s="1" t="str">
        <f t="shared" si="13"/>
        <v>Week12</v>
      </c>
      <c r="AM97" s="1" t="s">
        <v>169</v>
      </c>
      <c r="AN97" s="1" t="str">
        <f t="shared" si="14"/>
        <v>Go</v>
      </c>
      <c r="AO97" s="2">
        <f t="shared" si="15"/>
        <v>100</v>
      </c>
      <c r="AP97" s="1">
        <f t="shared" si="16"/>
        <v>0</v>
      </c>
      <c r="AQ97" s="1">
        <f t="shared" si="17"/>
        <v>0</v>
      </c>
      <c r="AR97" s="1" t="s">
        <v>96</v>
      </c>
      <c r="AS97" s="1" t="s">
        <v>96</v>
      </c>
      <c r="AT97" s="1" t="s">
        <v>96</v>
      </c>
      <c r="AU97" s="1" t="str">
        <f t="shared" si="18"/>
        <v>Minor</v>
      </c>
      <c r="AV97" s="1" t="str">
        <f t="shared" si="19"/>
        <v>12827742Gopal Rajith</v>
      </c>
      <c r="AW97" s="1" t="str">
        <f t="shared" si="20"/>
        <v>Minor</v>
      </c>
      <c r="AX97" s="1">
        <f t="shared" si="21"/>
        <v>0</v>
      </c>
      <c r="AY97" s="1" t="s">
        <v>29</v>
      </c>
      <c r="AZ97" s="1" t="b">
        <v>0</v>
      </c>
      <c r="BA97" s="1">
        <f t="shared" si="22"/>
        <v>1</v>
      </c>
      <c r="BB97" s="1">
        <f t="shared" si="23"/>
        <v>4</v>
      </c>
      <c r="BC97" s="1" t="s">
        <v>99</v>
      </c>
      <c r="BD97" s="1" t="s">
        <v>43</v>
      </c>
      <c r="BE97" s="1" t="s">
        <v>1262</v>
      </c>
      <c r="BF97" s="1" t="b">
        <v>0</v>
      </c>
      <c r="BG97" s="1" t="str">
        <f>VLOOKUP(AM97,Group!$C:$H,5,0)</f>
        <v>Fundamental</v>
      </c>
      <c r="BH97" s="1" t="str">
        <f>VLOOKUP(P97,others!$C:$G,5,0)</f>
        <v>MTx-India</v>
      </c>
    </row>
    <row r="98" spans="1:60" x14ac:dyDescent="0.25">
      <c r="A98" s="14">
        <v>46092.355000000003</v>
      </c>
      <c r="B98" s="14">
        <v>46092.584166666667</v>
      </c>
      <c r="C98" s="14">
        <v>46098.25408564815</v>
      </c>
      <c r="D98" s="14">
        <v>46098.483252314814</v>
      </c>
      <c r="E98" s="14">
        <v>46097.45648148148</v>
      </c>
      <c r="F98" s="14">
        <v>46098.483252314814</v>
      </c>
      <c r="G98" t="s">
        <v>470</v>
      </c>
      <c r="H98">
        <v>732</v>
      </c>
      <c r="I98">
        <v>1478.55</v>
      </c>
      <c r="J98" t="s">
        <v>104</v>
      </c>
      <c r="K98">
        <v>12828056</v>
      </c>
      <c r="L98" t="s">
        <v>1273</v>
      </c>
      <c r="M98" t="s">
        <v>163</v>
      </c>
      <c r="N98" t="s">
        <v>88</v>
      </c>
      <c r="O98" t="s">
        <v>455</v>
      </c>
      <c r="P98" t="s">
        <v>99</v>
      </c>
      <c r="Q98" t="s">
        <v>29</v>
      </c>
      <c r="R98" t="s">
        <v>25</v>
      </c>
      <c r="S98">
        <v>70.180000000000007</v>
      </c>
      <c r="T98">
        <v>100</v>
      </c>
      <c r="V98">
        <v>0</v>
      </c>
      <c r="X98" t="s">
        <v>1274</v>
      </c>
      <c r="AA98">
        <v>1440</v>
      </c>
      <c r="AB98" t="s">
        <v>26</v>
      </c>
      <c r="AC98">
        <v>203</v>
      </c>
      <c r="AD98" t="s">
        <v>27</v>
      </c>
      <c r="AE98" t="s">
        <v>28</v>
      </c>
      <c r="AF98">
        <v>0</v>
      </c>
      <c r="AK98" s="12">
        <f t="shared" si="12"/>
        <v>46098</v>
      </c>
      <c r="AL98" s="1" t="str">
        <f t="shared" si="13"/>
        <v>Week12</v>
      </c>
      <c r="AM98" s="1" t="s">
        <v>169</v>
      </c>
      <c r="AN98" s="1" t="str">
        <f t="shared" si="14"/>
        <v>Go</v>
      </c>
      <c r="AO98" s="2">
        <f t="shared" si="15"/>
        <v>100</v>
      </c>
      <c r="AP98" s="1">
        <f t="shared" si="16"/>
        <v>0</v>
      </c>
      <c r="AQ98" s="1">
        <f t="shared" si="17"/>
        <v>0</v>
      </c>
      <c r="AR98" s="1" t="s">
        <v>96</v>
      </c>
      <c r="AS98" s="1" t="s">
        <v>96</v>
      </c>
      <c r="AT98" s="1" t="s">
        <v>96</v>
      </c>
      <c r="AU98" s="1" t="str">
        <f t="shared" si="18"/>
        <v/>
      </c>
      <c r="AV98" s="1" t="str">
        <f t="shared" si="19"/>
        <v>12828056Gopal Rajith</v>
      </c>
      <c r="AW98" s="1" t="str">
        <f t="shared" si="20"/>
        <v/>
      </c>
      <c r="AX98" s="1" t="str">
        <f t="shared" si="21"/>
        <v/>
      </c>
      <c r="AY98" s="1" t="s">
        <v>29</v>
      </c>
      <c r="AZ98" s="1" t="b">
        <v>0</v>
      </c>
      <c r="BA98" s="1" t="str">
        <f t="shared" si="22"/>
        <v/>
      </c>
      <c r="BB98" s="1">
        <f t="shared" si="23"/>
        <v>0</v>
      </c>
      <c r="BC98" s="1" t="s">
        <v>99</v>
      </c>
      <c r="BD98" s="1" t="s">
        <v>43</v>
      </c>
      <c r="BE98" s="1" t="s">
        <v>98</v>
      </c>
      <c r="BF98" s="1" t="b">
        <v>0</v>
      </c>
      <c r="BG98" s="1" t="str">
        <f>VLOOKUP(AM98,Group!$C:$H,5,0)</f>
        <v>Fundamental</v>
      </c>
      <c r="BH98" s="1" t="str">
        <f>VLOOKUP(P98,others!$C:$G,5,0)</f>
        <v>MTx-India</v>
      </c>
    </row>
    <row r="99" spans="1:60" x14ac:dyDescent="0.25">
      <c r="A99" s="14">
        <v>46091.584050925929</v>
      </c>
      <c r="B99" s="14">
        <v>46091.813217592593</v>
      </c>
      <c r="C99" s="14">
        <v>46098.26934027778</v>
      </c>
      <c r="D99" s="14">
        <v>46098.498506944445</v>
      </c>
      <c r="E99" s="14">
        <v>46097.406284722223</v>
      </c>
      <c r="F99" s="14">
        <v>46098.498506944445</v>
      </c>
      <c r="G99" t="s">
        <v>470</v>
      </c>
      <c r="H99">
        <v>1014</v>
      </c>
      <c r="I99">
        <v>1572.8</v>
      </c>
      <c r="J99" t="s">
        <v>104</v>
      </c>
      <c r="K99">
        <v>12827728</v>
      </c>
      <c r="L99" t="s">
        <v>1247</v>
      </c>
      <c r="M99" t="s">
        <v>116</v>
      </c>
      <c r="N99" t="s">
        <v>88</v>
      </c>
      <c r="O99" t="s">
        <v>131</v>
      </c>
      <c r="P99" t="s">
        <v>132</v>
      </c>
      <c r="Q99" t="s">
        <v>1328</v>
      </c>
      <c r="R99" t="s">
        <v>25</v>
      </c>
      <c r="S99">
        <v>83.65</v>
      </c>
      <c r="T99">
        <v>99</v>
      </c>
      <c r="U99" t="s">
        <v>472</v>
      </c>
      <c r="V99">
        <v>1</v>
      </c>
      <c r="X99" t="s">
        <v>1245</v>
      </c>
      <c r="AA99">
        <v>1440</v>
      </c>
      <c r="AB99" t="s">
        <v>26</v>
      </c>
      <c r="AC99">
        <v>399</v>
      </c>
      <c r="AD99" t="s">
        <v>27</v>
      </c>
      <c r="AE99" t="s">
        <v>28</v>
      </c>
      <c r="AF99">
        <v>0</v>
      </c>
      <c r="AK99" s="12">
        <f t="shared" si="12"/>
        <v>46098</v>
      </c>
      <c r="AL99" s="1" t="str">
        <f t="shared" si="13"/>
        <v>Week12</v>
      </c>
      <c r="AM99" s="1" t="s">
        <v>119</v>
      </c>
      <c r="AN99" s="1" t="str">
        <f t="shared" si="14"/>
        <v>Go</v>
      </c>
      <c r="AO99" s="2">
        <f t="shared" si="15"/>
        <v>98.804542737597131</v>
      </c>
      <c r="AP99" s="1">
        <f t="shared" si="16"/>
        <v>1</v>
      </c>
      <c r="AQ99" s="1">
        <f t="shared" si="17"/>
        <v>1</v>
      </c>
      <c r="AR99" s="1" t="s">
        <v>95</v>
      </c>
      <c r="AS99" s="1" t="s">
        <v>96</v>
      </c>
      <c r="AT99" s="1" t="s">
        <v>96</v>
      </c>
      <c r="AU99" s="1" t="str">
        <f t="shared" si="18"/>
        <v>Major</v>
      </c>
      <c r="AV99" s="1" t="str">
        <f t="shared" si="19"/>
        <v>12827728Pratheep Kumar</v>
      </c>
      <c r="AW99" s="1" t="str">
        <f t="shared" si="20"/>
        <v>Major</v>
      </c>
      <c r="AX99" s="1">
        <f t="shared" si="21"/>
        <v>1</v>
      </c>
      <c r="AY99" s="1" t="s">
        <v>29</v>
      </c>
      <c r="AZ99" s="1" t="b">
        <v>1</v>
      </c>
      <c r="BA99" s="1">
        <f t="shared" si="22"/>
        <v>1</v>
      </c>
      <c r="BB99" s="1">
        <f t="shared" si="23"/>
        <v>1</v>
      </c>
      <c r="BC99" s="1" t="s">
        <v>132</v>
      </c>
      <c r="BD99" s="1" t="s">
        <v>43</v>
      </c>
      <c r="BE99" s="1" t="s">
        <v>98</v>
      </c>
      <c r="BF99" s="1" t="b">
        <v>1</v>
      </c>
      <c r="BG99" s="1" t="str">
        <f>VLOOKUP(AM99,Group!$C:$H,5,0)</f>
        <v>Top 25</v>
      </c>
      <c r="BH99" s="1" t="str">
        <f>VLOOKUP(P99,others!$C:$G,5,0)</f>
        <v>MT - India</v>
      </c>
    </row>
    <row r="100" spans="1:60" x14ac:dyDescent="0.25">
      <c r="A100" s="14">
        <v>46091.584050925929</v>
      </c>
      <c r="B100" s="14">
        <v>46091.813217592593</v>
      </c>
      <c r="C100" s="14">
        <v>46098.26934027778</v>
      </c>
      <c r="D100" s="14">
        <v>46098.498506944445</v>
      </c>
      <c r="E100" s="14">
        <v>46097.406284722223</v>
      </c>
      <c r="F100" s="14">
        <v>46098.498506944445</v>
      </c>
      <c r="G100" t="s">
        <v>470</v>
      </c>
      <c r="H100">
        <v>1014</v>
      </c>
      <c r="I100">
        <v>1572.8</v>
      </c>
      <c r="J100" t="s">
        <v>104</v>
      </c>
      <c r="K100">
        <v>12827728</v>
      </c>
      <c r="L100" t="s">
        <v>1247</v>
      </c>
      <c r="M100" t="s">
        <v>116</v>
      </c>
      <c r="N100" t="s">
        <v>88</v>
      </c>
      <c r="O100" t="s">
        <v>131</v>
      </c>
      <c r="P100" t="s">
        <v>132</v>
      </c>
      <c r="Q100" t="s">
        <v>1328</v>
      </c>
      <c r="R100" t="s">
        <v>25</v>
      </c>
      <c r="S100">
        <v>83.65</v>
      </c>
      <c r="T100">
        <v>99</v>
      </c>
      <c r="U100" t="s">
        <v>100</v>
      </c>
      <c r="V100">
        <v>4</v>
      </c>
      <c r="X100" t="s">
        <v>1245</v>
      </c>
      <c r="AA100">
        <v>1440</v>
      </c>
      <c r="AB100" t="s">
        <v>26</v>
      </c>
      <c r="AC100">
        <v>399</v>
      </c>
      <c r="AD100" t="s">
        <v>27</v>
      </c>
      <c r="AE100" t="s">
        <v>28</v>
      </c>
      <c r="AF100">
        <v>0</v>
      </c>
      <c r="AK100" s="12">
        <f t="shared" si="12"/>
        <v>46098</v>
      </c>
      <c r="AL100" s="1" t="str">
        <f t="shared" si="13"/>
        <v>Week12</v>
      </c>
      <c r="AM100" s="1" t="s">
        <v>119</v>
      </c>
      <c r="AN100" s="1" t="str">
        <f t="shared" si="14"/>
        <v>Go</v>
      </c>
      <c r="AO100" s="2">
        <f t="shared" si="15"/>
        <v>98.804542737597131</v>
      </c>
      <c r="AP100" s="1">
        <f t="shared" si="16"/>
        <v>0</v>
      </c>
      <c r="AQ100" s="1">
        <f t="shared" si="17"/>
        <v>1</v>
      </c>
      <c r="AR100" s="1" t="s">
        <v>95</v>
      </c>
      <c r="AS100" s="1" t="s">
        <v>96</v>
      </c>
      <c r="AT100" s="1" t="s">
        <v>96</v>
      </c>
      <c r="AU100" s="1" t="str">
        <f t="shared" si="18"/>
        <v>Minor</v>
      </c>
      <c r="AV100" s="1" t="str">
        <f t="shared" si="19"/>
        <v>12827728Pratheep Kumar</v>
      </c>
      <c r="AW100" s="1" t="str">
        <f t="shared" si="20"/>
        <v>Minor</v>
      </c>
      <c r="AX100" s="1">
        <f t="shared" si="21"/>
        <v>0</v>
      </c>
      <c r="AY100" s="1" t="s">
        <v>29</v>
      </c>
      <c r="AZ100" s="1" t="b">
        <v>0</v>
      </c>
      <c r="BA100" s="1">
        <f t="shared" si="22"/>
        <v>1</v>
      </c>
      <c r="BB100" s="1">
        <f t="shared" si="23"/>
        <v>4</v>
      </c>
      <c r="BC100" s="1" t="s">
        <v>132</v>
      </c>
      <c r="BD100" s="1" t="s">
        <v>43</v>
      </c>
      <c r="BE100" s="1" t="s">
        <v>98</v>
      </c>
      <c r="BF100" s="1" t="b">
        <v>0</v>
      </c>
      <c r="BG100" s="1" t="str">
        <f>VLOOKUP(AM100,Group!$C:$H,5,0)</f>
        <v>Top 25</v>
      </c>
      <c r="BH100" s="1" t="str">
        <f>VLOOKUP(P100,others!$C:$G,5,0)</f>
        <v>MT - India</v>
      </c>
    </row>
    <row r="101" spans="1:60" x14ac:dyDescent="0.25">
      <c r="A101" s="14">
        <v>46093.519189814811</v>
      </c>
      <c r="B101" s="14">
        <v>46093.748356481483</v>
      </c>
      <c r="C101" s="14">
        <v>46098.283854166664</v>
      </c>
      <c r="D101" s="14">
        <v>46098.513020833336</v>
      </c>
      <c r="E101" s="14">
        <v>46097.406712962962</v>
      </c>
      <c r="F101" s="14">
        <v>46098.513020833336</v>
      </c>
      <c r="G101" t="s">
        <v>470</v>
      </c>
      <c r="H101">
        <v>2015</v>
      </c>
      <c r="I101">
        <v>1593.0833</v>
      </c>
      <c r="J101" t="s">
        <v>104</v>
      </c>
      <c r="K101">
        <v>12828531</v>
      </c>
      <c r="L101" t="s">
        <v>1354</v>
      </c>
      <c r="M101" t="s">
        <v>116</v>
      </c>
      <c r="N101" t="s">
        <v>88</v>
      </c>
      <c r="O101" t="s">
        <v>131</v>
      </c>
      <c r="P101" t="s">
        <v>132</v>
      </c>
      <c r="Q101" t="s">
        <v>1328</v>
      </c>
      <c r="R101" t="s">
        <v>1241</v>
      </c>
      <c r="S101">
        <v>124.25</v>
      </c>
      <c r="T101">
        <v>95</v>
      </c>
      <c r="U101" t="s">
        <v>471</v>
      </c>
      <c r="V101">
        <v>5</v>
      </c>
      <c r="X101" t="s">
        <v>1251</v>
      </c>
      <c r="AA101">
        <v>1440</v>
      </c>
      <c r="AB101" t="s">
        <v>26</v>
      </c>
      <c r="AC101">
        <v>620</v>
      </c>
      <c r="AD101" t="s">
        <v>27</v>
      </c>
      <c r="AE101" t="s">
        <v>28</v>
      </c>
      <c r="AF101">
        <v>1</v>
      </c>
      <c r="AK101" s="12">
        <f t="shared" si="12"/>
        <v>46098</v>
      </c>
      <c r="AL101" s="1" t="str">
        <f t="shared" si="13"/>
        <v>Week12</v>
      </c>
      <c r="AM101" s="1" t="s">
        <v>119</v>
      </c>
      <c r="AN101" s="1" t="str">
        <f t="shared" si="14"/>
        <v>NoGo</v>
      </c>
      <c r="AO101" s="2">
        <f t="shared" si="15"/>
        <v>95.975855130784709</v>
      </c>
      <c r="AP101" s="1">
        <f t="shared" si="16"/>
        <v>5</v>
      </c>
      <c r="AQ101" s="1">
        <f t="shared" si="17"/>
        <v>5</v>
      </c>
      <c r="AR101" s="1" t="s">
        <v>95</v>
      </c>
      <c r="AS101" s="1" t="s">
        <v>96</v>
      </c>
      <c r="AT101" s="1" t="s">
        <v>96</v>
      </c>
      <c r="AU101" s="1" t="str">
        <f t="shared" si="18"/>
        <v>Major</v>
      </c>
      <c r="AV101" s="1" t="str">
        <f t="shared" si="19"/>
        <v>12828531Pratheep Kumar</v>
      </c>
      <c r="AW101" s="1" t="str">
        <f t="shared" si="20"/>
        <v>Major</v>
      </c>
      <c r="AX101" s="1">
        <f t="shared" si="21"/>
        <v>1</v>
      </c>
      <c r="AY101" s="1" t="s">
        <v>29</v>
      </c>
      <c r="AZ101" s="1" t="b">
        <v>1</v>
      </c>
      <c r="BA101" s="1">
        <f t="shared" si="22"/>
        <v>1</v>
      </c>
      <c r="BB101" s="1">
        <f t="shared" si="23"/>
        <v>5</v>
      </c>
      <c r="BC101" s="1" t="s">
        <v>132</v>
      </c>
      <c r="BD101" s="1" t="s">
        <v>43</v>
      </c>
      <c r="BE101" s="1" t="s">
        <v>98</v>
      </c>
      <c r="BF101" s="1" t="b">
        <v>1</v>
      </c>
      <c r="BG101" s="1" t="str">
        <f>VLOOKUP(AM101,Group!$C:$H,5,0)</f>
        <v>Top 25</v>
      </c>
      <c r="BH101" s="1" t="str">
        <f>VLOOKUP(P101,others!$C:$G,5,0)</f>
        <v>MT - India</v>
      </c>
    </row>
    <row r="102" spans="1:60" x14ac:dyDescent="0.25">
      <c r="A102" s="14">
        <v>46093.519189814811</v>
      </c>
      <c r="B102" s="14">
        <v>46093.748356481483</v>
      </c>
      <c r="C102" s="14">
        <v>46098.283854166664</v>
      </c>
      <c r="D102" s="14">
        <v>46098.513020833336</v>
      </c>
      <c r="E102" s="14">
        <v>46097.406712962962</v>
      </c>
      <c r="F102" s="14">
        <v>46098.513020833336</v>
      </c>
      <c r="G102" t="s">
        <v>470</v>
      </c>
      <c r="H102">
        <v>2015</v>
      </c>
      <c r="I102">
        <v>1593.0833</v>
      </c>
      <c r="J102" t="s">
        <v>104</v>
      </c>
      <c r="K102">
        <v>12828531</v>
      </c>
      <c r="L102" t="s">
        <v>1354</v>
      </c>
      <c r="M102" t="s">
        <v>116</v>
      </c>
      <c r="N102" t="s">
        <v>88</v>
      </c>
      <c r="O102" t="s">
        <v>131</v>
      </c>
      <c r="P102" t="s">
        <v>132</v>
      </c>
      <c r="Q102" t="s">
        <v>1328</v>
      </c>
      <c r="R102" t="s">
        <v>1241</v>
      </c>
      <c r="S102">
        <v>124.25</v>
      </c>
      <c r="T102">
        <v>95</v>
      </c>
      <c r="U102" t="s">
        <v>100</v>
      </c>
      <c r="V102">
        <v>3</v>
      </c>
      <c r="X102" t="s">
        <v>1251</v>
      </c>
      <c r="AA102">
        <v>1440</v>
      </c>
      <c r="AB102" t="s">
        <v>26</v>
      </c>
      <c r="AC102">
        <v>620</v>
      </c>
      <c r="AD102" t="s">
        <v>27</v>
      </c>
      <c r="AE102" t="s">
        <v>28</v>
      </c>
      <c r="AF102">
        <v>1</v>
      </c>
      <c r="AK102" s="12">
        <f t="shared" si="12"/>
        <v>46098</v>
      </c>
      <c r="AL102" s="1" t="str">
        <f t="shared" si="13"/>
        <v>Week12</v>
      </c>
      <c r="AM102" s="1" t="s">
        <v>119</v>
      </c>
      <c r="AN102" s="1" t="str">
        <f t="shared" si="14"/>
        <v>NoGo</v>
      </c>
      <c r="AO102" s="2">
        <f t="shared" si="15"/>
        <v>95.975855130784709</v>
      </c>
      <c r="AP102" s="1">
        <f t="shared" si="16"/>
        <v>0</v>
      </c>
      <c r="AQ102" s="1">
        <f t="shared" si="17"/>
        <v>5</v>
      </c>
      <c r="AR102" s="1" t="s">
        <v>95</v>
      </c>
      <c r="AS102" s="1" t="s">
        <v>96</v>
      </c>
      <c r="AT102" s="1" t="s">
        <v>96</v>
      </c>
      <c r="AU102" s="1" t="str">
        <f t="shared" si="18"/>
        <v>Minor</v>
      </c>
      <c r="AV102" s="1" t="str">
        <f t="shared" si="19"/>
        <v>12828531Pratheep Kumar</v>
      </c>
      <c r="AW102" s="1" t="str">
        <f t="shared" si="20"/>
        <v>Minor</v>
      </c>
      <c r="AX102" s="1">
        <f t="shared" si="21"/>
        <v>0</v>
      </c>
      <c r="AY102" s="1" t="s">
        <v>29</v>
      </c>
      <c r="AZ102" s="1" t="b">
        <v>0</v>
      </c>
      <c r="BA102" s="1">
        <f t="shared" si="22"/>
        <v>1</v>
      </c>
      <c r="BB102" s="1">
        <f t="shared" si="23"/>
        <v>3</v>
      </c>
      <c r="BC102" s="1" t="s">
        <v>132</v>
      </c>
      <c r="BD102" s="1" t="s">
        <v>43</v>
      </c>
      <c r="BE102" s="1" t="s">
        <v>98</v>
      </c>
      <c r="BF102" s="1" t="b">
        <v>0</v>
      </c>
      <c r="BG102" s="1" t="str">
        <f>VLOOKUP(AM102,Group!$C:$H,5,0)</f>
        <v>Top 25</v>
      </c>
      <c r="BH102" s="1" t="str">
        <f>VLOOKUP(P102,others!$C:$G,5,0)</f>
        <v>MT - India</v>
      </c>
    </row>
    <row r="103" spans="1:60" x14ac:dyDescent="0.25">
      <c r="A103" s="14">
        <v>46093.484872685185</v>
      </c>
      <c r="B103" s="14">
        <v>46093.714039351849</v>
      </c>
      <c r="C103" s="14">
        <v>46098.293923611112</v>
      </c>
      <c r="D103" s="14">
        <v>46098.523090277777</v>
      </c>
      <c r="E103" s="14">
        <v>46097.407187500001</v>
      </c>
      <c r="F103" s="14">
        <v>46098.523090277777</v>
      </c>
      <c r="G103" t="s">
        <v>470</v>
      </c>
      <c r="H103">
        <v>798</v>
      </c>
      <c r="I103">
        <v>1606.9</v>
      </c>
      <c r="J103" t="s">
        <v>104</v>
      </c>
      <c r="K103">
        <v>12828503</v>
      </c>
      <c r="L103" t="s">
        <v>1247</v>
      </c>
      <c r="M103" t="s">
        <v>116</v>
      </c>
      <c r="N103" t="s">
        <v>88</v>
      </c>
      <c r="O103" t="s">
        <v>131</v>
      </c>
      <c r="P103" t="s">
        <v>132</v>
      </c>
      <c r="Q103" t="s">
        <v>1328</v>
      </c>
      <c r="R103" t="s">
        <v>25</v>
      </c>
      <c r="S103">
        <v>53.08</v>
      </c>
      <c r="T103">
        <v>100</v>
      </c>
      <c r="V103">
        <v>0</v>
      </c>
      <c r="X103" t="s">
        <v>1252</v>
      </c>
      <c r="AA103">
        <v>1440</v>
      </c>
      <c r="AB103" t="s">
        <v>26</v>
      </c>
      <c r="AC103">
        <v>327</v>
      </c>
      <c r="AD103" t="s">
        <v>27</v>
      </c>
      <c r="AE103" t="s">
        <v>28</v>
      </c>
      <c r="AF103">
        <v>0</v>
      </c>
      <c r="AK103" s="12">
        <f t="shared" si="12"/>
        <v>46098</v>
      </c>
      <c r="AL103" s="1" t="str">
        <f t="shared" si="13"/>
        <v>Week12</v>
      </c>
      <c r="AM103" s="1" t="s">
        <v>119</v>
      </c>
      <c r="AN103" s="1" t="str">
        <f t="shared" si="14"/>
        <v>Go</v>
      </c>
      <c r="AO103" s="2">
        <f t="shared" si="15"/>
        <v>100</v>
      </c>
      <c r="AP103" s="1">
        <f t="shared" si="16"/>
        <v>0</v>
      </c>
      <c r="AQ103" s="1">
        <f t="shared" si="17"/>
        <v>0</v>
      </c>
      <c r="AR103" s="1" t="s">
        <v>95</v>
      </c>
      <c r="AS103" s="1" t="s">
        <v>96</v>
      </c>
      <c r="AT103" s="1" t="s">
        <v>96</v>
      </c>
      <c r="AU103" s="1" t="str">
        <f t="shared" si="18"/>
        <v/>
      </c>
      <c r="AV103" s="1" t="str">
        <f t="shared" si="19"/>
        <v>12828503Pratheep Kumar</v>
      </c>
      <c r="AW103" s="1" t="str">
        <f t="shared" si="20"/>
        <v/>
      </c>
      <c r="AX103" s="1" t="str">
        <f t="shared" si="21"/>
        <v/>
      </c>
      <c r="AY103" s="1" t="s">
        <v>29</v>
      </c>
      <c r="AZ103" s="1" t="b">
        <v>0</v>
      </c>
      <c r="BA103" s="1" t="str">
        <f t="shared" si="22"/>
        <v/>
      </c>
      <c r="BB103" s="1">
        <f t="shared" si="23"/>
        <v>0</v>
      </c>
      <c r="BC103" s="1" t="s">
        <v>132</v>
      </c>
      <c r="BD103" s="1" t="s">
        <v>43</v>
      </c>
      <c r="BE103" s="1" t="s">
        <v>98</v>
      </c>
      <c r="BF103" s="1" t="b">
        <v>0</v>
      </c>
      <c r="BG103" s="1" t="str">
        <f>VLOOKUP(AM103,Group!$C:$H,5,0)</f>
        <v>Top 25</v>
      </c>
      <c r="BH103" s="1" t="str">
        <f>VLOOKUP(P103,others!$C:$G,5,0)</f>
        <v>MT - India</v>
      </c>
    </row>
    <row r="104" spans="1:60" x14ac:dyDescent="0.25">
      <c r="A104" s="14">
        <v>46092.739085648151</v>
      </c>
      <c r="B104" s="14">
        <v>46092.968252314815</v>
      </c>
      <c r="C104" s="14">
        <v>46098.301874999997</v>
      </c>
      <c r="D104" s="14">
        <v>46098.531041666669</v>
      </c>
      <c r="E104" s="14">
        <v>46098.403900462959</v>
      </c>
      <c r="F104" s="14">
        <v>46098.531041666669</v>
      </c>
      <c r="G104" t="s">
        <v>470</v>
      </c>
      <c r="H104">
        <v>554</v>
      </c>
      <c r="I104">
        <v>183.08330000000001</v>
      </c>
      <c r="J104" t="s">
        <v>104</v>
      </c>
      <c r="K104">
        <v>12828364</v>
      </c>
      <c r="L104" t="s">
        <v>1355</v>
      </c>
      <c r="M104" t="s">
        <v>101</v>
      </c>
      <c r="N104" t="s">
        <v>88</v>
      </c>
      <c r="O104" t="s">
        <v>1351</v>
      </c>
      <c r="P104" t="s">
        <v>1096</v>
      </c>
      <c r="Q104" t="s">
        <v>24</v>
      </c>
      <c r="R104" t="s">
        <v>25</v>
      </c>
      <c r="S104">
        <v>59.46</v>
      </c>
      <c r="T104">
        <v>99</v>
      </c>
      <c r="U104" t="s">
        <v>472</v>
      </c>
      <c r="V104">
        <v>1</v>
      </c>
      <c r="X104" t="s">
        <v>469</v>
      </c>
      <c r="AA104">
        <v>1440</v>
      </c>
      <c r="AB104" t="s">
        <v>26</v>
      </c>
      <c r="AC104">
        <v>291</v>
      </c>
      <c r="AD104" t="s">
        <v>27</v>
      </c>
      <c r="AE104" t="s">
        <v>28</v>
      </c>
      <c r="AF104">
        <v>0</v>
      </c>
      <c r="AK104" s="12">
        <f t="shared" si="12"/>
        <v>46098</v>
      </c>
      <c r="AL104" s="1" t="str">
        <f t="shared" si="13"/>
        <v>Week12</v>
      </c>
      <c r="AM104" s="1" t="s">
        <v>102</v>
      </c>
      <c r="AN104" s="1" t="str">
        <f t="shared" si="14"/>
        <v>NoGo</v>
      </c>
      <c r="AO104" s="2">
        <f t="shared" si="15"/>
        <v>98.318197107299028</v>
      </c>
      <c r="AP104" s="1">
        <f t="shared" si="16"/>
        <v>1</v>
      </c>
      <c r="AQ104" s="1">
        <f t="shared" si="17"/>
        <v>1</v>
      </c>
      <c r="AR104" s="1" t="s">
        <v>95</v>
      </c>
      <c r="AS104" s="1" t="s">
        <v>93</v>
      </c>
      <c r="AT104" s="1" t="s">
        <v>93</v>
      </c>
      <c r="AU104" s="1" t="str">
        <f t="shared" si="18"/>
        <v>Major</v>
      </c>
      <c r="AV104" s="1" t="str">
        <f t="shared" si="19"/>
        <v>12828364Tejas Patel</v>
      </c>
      <c r="AW104" s="1" t="str">
        <f t="shared" si="20"/>
        <v>Major</v>
      </c>
      <c r="AX104" s="1">
        <f t="shared" si="21"/>
        <v>1</v>
      </c>
      <c r="AY104" s="1" t="s">
        <v>24</v>
      </c>
      <c r="AZ104" s="1" t="b">
        <v>1</v>
      </c>
      <c r="BA104" s="1">
        <f t="shared" si="22"/>
        <v>1</v>
      </c>
      <c r="BB104" s="1">
        <f t="shared" si="23"/>
        <v>1</v>
      </c>
      <c r="BC104" s="1" t="s">
        <v>1096</v>
      </c>
      <c r="BD104" s="1" t="s">
        <v>43</v>
      </c>
      <c r="BE104" s="1" t="s">
        <v>98</v>
      </c>
      <c r="BF104" s="1" t="b">
        <v>1</v>
      </c>
      <c r="BG104" s="1" t="str">
        <f>VLOOKUP(AM104,Group!$C:$H,5,0)</f>
        <v>Top 25</v>
      </c>
      <c r="BH104" s="1" t="str">
        <f>VLOOKUP(P104,others!$C:$G,5,0)</f>
        <v>QA</v>
      </c>
    </row>
    <row r="105" spans="1:60" x14ac:dyDescent="0.25">
      <c r="A105" s="14">
        <v>46092.739085648151</v>
      </c>
      <c r="B105" s="14">
        <v>46092.968252314815</v>
      </c>
      <c r="C105" s="14">
        <v>46098.301874999997</v>
      </c>
      <c r="D105" s="14">
        <v>46098.531041666669</v>
      </c>
      <c r="E105" s="14">
        <v>46098.403900462959</v>
      </c>
      <c r="F105" s="14">
        <v>46098.531041666669</v>
      </c>
      <c r="G105" t="s">
        <v>470</v>
      </c>
      <c r="H105">
        <v>554</v>
      </c>
      <c r="I105">
        <v>183.08330000000001</v>
      </c>
      <c r="J105" t="s">
        <v>104</v>
      </c>
      <c r="K105">
        <v>12828364</v>
      </c>
      <c r="L105" t="s">
        <v>1355</v>
      </c>
      <c r="M105" t="s">
        <v>101</v>
      </c>
      <c r="N105" t="s">
        <v>88</v>
      </c>
      <c r="O105" t="s">
        <v>1351</v>
      </c>
      <c r="P105" t="s">
        <v>1096</v>
      </c>
      <c r="Q105" t="s">
        <v>24</v>
      </c>
      <c r="R105" t="s">
        <v>25</v>
      </c>
      <c r="S105">
        <v>59.46</v>
      </c>
      <c r="T105">
        <v>99</v>
      </c>
      <c r="U105" t="s">
        <v>100</v>
      </c>
      <c r="V105">
        <v>1</v>
      </c>
      <c r="X105" t="s">
        <v>469</v>
      </c>
      <c r="AA105">
        <v>1440</v>
      </c>
      <c r="AB105" t="s">
        <v>26</v>
      </c>
      <c r="AC105">
        <v>291</v>
      </c>
      <c r="AD105" t="s">
        <v>27</v>
      </c>
      <c r="AE105" t="s">
        <v>28</v>
      </c>
      <c r="AF105">
        <v>0</v>
      </c>
      <c r="AK105" s="12">
        <f t="shared" si="12"/>
        <v>46098</v>
      </c>
      <c r="AL105" s="1" t="str">
        <f t="shared" si="13"/>
        <v>Week12</v>
      </c>
      <c r="AM105" s="1" t="s">
        <v>102</v>
      </c>
      <c r="AN105" s="1" t="str">
        <f t="shared" si="14"/>
        <v>NoGo</v>
      </c>
      <c r="AO105" s="2">
        <f t="shared" si="15"/>
        <v>98.318197107299028</v>
      </c>
      <c r="AP105" s="1">
        <f t="shared" si="16"/>
        <v>0</v>
      </c>
      <c r="AQ105" s="1">
        <f t="shared" si="17"/>
        <v>1</v>
      </c>
      <c r="AR105" s="1" t="s">
        <v>95</v>
      </c>
      <c r="AS105" s="1" t="s">
        <v>93</v>
      </c>
      <c r="AT105" s="1" t="s">
        <v>93</v>
      </c>
      <c r="AU105" s="1" t="str">
        <f t="shared" si="18"/>
        <v>Minor</v>
      </c>
      <c r="AV105" s="1" t="str">
        <f t="shared" si="19"/>
        <v>12828364Tejas Patel</v>
      </c>
      <c r="AW105" s="1" t="str">
        <f t="shared" si="20"/>
        <v>Minor</v>
      </c>
      <c r="AX105" s="1">
        <f t="shared" si="21"/>
        <v>0</v>
      </c>
      <c r="AY105" s="1" t="s">
        <v>24</v>
      </c>
      <c r="AZ105" s="1" t="b">
        <v>0</v>
      </c>
      <c r="BA105" s="1">
        <f t="shared" si="22"/>
        <v>1</v>
      </c>
      <c r="BB105" s="1">
        <f t="shared" si="23"/>
        <v>1</v>
      </c>
      <c r="BC105" s="1" t="s">
        <v>1096</v>
      </c>
      <c r="BD105" s="1" t="s">
        <v>43</v>
      </c>
      <c r="BE105" s="1" t="s">
        <v>98</v>
      </c>
      <c r="BF105" s="1" t="b">
        <v>0</v>
      </c>
      <c r="BG105" s="1" t="str">
        <f>VLOOKUP(AM105,Group!$C:$H,5,0)</f>
        <v>Top 25</v>
      </c>
      <c r="BH105" s="1" t="str">
        <f>VLOOKUP(P105,others!$C:$G,5,0)</f>
        <v>QA</v>
      </c>
    </row>
    <row r="106" spans="1:60" x14ac:dyDescent="0.25">
      <c r="A106" s="14">
        <v>46093.476145833331</v>
      </c>
      <c r="B106" s="14">
        <v>46093.705312500002</v>
      </c>
      <c r="C106" s="14">
        <v>46098.313958333332</v>
      </c>
      <c r="D106" s="14">
        <v>46098.543124999997</v>
      </c>
      <c r="E106" s="14">
        <v>46097.407037037039</v>
      </c>
      <c r="F106" s="14">
        <v>46098.543124999997</v>
      </c>
      <c r="G106" t="s">
        <v>470</v>
      </c>
      <c r="H106">
        <v>939</v>
      </c>
      <c r="I106">
        <v>1635.9666999999999</v>
      </c>
      <c r="J106" t="s">
        <v>104</v>
      </c>
      <c r="K106">
        <v>12828541</v>
      </c>
      <c r="L106" t="s">
        <v>1353</v>
      </c>
      <c r="M106" t="s">
        <v>163</v>
      </c>
      <c r="N106" t="s">
        <v>88</v>
      </c>
      <c r="O106" t="s">
        <v>1350</v>
      </c>
      <c r="P106" t="s">
        <v>480</v>
      </c>
      <c r="Q106" t="s">
        <v>29</v>
      </c>
      <c r="R106" t="s">
        <v>25</v>
      </c>
      <c r="S106">
        <v>74.02</v>
      </c>
      <c r="T106">
        <v>100</v>
      </c>
      <c r="U106" t="s">
        <v>100</v>
      </c>
      <c r="V106">
        <v>2</v>
      </c>
      <c r="X106" t="s">
        <v>1274</v>
      </c>
      <c r="AA106">
        <v>1440</v>
      </c>
      <c r="AB106" t="s">
        <v>26</v>
      </c>
      <c r="AC106">
        <v>340</v>
      </c>
      <c r="AD106" t="s">
        <v>27</v>
      </c>
      <c r="AE106" t="s">
        <v>28</v>
      </c>
      <c r="AF106">
        <v>1</v>
      </c>
      <c r="AK106" s="12">
        <f t="shared" si="12"/>
        <v>46098</v>
      </c>
      <c r="AL106" s="1" t="str">
        <f t="shared" si="13"/>
        <v>Week12</v>
      </c>
      <c r="AM106" s="1" t="s">
        <v>169</v>
      </c>
      <c r="AN106" s="1" t="str">
        <f t="shared" si="14"/>
        <v>Go</v>
      </c>
      <c r="AO106" s="2">
        <f t="shared" si="15"/>
        <v>100</v>
      </c>
      <c r="AP106" s="1">
        <f t="shared" si="16"/>
        <v>0</v>
      </c>
      <c r="AQ106" s="1">
        <f t="shared" si="17"/>
        <v>0</v>
      </c>
      <c r="AR106" s="1" t="s">
        <v>96</v>
      </c>
      <c r="AS106" s="1" t="s">
        <v>96</v>
      </c>
      <c r="AT106" s="1" t="s">
        <v>96</v>
      </c>
      <c r="AU106" s="1" t="str">
        <f t="shared" si="18"/>
        <v>Minor</v>
      </c>
      <c r="AV106" s="1" t="str">
        <f t="shared" si="19"/>
        <v>12828541Savitha Arun</v>
      </c>
      <c r="AW106" s="1" t="str">
        <f t="shared" si="20"/>
        <v>Minor</v>
      </c>
      <c r="AX106" s="1">
        <f t="shared" si="21"/>
        <v>0</v>
      </c>
      <c r="AY106" s="1" t="s">
        <v>29</v>
      </c>
      <c r="AZ106" s="1" t="b">
        <v>0</v>
      </c>
      <c r="BA106" s="1">
        <f t="shared" si="22"/>
        <v>1</v>
      </c>
      <c r="BB106" s="1">
        <f t="shared" si="23"/>
        <v>2</v>
      </c>
      <c r="BC106" s="1" t="s">
        <v>125</v>
      </c>
      <c r="BD106" s="1" t="s">
        <v>1269</v>
      </c>
      <c r="BE106" s="1" t="s">
        <v>98</v>
      </c>
      <c r="BF106" s="1" t="b">
        <v>0</v>
      </c>
      <c r="BG106" s="1" t="str">
        <f>VLOOKUP(AM106,Group!$C:$H,5,0)</f>
        <v>Fundamental</v>
      </c>
      <c r="BH106" s="1" t="str">
        <f>VLOOKUP(P106,others!$C:$G,5,0)</f>
        <v>QA - India</v>
      </c>
    </row>
    <row r="107" spans="1:60" x14ac:dyDescent="0.25">
      <c r="A107" s="14">
        <v>46097.908506944441</v>
      </c>
      <c r="B107" s="14">
        <v>46098.137673611112</v>
      </c>
      <c r="C107" s="14">
        <v>46098.728576388887</v>
      </c>
      <c r="D107" s="14">
        <v>46098.957743055558</v>
      </c>
      <c r="E107" s="14">
        <v>46098.8125462963</v>
      </c>
      <c r="F107" s="14">
        <v>46098.957743055558</v>
      </c>
      <c r="G107" t="s">
        <v>470</v>
      </c>
      <c r="H107">
        <v>435</v>
      </c>
      <c r="I107">
        <v>209.08330000000001</v>
      </c>
      <c r="J107" t="s">
        <v>104</v>
      </c>
      <c r="K107">
        <v>12829564</v>
      </c>
      <c r="L107" t="s">
        <v>1313</v>
      </c>
      <c r="M107" t="s">
        <v>162</v>
      </c>
      <c r="N107" t="s">
        <v>88</v>
      </c>
      <c r="O107" t="s">
        <v>1300</v>
      </c>
      <c r="P107" t="s">
        <v>478</v>
      </c>
      <c r="Q107" t="s">
        <v>29</v>
      </c>
      <c r="R107" t="s">
        <v>25</v>
      </c>
      <c r="S107">
        <v>32.68</v>
      </c>
      <c r="T107">
        <v>99</v>
      </c>
      <c r="U107" t="s">
        <v>1243</v>
      </c>
      <c r="V107">
        <v>1</v>
      </c>
      <c r="X107" t="s">
        <v>1314</v>
      </c>
      <c r="AA107">
        <v>1440</v>
      </c>
      <c r="AB107" t="s">
        <v>26</v>
      </c>
      <c r="AC107">
        <v>241</v>
      </c>
      <c r="AD107" t="s">
        <v>27</v>
      </c>
      <c r="AE107" t="s">
        <v>1356</v>
      </c>
      <c r="AF107">
        <v>0</v>
      </c>
      <c r="AK107" s="12">
        <f t="shared" si="12"/>
        <v>46098</v>
      </c>
      <c r="AL107" s="1" t="str">
        <f t="shared" si="13"/>
        <v>Week12</v>
      </c>
      <c r="AM107" s="1" t="s">
        <v>168</v>
      </c>
      <c r="AN107" s="1" t="str">
        <f t="shared" si="14"/>
        <v>NoGo</v>
      </c>
      <c r="AO107" s="2">
        <f t="shared" si="15"/>
        <v>96.940024479804165</v>
      </c>
      <c r="AP107" s="1">
        <f t="shared" si="16"/>
        <v>1</v>
      </c>
      <c r="AQ107" s="1">
        <f t="shared" si="17"/>
        <v>1</v>
      </c>
      <c r="AR107" s="1" t="s">
        <v>96</v>
      </c>
      <c r="AS107" s="1" t="s">
        <v>96</v>
      </c>
      <c r="AT107" s="1" t="s">
        <v>96</v>
      </c>
      <c r="AU107" s="1" t="str">
        <f t="shared" si="18"/>
        <v>Major</v>
      </c>
      <c r="AV107" s="1" t="str">
        <f t="shared" si="19"/>
        <v>12829564Sandeep S</v>
      </c>
      <c r="AW107" s="1" t="str">
        <f t="shared" si="20"/>
        <v>Major</v>
      </c>
      <c r="AX107" s="1">
        <f t="shared" si="21"/>
        <v>1</v>
      </c>
      <c r="AY107" s="1" t="s">
        <v>29</v>
      </c>
      <c r="AZ107" s="1" t="b">
        <v>0</v>
      </c>
      <c r="BA107" s="1">
        <f t="shared" si="22"/>
        <v>1</v>
      </c>
      <c r="BB107" s="1">
        <f t="shared" si="23"/>
        <v>1</v>
      </c>
      <c r="BC107" s="1" t="s">
        <v>478</v>
      </c>
      <c r="BD107" s="1" t="s">
        <v>43</v>
      </c>
      <c r="BE107" s="1" t="s">
        <v>98</v>
      </c>
      <c r="BF107" s="1" t="b">
        <v>0</v>
      </c>
      <c r="BG107" s="1" t="str">
        <f>VLOOKUP(AM107,Group!$C:$H,5,0)</f>
        <v>Others</v>
      </c>
      <c r="BH107" s="1" t="str">
        <f>VLOOKUP(P107,others!$C:$G,5,0)</f>
        <v>MTX - India</v>
      </c>
    </row>
    <row r="108" spans="1:60" x14ac:dyDescent="0.25">
      <c r="A108" s="14">
        <v>46094.611261574071</v>
      </c>
      <c r="B108" s="14">
        <v>46094.840428240743</v>
      </c>
      <c r="C108" s="14">
        <v>46098.733101851853</v>
      </c>
      <c r="D108" s="14">
        <v>46098.962268518517</v>
      </c>
      <c r="E108" s="14">
        <v>46098.617430555554</v>
      </c>
      <c r="F108" s="14">
        <v>46098.962268518517</v>
      </c>
      <c r="G108" t="s">
        <v>470</v>
      </c>
      <c r="H108">
        <v>370</v>
      </c>
      <c r="I108">
        <v>496.56670000000003</v>
      </c>
      <c r="J108" t="s">
        <v>104</v>
      </c>
      <c r="K108">
        <v>12828958</v>
      </c>
      <c r="L108" t="s">
        <v>1357</v>
      </c>
      <c r="M108" t="s">
        <v>121</v>
      </c>
      <c r="N108" t="s">
        <v>88</v>
      </c>
      <c r="O108" t="s">
        <v>1300</v>
      </c>
      <c r="P108" t="s">
        <v>478</v>
      </c>
      <c r="Q108" t="s">
        <v>29</v>
      </c>
      <c r="R108" t="s">
        <v>25</v>
      </c>
      <c r="S108">
        <v>42.35</v>
      </c>
      <c r="T108">
        <v>100</v>
      </c>
      <c r="V108">
        <v>0</v>
      </c>
      <c r="X108" t="s">
        <v>1358</v>
      </c>
      <c r="AA108">
        <v>1440</v>
      </c>
      <c r="AB108" t="s">
        <v>26</v>
      </c>
      <c r="AC108">
        <v>297</v>
      </c>
      <c r="AD108" t="s">
        <v>27</v>
      </c>
      <c r="AE108" t="s">
        <v>28</v>
      </c>
      <c r="AF108">
        <v>0</v>
      </c>
      <c r="AK108" s="12">
        <f t="shared" si="12"/>
        <v>46098</v>
      </c>
      <c r="AL108" s="1" t="str">
        <f t="shared" si="13"/>
        <v>Week12</v>
      </c>
      <c r="AM108" s="1" t="s">
        <v>122</v>
      </c>
      <c r="AN108" s="1" t="str">
        <f t="shared" si="14"/>
        <v>Go</v>
      </c>
      <c r="AO108" s="2">
        <f t="shared" si="15"/>
        <v>100</v>
      </c>
      <c r="AP108" s="1">
        <f t="shared" si="16"/>
        <v>0</v>
      </c>
      <c r="AQ108" s="1">
        <f t="shared" si="17"/>
        <v>0</v>
      </c>
      <c r="AR108" s="1" t="s">
        <v>96</v>
      </c>
      <c r="AS108" s="1" t="s">
        <v>96</v>
      </c>
      <c r="AT108" s="1" t="s">
        <v>96</v>
      </c>
      <c r="AU108" s="1" t="str">
        <f t="shared" si="18"/>
        <v/>
      </c>
      <c r="AV108" s="1" t="str">
        <f t="shared" si="19"/>
        <v>12828958Sandeep S</v>
      </c>
      <c r="AW108" s="1" t="str">
        <f t="shared" si="20"/>
        <v/>
      </c>
      <c r="AX108" s="1" t="str">
        <f t="shared" si="21"/>
        <v/>
      </c>
      <c r="AY108" s="1" t="s">
        <v>29</v>
      </c>
      <c r="AZ108" s="1" t="b">
        <v>0</v>
      </c>
      <c r="BA108" s="1" t="str">
        <f t="shared" si="22"/>
        <v/>
      </c>
      <c r="BB108" s="1">
        <f t="shared" si="23"/>
        <v>0</v>
      </c>
      <c r="BC108" s="1" t="s">
        <v>478</v>
      </c>
      <c r="BD108" s="1" t="s">
        <v>43</v>
      </c>
      <c r="BE108" s="1" t="s">
        <v>98</v>
      </c>
      <c r="BF108" s="1" t="b">
        <v>0</v>
      </c>
      <c r="BG108" s="1" t="str">
        <f>VLOOKUP(AM108,Group!$C:$H,5,0)</f>
        <v>Top 25</v>
      </c>
      <c r="BH108" s="1" t="str">
        <f>VLOOKUP(P108,others!$C:$G,5,0)</f>
        <v>MTX - India</v>
      </c>
    </row>
    <row r="109" spans="1:60" x14ac:dyDescent="0.25">
      <c r="A109" s="14">
        <v>46096.689074074071</v>
      </c>
      <c r="B109" s="14">
        <v>46096.918240740742</v>
      </c>
      <c r="C109" s="14">
        <v>46098.750069444446</v>
      </c>
      <c r="D109" s="14">
        <v>46098.97923611111</v>
      </c>
      <c r="E109" s="14">
        <v>46098.812951388885</v>
      </c>
      <c r="F109" s="14">
        <v>46098.97923611111</v>
      </c>
      <c r="G109" t="s">
        <v>470</v>
      </c>
      <c r="H109">
        <v>178</v>
      </c>
      <c r="I109">
        <v>239.45</v>
      </c>
      <c r="J109" t="s">
        <v>104</v>
      </c>
      <c r="K109">
        <v>12829210</v>
      </c>
      <c r="L109" t="s">
        <v>1313</v>
      </c>
      <c r="M109" t="s">
        <v>162</v>
      </c>
      <c r="N109" t="s">
        <v>88</v>
      </c>
      <c r="O109" t="s">
        <v>1300</v>
      </c>
      <c r="P109" t="s">
        <v>478</v>
      </c>
      <c r="Q109" t="s">
        <v>29</v>
      </c>
      <c r="R109" t="s">
        <v>25</v>
      </c>
      <c r="S109">
        <v>22.09</v>
      </c>
      <c r="T109">
        <v>100</v>
      </c>
      <c r="U109" t="s">
        <v>100</v>
      </c>
      <c r="V109">
        <v>1</v>
      </c>
      <c r="X109" t="s">
        <v>1314</v>
      </c>
      <c r="AA109">
        <v>1440</v>
      </c>
      <c r="AB109" t="s">
        <v>26</v>
      </c>
      <c r="AC109">
        <v>142</v>
      </c>
      <c r="AD109" t="s">
        <v>27</v>
      </c>
      <c r="AE109" t="s">
        <v>28</v>
      </c>
      <c r="AF109">
        <v>0</v>
      </c>
      <c r="AK109" s="12">
        <f t="shared" si="12"/>
        <v>46098</v>
      </c>
      <c r="AL109" s="1" t="str">
        <f t="shared" si="13"/>
        <v>Week12</v>
      </c>
      <c r="AM109" s="1" t="s">
        <v>168</v>
      </c>
      <c r="AN109" s="1" t="str">
        <f t="shared" si="14"/>
        <v>Go</v>
      </c>
      <c r="AO109" s="2">
        <f t="shared" si="15"/>
        <v>100</v>
      </c>
      <c r="AP109" s="1">
        <f t="shared" si="16"/>
        <v>0</v>
      </c>
      <c r="AQ109" s="1">
        <f t="shared" si="17"/>
        <v>0</v>
      </c>
      <c r="AR109" s="1" t="s">
        <v>96</v>
      </c>
      <c r="AS109" s="1" t="s">
        <v>96</v>
      </c>
      <c r="AT109" s="1" t="s">
        <v>96</v>
      </c>
      <c r="AU109" s="1" t="str">
        <f t="shared" si="18"/>
        <v>Minor</v>
      </c>
      <c r="AV109" s="1" t="str">
        <f t="shared" si="19"/>
        <v>12829210Sandeep S</v>
      </c>
      <c r="AW109" s="1" t="str">
        <f t="shared" si="20"/>
        <v>Minor</v>
      </c>
      <c r="AX109" s="1">
        <f t="shared" si="21"/>
        <v>0</v>
      </c>
      <c r="AY109" s="1" t="s">
        <v>29</v>
      </c>
      <c r="AZ109" s="1" t="b">
        <v>0</v>
      </c>
      <c r="BA109" s="1">
        <f t="shared" si="22"/>
        <v>1</v>
      </c>
      <c r="BB109" s="1">
        <f t="shared" si="23"/>
        <v>1</v>
      </c>
      <c r="BC109" s="1" t="s">
        <v>478</v>
      </c>
      <c r="BD109" s="1" t="s">
        <v>43</v>
      </c>
      <c r="BE109" s="1" t="s">
        <v>98</v>
      </c>
      <c r="BF109" s="1" t="b">
        <v>0</v>
      </c>
      <c r="BG109" s="1" t="str">
        <f>VLOOKUP(AM109,Group!$C:$H,5,0)</f>
        <v>Others</v>
      </c>
      <c r="BH109" s="1" t="str">
        <f>VLOOKUP(P109,others!$C:$G,5,0)</f>
        <v>MTX - India</v>
      </c>
    </row>
    <row r="110" spans="1:60" x14ac:dyDescent="0.25">
      <c r="A110" s="14">
        <v>46094.386967592596</v>
      </c>
      <c r="B110" s="14">
        <v>46094.61613425926</v>
      </c>
      <c r="C110" s="14">
        <v>46098.75677083333</v>
      </c>
      <c r="D110" s="14">
        <v>46098.985937500001</v>
      </c>
      <c r="E110" s="14">
        <v>46098.618298611109</v>
      </c>
      <c r="F110" s="14">
        <v>46098.985937500001</v>
      </c>
      <c r="G110" t="s">
        <v>470</v>
      </c>
      <c r="H110">
        <v>533</v>
      </c>
      <c r="I110">
        <v>529.4</v>
      </c>
      <c r="J110" t="s">
        <v>104</v>
      </c>
      <c r="K110">
        <v>12828836</v>
      </c>
      <c r="L110" t="s">
        <v>1333</v>
      </c>
      <c r="M110" t="s">
        <v>121</v>
      </c>
      <c r="N110" t="s">
        <v>88</v>
      </c>
      <c r="O110" t="s">
        <v>458</v>
      </c>
      <c r="P110" t="s">
        <v>459</v>
      </c>
      <c r="Q110" t="s">
        <v>29</v>
      </c>
      <c r="R110" t="s">
        <v>25</v>
      </c>
      <c r="S110">
        <v>65.319999999999993</v>
      </c>
      <c r="T110">
        <v>99</v>
      </c>
      <c r="U110" t="s">
        <v>471</v>
      </c>
      <c r="V110">
        <v>1</v>
      </c>
      <c r="X110" t="s">
        <v>1256</v>
      </c>
      <c r="AA110">
        <v>1440</v>
      </c>
      <c r="AB110" t="s">
        <v>26</v>
      </c>
      <c r="AC110">
        <v>405</v>
      </c>
      <c r="AD110" t="s">
        <v>27</v>
      </c>
      <c r="AE110" t="s">
        <v>28</v>
      </c>
      <c r="AF110">
        <v>2</v>
      </c>
      <c r="AK110" s="12">
        <f t="shared" si="12"/>
        <v>46098</v>
      </c>
      <c r="AL110" s="1" t="str">
        <f t="shared" si="13"/>
        <v>Week12</v>
      </c>
      <c r="AM110" s="1" t="s">
        <v>122</v>
      </c>
      <c r="AN110" s="1" t="str">
        <f t="shared" si="14"/>
        <v>NoGo</v>
      </c>
      <c r="AO110" s="2">
        <f t="shared" si="15"/>
        <v>98.469075321494188</v>
      </c>
      <c r="AP110" s="1">
        <f t="shared" si="16"/>
        <v>1</v>
      </c>
      <c r="AQ110" s="1">
        <f t="shared" si="17"/>
        <v>1</v>
      </c>
      <c r="AR110" s="1" t="s">
        <v>96</v>
      </c>
      <c r="AS110" s="1" t="s">
        <v>96</v>
      </c>
      <c r="AT110" s="1" t="s">
        <v>96</v>
      </c>
      <c r="AU110" s="1" t="str">
        <f t="shared" si="18"/>
        <v>Major</v>
      </c>
      <c r="AV110" s="1" t="str">
        <f t="shared" si="19"/>
        <v>12828836Usha M</v>
      </c>
      <c r="AW110" s="1" t="str">
        <f t="shared" si="20"/>
        <v>Major</v>
      </c>
      <c r="AX110" s="1">
        <f t="shared" si="21"/>
        <v>1</v>
      </c>
      <c r="AY110" s="1" t="s">
        <v>29</v>
      </c>
      <c r="AZ110" s="1" t="b">
        <v>1</v>
      </c>
      <c r="BA110" s="1">
        <f t="shared" si="22"/>
        <v>1</v>
      </c>
      <c r="BB110" s="1">
        <f t="shared" si="23"/>
        <v>1</v>
      </c>
      <c r="BC110" s="1" t="s">
        <v>459</v>
      </c>
      <c r="BD110" s="1" t="s">
        <v>43</v>
      </c>
      <c r="BE110" s="1" t="s">
        <v>1262</v>
      </c>
      <c r="BF110" s="1" t="b">
        <v>1</v>
      </c>
      <c r="BG110" s="1" t="str">
        <f>VLOOKUP(AM110,Group!$C:$H,5,0)</f>
        <v>Top 25</v>
      </c>
      <c r="BH110" s="1" t="str">
        <f>VLOOKUP(P110,others!$C:$G,5,0)</f>
        <v>MTX - India</v>
      </c>
    </row>
    <row r="111" spans="1:60" x14ac:dyDescent="0.25">
      <c r="A111" s="14">
        <v>46094.386967592596</v>
      </c>
      <c r="B111" s="14">
        <v>46094.61613425926</v>
      </c>
      <c r="C111" s="14">
        <v>46098.75677083333</v>
      </c>
      <c r="D111" s="14">
        <v>46098.985937500001</v>
      </c>
      <c r="E111" s="14">
        <v>46098.618298611109</v>
      </c>
      <c r="F111" s="14">
        <v>46098.985937500001</v>
      </c>
      <c r="G111" t="s">
        <v>470</v>
      </c>
      <c r="H111">
        <v>533</v>
      </c>
      <c r="I111">
        <v>529.4</v>
      </c>
      <c r="J111" t="s">
        <v>104</v>
      </c>
      <c r="K111">
        <v>12828836</v>
      </c>
      <c r="L111" t="s">
        <v>1333</v>
      </c>
      <c r="M111" t="s">
        <v>121</v>
      </c>
      <c r="N111" t="s">
        <v>88</v>
      </c>
      <c r="O111" t="s">
        <v>458</v>
      </c>
      <c r="P111" t="s">
        <v>459</v>
      </c>
      <c r="Q111" t="s">
        <v>29</v>
      </c>
      <c r="R111" t="s">
        <v>25</v>
      </c>
      <c r="S111">
        <v>65.319999999999993</v>
      </c>
      <c r="T111">
        <v>99</v>
      </c>
      <c r="U111" t="s">
        <v>100</v>
      </c>
      <c r="V111">
        <v>1</v>
      </c>
      <c r="X111" t="s">
        <v>1256</v>
      </c>
      <c r="AA111">
        <v>1440</v>
      </c>
      <c r="AB111" t="s">
        <v>26</v>
      </c>
      <c r="AC111">
        <v>405</v>
      </c>
      <c r="AD111" t="s">
        <v>27</v>
      </c>
      <c r="AE111" t="s">
        <v>28</v>
      </c>
      <c r="AF111">
        <v>2</v>
      </c>
      <c r="AK111" s="12">
        <f t="shared" si="12"/>
        <v>46098</v>
      </c>
      <c r="AL111" s="1" t="str">
        <f t="shared" si="13"/>
        <v>Week12</v>
      </c>
      <c r="AM111" s="1" t="s">
        <v>122</v>
      </c>
      <c r="AN111" s="1" t="str">
        <f t="shared" si="14"/>
        <v>NoGo</v>
      </c>
      <c r="AO111" s="2">
        <f t="shared" si="15"/>
        <v>98.469075321494188</v>
      </c>
      <c r="AP111" s="1">
        <f t="shared" si="16"/>
        <v>0</v>
      </c>
      <c r="AQ111" s="1">
        <f t="shared" si="17"/>
        <v>1</v>
      </c>
      <c r="AR111" s="1" t="s">
        <v>96</v>
      </c>
      <c r="AS111" s="1" t="s">
        <v>96</v>
      </c>
      <c r="AT111" s="1" t="s">
        <v>96</v>
      </c>
      <c r="AU111" s="1" t="str">
        <f t="shared" si="18"/>
        <v>Minor</v>
      </c>
      <c r="AV111" s="1" t="str">
        <f t="shared" si="19"/>
        <v>12828836Usha M</v>
      </c>
      <c r="AW111" s="1" t="str">
        <f t="shared" si="20"/>
        <v>Minor</v>
      </c>
      <c r="AX111" s="1">
        <f t="shared" si="21"/>
        <v>0</v>
      </c>
      <c r="AY111" s="1" t="s">
        <v>29</v>
      </c>
      <c r="AZ111" s="1" t="b">
        <v>0</v>
      </c>
      <c r="BA111" s="1">
        <f t="shared" si="22"/>
        <v>1</v>
      </c>
      <c r="BB111" s="1">
        <f t="shared" si="23"/>
        <v>1</v>
      </c>
      <c r="BC111" s="1" t="s">
        <v>459</v>
      </c>
      <c r="BD111" s="1" t="s">
        <v>43</v>
      </c>
      <c r="BE111" s="1" t="s">
        <v>1262</v>
      </c>
      <c r="BF111" s="1" t="b">
        <v>0</v>
      </c>
      <c r="BG111" s="1" t="str">
        <f>VLOOKUP(AM111,Group!$C:$H,5,0)</f>
        <v>Top 25</v>
      </c>
      <c r="BH111" s="1" t="str">
        <f>VLOOKUP(P111,others!$C:$G,5,0)</f>
        <v>MTX - India</v>
      </c>
    </row>
    <row r="112" spans="1:60" x14ac:dyDescent="0.25">
      <c r="A112" s="14">
        <v>46091.549328703702</v>
      </c>
      <c r="B112" s="14">
        <v>46091.778495370374</v>
      </c>
      <c r="C112" s="14">
        <v>46098.761678240742</v>
      </c>
      <c r="D112" s="14">
        <v>46098.990844907406</v>
      </c>
      <c r="E112" s="14">
        <v>46098.618622685186</v>
      </c>
      <c r="F112" s="14">
        <v>46098.990844907406</v>
      </c>
      <c r="G112" t="s">
        <v>470</v>
      </c>
      <c r="H112">
        <v>413</v>
      </c>
      <c r="I112">
        <v>536</v>
      </c>
      <c r="J112" t="s">
        <v>104</v>
      </c>
      <c r="K112">
        <v>12827698</v>
      </c>
      <c r="L112" t="s">
        <v>1268</v>
      </c>
      <c r="M112" t="s">
        <v>121</v>
      </c>
      <c r="N112" t="s">
        <v>88</v>
      </c>
      <c r="O112" t="s">
        <v>458</v>
      </c>
      <c r="P112" t="s">
        <v>459</v>
      </c>
      <c r="Q112" t="s">
        <v>29</v>
      </c>
      <c r="R112" t="s">
        <v>25</v>
      </c>
      <c r="S112">
        <v>53.66</v>
      </c>
      <c r="T112">
        <v>100</v>
      </c>
      <c r="U112" t="s">
        <v>100</v>
      </c>
      <c r="V112">
        <v>1</v>
      </c>
      <c r="X112" t="s">
        <v>1288</v>
      </c>
      <c r="AA112">
        <v>720</v>
      </c>
      <c r="AB112" t="s">
        <v>26</v>
      </c>
      <c r="AC112">
        <v>412</v>
      </c>
      <c r="AD112" t="s">
        <v>27</v>
      </c>
      <c r="AE112" t="s">
        <v>28</v>
      </c>
      <c r="AF112">
        <v>0</v>
      </c>
      <c r="AK112" s="12">
        <f t="shared" si="12"/>
        <v>46098</v>
      </c>
      <c r="AL112" s="1" t="str">
        <f t="shared" si="13"/>
        <v>Week12</v>
      </c>
      <c r="AM112" s="1" t="s">
        <v>122</v>
      </c>
      <c r="AN112" s="1" t="str">
        <f t="shared" si="14"/>
        <v>Go</v>
      </c>
      <c r="AO112" s="2">
        <f t="shared" si="15"/>
        <v>100</v>
      </c>
      <c r="AP112" s="1">
        <f t="shared" si="16"/>
        <v>0</v>
      </c>
      <c r="AQ112" s="1">
        <f t="shared" si="17"/>
        <v>0</v>
      </c>
      <c r="AR112" s="1" t="s">
        <v>96</v>
      </c>
      <c r="AS112" s="1" t="s">
        <v>96</v>
      </c>
      <c r="AT112" s="1" t="s">
        <v>96</v>
      </c>
      <c r="AU112" s="1" t="str">
        <f t="shared" si="18"/>
        <v>Minor</v>
      </c>
      <c r="AV112" s="1" t="str">
        <f t="shared" si="19"/>
        <v>12827698Usha M</v>
      </c>
      <c r="AW112" s="1" t="str">
        <f t="shared" si="20"/>
        <v>Minor</v>
      </c>
      <c r="AX112" s="1">
        <f t="shared" si="21"/>
        <v>0</v>
      </c>
      <c r="AY112" s="1" t="s">
        <v>29</v>
      </c>
      <c r="AZ112" s="1" t="b">
        <v>0</v>
      </c>
      <c r="BA112" s="1">
        <f t="shared" si="22"/>
        <v>1</v>
      </c>
      <c r="BB112" s="1">
        <f t="shared" si="23"/>
        <v>1</v>
      </c>
      <c r="BC112" s="1" t="s">
        <v>459</v>
      </c>
      <c r="BD112" s="1" t="s">
        <v>43</v>
      </c>
      <c r="BE112" s="1" t="s">
        <v>98</v>
      </c>
      <c r="BF112" s="1" t="b">
        <v>0</v>
      </c>
      <c r="BG112" s="1" t="str">
        <f>VLOOKUP(AM112,Group!$C:$H,5,0)</f>
        <v>Top 25</v>
      </c>
      <c r="BH112" s="1" t="str">
        <f>VLOOKUP(P112,others!$C:$G,5,0)</f>
        <v>MTX - India</v>
      </c>
    </row>
    <row r="113" spans="1:60" x14ac:dyDescent="0.25">
      <c r="A113" s="14">
        <v>46091.355462962965</v>
      </c>
      <c r="B113" s="14">
        <v>46091.584629629629</v>
      </c>
      <c r="C113" s="14">
        <v>46098.764120370368</v>
      </c>
      <c r="D113" s="14">
        <v>46098.993287037039</v>
      </c>
      <c r="E113" s="14">
        <v>46098.619155092594</v>
      </c>
      <c r="F113" s="14">
        <v>46098.993287037039</v>
      </c>
      <c r="G113" t="s">
        <v>470</v>
      </c>
      <c r="H113">
        <v>231</v>
      </c>
      <c r="I113">
        <v>538.75</v>
      </c>
      <c r="J113" t="s">
        <v>104</v>
      </c>
      <c r="K113">
        <v>12827628</v>
      </c>
      <c r="L113" t="s">
        <v>1257</v>
      </c>
      <c r="M113" t="s">
        <v>162</v>
      </c>
      <c r="N113" t="s">
        <v>88</v>
      </c>
      <c r="O113" t="s">
        <v>458</v>
      </c>
      <c r="P113" t="s">
        <v>459</v>
      </c>
      <c r="Q113" t="s">
        <v>29</v>
      </c>
      <c r="R113" t="s">
        <v>25</v>
      </c>
      <c r="S113">
        <v>35.32</v>
      </c>
      <c r="T113">
        <v>100</v>
      </c>
      <c r="V113">
        <v>0</v>
      </c>
      <c r="X113" t="s">
        <v>1258</v>
      </c>
      <c r="AA113">
        <v>120</v>
      </c>
      <c r="AB113" t="s">
        <v>26</v>
      </c>
      <c r="AC113">
        <v>152</v>
      </c>
      <c r="AD113" t="s">
        <v>27</v>
      </c>
      <c r="AE113" t="s">
        <v>28</v>
      </c>
      <c r="AF113">
        <v>0</v>
      </c>
      <c r="AK113" s="12">
        <f t="shared" si="12"/>
        <v>46098</v>
      </c>
      <c r="AL113" s="1" t="str">
        <f t="shared" si="13"/>
        <v>Week12</v>
      </c>
      <c r="AM113" s="1" t="s">
        <v>168</v>
      </c>
      <c r="AN113" s="1" t="str">
        <f t="shared" si="14"/>
        <v>Go</v>
      </c>
      <c r="AO113" s="2">
        <f t="shared" si="15"/>
        <v>100</v>
      </c>
      <c r="AP113" s="1">
        <f t="shared" si="16"/>
        <v>0</v>
      </c>
      <c r="AQ113" s="1">
        <f t="shared" si="17"/>
        <v>0</v>
      </c>
      <c r="AR113" s="1" t="s">
        <v>96</v>
      </c>
      <c r="AS113" s="1" t="s">
        <v>96</v>
      </c>
      <c r="AT113" s="1" t="s">
        <v>96</v>
      </c>
      <c r="AU113" s="1" t="str">
        <f t="shared" si="18"/>
        <v/>
      </c>
      <c r="AV113" s="1" t="str">
        <f t="shared" si="19"/>
        <v>12827628Usha M</v>
      </c>
      <c r="AW113" s="1" t="str">
        <f t="shared" si="20"/>
        <v/>
      </c>
      <c r="AX113" s="1" t="str">
        <f t="shared" si="21"/>
        <v/>
      </c>
      <c r="AY113" s="1" t="s">
        <v>29</v>
      </c>
      <c r="AZ113" s="1" t="b">
        <v>0</v>
      </c>
      <c r="BA113" s="1" t="str">
        <f t="shared" si="22"/>
        <v/>
      </c>
      <c r="BB113" s="1">
        <f t="shared" si="23"/>
        <v>0</v>
      </c>
      <c r="BC113" s="1" t="s">
        <v>459</v>
      </c>
      <c r="BD113" s="1" t="s">
        <v>43</v>
      </c>
      <c r="BE113" s="1" t="s">
        <v>98</v>
      </c>
      <c r="BF113" s="1" t="b">
        <v>0</v>
      </c>
      <c r="BG113" s="1" t="str">
        <f>VLOOKUP(AM113,Group!$C:$H,5,0)</f>
        <v>Others</v>
      </c>
      <c r="BH113" s="1" t="str">
        <f>VLOOKUP(P113,others!$C:$G,5,0)</f>
        <v>MTX - India</v>
      </c>
    </row>
    <row r="114" spans="1:60" x14ac:dyDescent="0.25">
      <c r="A114" s="14">
        <v>46095.444710648146</v>
      </c>
      <c r="B114" s="14">
        <v>46095.673877314817</v>
      </c>
      <c r="C114" s="14">
        <v>46098.767453703702</v>
      </c>
      <c r="D114" s="14">
        <v>46098.996620370373</v>
      </c>
      <c r="E114" s="14">
        <v>46098.813252314816</v>
      </c>
      <c r="F114" s="14">
        <v>46098.996620370373</v>
      </c>
      <c r="G114" t="s">
        <v>470</v>
      </c>
      <c r="H114">
        <v>269</v>
      </c>
      <c r="I114">
        <v>264.05</v>
      </c>
      <c r="J114" t="s">
        <v>104</v>
      </c>
      <c r="K114">
        <v>12829125</v>
      </c>
      <c r="L114" t="s">
        <v>1313</v>
      </c>
      <c r="M114" t="s">
        <v>162</v>
      </c>
      <c r="N114" t="s">
        <v>88</v>
      </c>
      <c r="O114" t="s">
        <v>458</v>
      </c>
      <c r="P114" t="s">
        <v>459</v>
      </c>
      <c r="Q114" t="s">
        <v>29</v>
      </c>
      <c r="R114" t="s">
        <v>25</v>
      </c>
      <c r="S114">
        <v>32.35</v>
      </c>
      <c r="T114">
        <v>99</v>
      </c>
      <c r="U114" t="s">
        <v>1263</v>
      </c>
      <c r="V114">
        <v>1</v>
      </c>
      <c r="X114" t="s">
        <v>1314</v>
      </c>
      <c r="AA114">
        <v>1440</v>
      </c>
      <c r="AB114" t="s">
        <v>26</v>
      </c>
      <c r="AC114">
        <v>180</v>
      </c>
      <c r="AD114" t="s">
        <v>27</v>
      </c>
      <c r="AE114" t="s">
        <v>28</v>
      </c>
      <c r="AF114">
        <v>0</v>
      </c>
      <c r="AK114" s="12">
        <f t="shared" si="12"/>
        <v>46098</v>
      </c>
      <c r="AL114" s="1" t="str">
        <f t="shared" si="13"/>
        <v>Week12</v>
      </c>
      <c r="AM114" s="1" t="s">
        <v>168</v>
      </c>
      <c r="AN114" s="1" t="str">
        <f t="shared" si="14"/>
        <v>NoGo</v>
      </c>
      <c r="AO114" s="2">
        <f t="shared" si="15"/>
        <v>96.908809891808346</v>
      </c>
      <c r="AP114" s="1">
        <f t="shared" si="16"/>
        <v>1</v>
      </c>
      <c r="AQ114" s="1">
        <f t="shared" si="17"/>
        <v>1</v>
      </c>
      <c r="AR114" s="1" t="s">
        <v>96</v>
      </c>
      <c r="AS114" s="1" t="s">
        <v>96</v>
      </c>
      <c r="AT114" s="1" t="s">
        <v>96</v>
      </c>
      <c r="AU114" s="1" t="str">
        <f t="shared" si="18"/>
        <v>Major</v>
      </c>
      <c r="AV114" s="1" t="str">
        <f t="shared" si="19"/>
        <v>12829125Usha M</v>
      </c>
      <c r="AW114" s="1" t="str">
        <f t="shared" si="20"/>
        <v>Major</v>
      </c>
      <c r="AX114" s="1">
        <f t="shared" si="21"/>
        <v>1</v>
      </c>
      <c r="AY114" s="1" t="s">
        <v>29</v>
      </c>
      <c r="AZ114" s="1" t="b">
        <v>0</v>
      </c>
      <c r="BA114" s="1">
        <f t="shared" si="22"/>
        <v>1</v>
      </c>
      <c r="BB114" s="1">
        <f t="shared" si="23"/>
        <v>1</v>
      </c>
      <c r="BC114" s="1" t="s">
        <v>459</v>
      </c>
      <c r="BD114" s="1" t="s">
        <v>43</v>
      </c>
      <c r="BE114" s="1" t="s">
        <v>98</v>
      </c>
      <c r="BF114" s="1" t="b">
        <v>0</v>
      </c>
      <c r="BG114" s="1" t="str">
        <f>VLOOKUP(AM114,Group!$C:$H,5,0)</f>
        <v>Others</v>
      </c>
      <c r="BH114" s="1" t="str">
        <f>VLOOKUP(P114,others!$C:$G,5,0)</f>
        <v>MTX - India</v>
      </c>
    </row>
    <row r="115" spans="1:60" x14ac:dyDescent="0.25">
      <c r="A115" s="14">
        <v>46094.38994212963</v>
      </c>
      <c r="B115" s="14">
        <v>46094.619108796294</v>
      </c>
      <c r="C115" s="14">
        <v>46098.770092592589</v>
      </c>
      <c r="D115" s="14">
        <v>46098.999259259261</v>
      </c>
      <c r="E115" s="14">
        <v>46098.619270833333</v>
      </c>
      <c r="F115" s="14">
        <v>46098.999259259261</v>
      </c>
      <c r="G115" t="s">
        <v>470</v>
      </c>
      <c r="H115">
        <v>215</v>
      </c>
      <c r="I115">
        <v>547.18330000000003</v>
      </c>
      <c r="J115" t="s">
        <v>104</v>
      </c>
      <c r="K115">
        <v>12828838</v>
      </c>
      <c r="L115" t="s">
        <v>1359</v>
      </c>
      <c r="M115" t="s">
        <v>121</v>
      </c>
      <c r="N115" t="s">
        <v>88</v>
      </c>
      <c r="O115" t="s">
        <v>458</v>
      </c>
      <c r="P115" t="s">
        <v>459</v>
      </c>
      <c r="Q115" t="s">
        <v>29</v>
      </c>
      <c r="R115" t="s">
        <v>25</v>
      </c>
      <c r="S115">
        <v>26.83</v>
      </c>
      <c r="T115">
        <v>100</v>
      </c>
      <c r="U115" t="s">
        <v>100</v>
      </c>
      <c r="V115">
        <v>1</v>
      </c>
      <c r="X115" t="s">
        <v>1256</v>
      </c>
      <c r="AA115">
        <v>1440</v>
      </c>
      <c r="AB115" t="s">
        <v>26</v>
      </c>
      <c r="AC115">
        <v>158</v>
      </c>
      <c r="AD115" t="s">
        <v>27</v>
      </c>
      <c r="AE115" t="s">
        <v>28</v>
      </c>
      <c r="AF115">
        <v>0</v>
      </c>
      <c r="AK115" s="12">
        <f t="shared" si="12"/>
        <v>46098</v>
      </c>
      <c r="AL115" s="1" t="str">
        <f t="shared" si="13"/>
        <v>Week12</v>
      </c>
      <c r="AM115" s="1" t="s">
        <v>122</v>
      </c>
      <c r="AN115" s="1" t="str">
        <f t="shared" si="14"/>
        <v>Go</v>
      </c>
      <c r="AO115" s="2">
        <f t="shared" si="15"/>
        <v>100</v>
      </c>
      <c r="AP115" s="1">
        <f t="shared" si="16"/>
        <v>0</v>
      </c>
      <c r="AQ115" s="1">
        <f t="shared" si="17"/>
        <v>0</v>
      </c>
      <c r="AR115" s="1" t="s">
        <v>96</v>
      </c>
      <c r="AS115" s="1" t="s">
        <v>96</v>
      </c>
      <c r="AT115" s="1" t="s">
        <v>96</v>
      </c>
      <c r="AU115" s="1" t="str">
        <f t="shared" si="18"/>
        <v>Minor</v>
      </c>
      <c r="AV115" s="1" t="str">
        <f t="shared" si="19"/>
        <v>12828838Usha M</v>
      </c>
      <c r="AW115" s="1" t="str">
        <f t="shared" si="20"/>
        <v>Minor</v>
      </c>
      <c r="AX115" s="1">
        <f t="shared" si="21"/>
        <v>0</v>
      </c>
      <c r="AY115" s="1" t="s">
        <v>29</v>
      </c>
      <c r="AZ115" s="1" t="b">
        <v>0</v>
      </c>
      <c r="BA115" s="1">
        <f t="shared" si="22"/>
        <v>1</v>
      </c>
      <c r="BB115" s="1">
        <f t="shared" si="23"/>
        <v>1</v>
      </c>
      <c r="BC115" s="1" t="s">
        <v>459</v>
      </c>
      <c r="BD115" s="1" t="s">
        <v>43</v>
      </c>
      <c r="BE115" s="1" t="s">
        <v>98</v>
      </c>
      <c r="BF115" s="1" t="b">
        <v>0</v>
      </c>
      <c r="BG115" s="1" t="str">
        <f>VLOOKUP(AM115,Group!$C:$H,5,0)</f>
        <v>Top 25</v>
      </c>
      <c r="BH115" s="1" t="str">
        <f>VLOOKUP(P115,others!$C:$G,5,0)</f>
        <v>MTX - India</v>
      </c>
    </row>
    <row r="116" spans="1:60" x14ac:dyDescent="0.25">
      <c r="A116" s="14">
        <v>46091.492372685185</v>
      </c>
      <c r="B116" s="14">
        <v>46091.721539351849</v>
      </c>
      <c r="C116" s="14">
        <v>46098.773125</v>
      </c>
      <c r="D116" s="14">
        <v>46099.002291666664</v>
      </c>
      <c r="E116" s="14">
        <v>46098.618136574078</v>
      </c>
      <c r="F116" s="14">
        <v>46099.002291666664</v>
      </c>
      <c r="G116" t="s">
        <v>470</v>
      </c>
      <c r="H116">
        <v>214</v>
      </c>
      <c r="I116">
        <v>553.18330000000003</v>
      </c>
      <c r="J116" t="s">
        <v>104</v>
      </c>
      <c r="K116">
        <v>12827711</v>
      </c>
      <c r="L116" t="s">
        <v>1330</v>
      </c>
      <c r="M116" t="s">
        <v>129</v>
      </c>
      <c r="N116" t="s">
        <v>1331</v>
      </c>
      <c r="O116" t="s">
        <v>1300</v>
      </c>
      <c r="P116" t="s">
        <v>478</v>
      </c>
      <c r="Q116" t="s">
        <v>29</v>
      </c>
      <c r="R116" t="s">
        <v>25</v>
      </c>
      <c r="S116">
        <v>23.66</v>
      </c>
      <c r="T116">
        <v>100</v>
      </c>
      <c r="V116">
        <v>0</v>
      </c>
      <c r="X116" t="s">
        <v>1332</v>
      </c>
      <c r="AA116">
        <v>1440</v>
      </c>
      <c r="AB116" t="s">
        <v>26</v>
      </c>
      <c r="AC116">
        <v>124</v>
      </c>
      <c r="AD116" t="s">
        <v>27</v>
      </c>
      <c r="AE116" t="s">
        <v>28</v>
      </c>
      <c r="AF116">
        <v>0</v>
      </c>
      <c r="AK116" s="12">
        <f t="shared" si="12"/>
        <v>46099</v>
      </c>
      <c r="AL116" s="1" t="str">
        <f t="shared" si="13"/>
        <v>Week12</v>
      </c>
      <c r="AM116" s="1" t="s">
        <v>135</v>
      </c>
      <c r="AN116" s="1" t="str">
        <f t="shared" si="14"/>
        <v>Go</v>
      </c>
      <c r="AO116" s="2">
        <f t="shared" si="15"/>
        <v>100</v>
      </c>
      <c r="AP116" s="1">
        <f t="shared" si="16"/>
        <v>0</v>
      </c>
      <c r="AQ116" s="1">
        <f t="shared" si="17"/>
        <v>0</v>
      </c>
      <c r="AR116" s="1" t="s">
        <v>96</v>
      </c>
      <c r="AS116" s="1" t="s">
        <v>96</v>
      </c>
      <c r="AT116" s="1" t="s">
        <v>96</v>
      </c>
      <c r="AU116" s="1" t="str">
        <f t="shared" si="18"/>
        <v/>
      </c>
      <c r="AV116" s="1" t="str">
        <f t="shared" si="19"/>
        <v>12827711Sandeep S</v>
      </c>
      <c r="AW116" s="1" t="str">
        <f t="shared" si="20"/>
        <v/>
      </c>
      <c r="AX116" s="1" t="str">
        <f t="shared" si="21"/>
        <v/>
      </c>
      <c r="AY116" s="1" t="s">
        <v>29</v>
      </c>
      <c r="AZ116" s="1" t="b">
        <v>0</v>
      </c>
      <c r="BA116" s="1" t="str">
        <f t="shared" si="22"/>
        <v/>
      </c>
      <c r="BB116" s="1">
        <f t="shared" si="23"/>
        <v>0</v>
      </c>
      <c r="BC116" s="1" t="s">
        <v>478</v>
      </c>
      <c r="BD116" s="1" t="s">
        <v>43</v>
      </c>
      <c r="BE116" s="1" t="s">
        <v>98</v>
      </c>
      <c r="BF116" s="1" t="b">
        <v>0</v>
      </c>
      <c r="BG116" s="1" t="str">
        <f>VLOOKUP(AM116,Group!$C:$H,5,0)</f>
        <v>Others</v>
      </c>
      <c r="BH116" s="1" t="str">
        <f>VLOOKUP(P116,others!$C:$G,5,0)</f>
        <v>MTX - India</v>
      </c>
    </row>
    <row r="117" spans="1:60" x14ac:dyDescent="0.25">
      <c r="A117" s="14">
        <v>46094.297407407408</v>
      </c>
      <c r="B117" s="14">
        <v>46094.526574074072</v>
      </c>
      <c r="C117" s="14">
        <v>46098.782777777778</v>
      </c>
      <c r="D117" s="14">
        <v>46099.011944444443</v>
      </c>
      <c r="E117" s="14">
        <v>46098.618981481479</v>
      </c>
      <c r="F117" s="14">
        <v>46099.011944444443</v>
      </c>
      <c r="G117" t="s">
        <v>470</v>
      </c>
      <c r="H117">
        <v>603</v>
      </c>
      <c r="I117">
        <v>565.86670000000004</v>
      </c>
      <c r="J117" t="s">
        <v>104</v>
      </c>
      <c r="K117">
        <v>12828799</v>
      </c>
      <c r="L117" t="s">
        <v>1360</v>
      </c>
      <c r="M117" t="s">
        <v>144</v>
      </c>
      <c r="N117" t="s">
        <v>97</v>
      </c>
      <c r="O117" t="s">
        <v>458</v>
      </c>
      <c r="P117" t="s">
        <v>459</v>
      </c>
      <c r="Q117" t="s">
        <v>29</v>
      </c>
      <c r="R117" t="s">
        <v>25</v>
      </c>
      <c r="S117">
        <v>46.88</v>
      </c>
      <c r="T117">
        <v>99</v>
      </c>
      <c r="U117" t="s">
        <v>471</v>
      </c>
      <c r="V117">
        <v>1</v>
      </c>
      <c r="X117" t="s">
        <v>1270</v>
      </c>
      <c r="AA117">
        <v>720</v>
      </c>
      <c r="AB117" t="s">
        <v>26</v>
      </c>
      <c r="AC117">
        <v>122</v>
      </c>
      <c r="AD117" t="s">
        <v>27</v>
      </c>
      <c r="AE117" t="s">
        <v>28</v>
      </c>
      <c r="AF117">
        <v>0</v>
      </c>
      <c r="AK117" s="12">
        <f t="shared" si="12"/>
        <v>46099</v>
      </c>
      <c r="AL117" s="1" t="str">
        <f t="shared" si="13"/>
        <v>Week12</v>
      </c>
      <c r="AM117" s="1" t="s">
        <v>148</v>
      </c>
      <c r="AN117" s="1" t="str">
        <f t="shared" si="14"/>
        <v>NoGo</v>
      </c>
      <c r="AO117" s="2">
        <f t="shared" si="15"/>
        <v>97.86689419795222</v>
      </c>
      <c r="AP117" s="1">
        <f t="shared" si="16"/>
        <v>1</v>
      </c>
      <c r="AQ117" s="1">
        <f t="shared" si="17"/>
        <v>1</v>
      </c>
      <c r="AR117" s="1" t="s">
        <v>93</v>
      </c>
      <c r="AS117" s="1" t="s">
        <v>96</v>
      </c>
      <c r="AT117" s="1" t="s">
        <v>96</v>
      </c>
      <c r="AU117" s="1" t="str">
        <f t="shared" si="18"/>
        <v>Major</v>
      </c>
      <c r="AV117" s="1" t="str">
        <f t="shared" si="19"/>
        <v>12828799Usha M</v>
      </c>
      <c r="AW117" s="1" t="str">
        <f t="shared" si="20"/>
        <v>Major</v>
      </c>
      <c r="AX117" s="1">
        <f t="shared" si="21"/>
        <v>1</v>
      </c>
      <c r="AY117" s="1" t="s">
        <v>29</v>
      </c>
      <c r="AZ117" s="1" t="b">
        <v>1</v>
      </c>
      <c r="BA117" s="1">
        <f t="shared" si="22"/>
        <v>1</v>
      </c>
      <c r="BB117" s="1">
        <f t="shared" si="23"/>
        <v>1</v>
      </c>
      <c r="BC117" s="1" t="s">
        <v>459</v>
      </c>
      <c r="BD117" s="1" t="s">
        <v>43</v>
      </c>
      <c r="BE117" s="1" t="s">
        <v>98</v>
      </c>
      <c r="BF117" s="1" t="b">
        <v>1</v>
      </c>
      <c r="BG117" s="1" t="str">
        <f>VLOOKUP(AM117,Group!$C:$H,5,0)</f>
        <v>Others</v>
      </c>
      <c r="BH117" s="1" t="str">
        <f>VLOOKUP(P117,others!$C:$G,5,0)</f>
        <v>MTX - India</v>
      </c>
    </row>
    <row r="118" spans="1:60" x14ac:dyDescent="0.25">
      <c r="A118" s="14">
        <v>46094.297407407408</v>
      </c>
      <c r="B118" s="14">
        <v>46094.526574074072</v>
      </c>
      <c r="C118" s="14">
        <v>46098.782777777778</v>
      </c>
      <c r="D118" s="14">
        <v>46099.011944444443</v>
      </c>
      <c r="E118" s="14">
        <v>46098.618981481479</v>
      </c>
      <c r="F118" s="14">
        <v>46099.011944444443</v>
      </c>
      <c r="G118" t="s">
        <v>470</v>
      </c>
      <c r="H118">
        <v>603</v>
      </c>
      <c r="I118">
        <v>565.86670000000004</v>
      </c>
      <c r="J118" t="s">
        <v>104</v>
      </c>
      <c r="K118">
        <v>12828799</v>
      </c>
      <c r="L118" t="s">
        <v>1360</v>
      </c>
      <c r="M118" t="s">
        <v>144</v>
      </c>
      <c r="N118" t="s">
        <v>97</v>
      </c>
      <c r="O118" t="s">
        <v>458</v>
      </c>
      <c r="P118" t="s">
        <v>459</v>
      </c>
      <c r="Q118" t="s">
        <v>29</v>
      </c>
      <c r="R118" t="s">
        <v>25</v>
      </c>
      <c r="S118">
        <v>46.88</v>
      </c>
      <c r="T118">
        <v>99</v>
      </c>
      <c r="U118" t="s">
        <v>100</v>
      </c>
      <c r="V118">
        <v>1</v>
      </c>
      <c r="X118" t="s">
        <v>1270</v>
      </c>
      <c r="AA118">
        <v>720</v>
      </c>
      <c r="AB118" t="s">
        <v>26</v>
      </c>
      <c r="AC118">
        <v>122</v>
      </c>
      <c r="AD118" t="s">
        <v>27</v>
      </c>
      <c r="AE118" t="s">
        <v>28</v>
      </c>
      <c r="AF118">
        <v>0</v>
      </c>
      <c r="AK118" s="12">
        <f t="shared" si="12"/>
        <v>46099</v>
      </c>
      <c r="AL118" s="1" t="str">
        <f t="shared" si="13"/>
        <v>Week12</v>
      </c>
      <c r="AM118" s="1" t="s">
        <v>148</v>
      </c>
      <c r="AN118" s="1" t="str">
        <f t="shared" si="14"/>
        <v>NoGo</v>
      </c>
      <c r="AO118" s="2">
        <f t="shared" si="15"/>
        <v>97.86689419795222</v>
      </c>
      <c r="AP118" s="1">
        <f t="shared" si="16"/>
        <v>0</v>
      </c>
      <c r="AQ118" s="1">
        <f t="shared" si="17"/>
        <v>1</v>
      </c>
      <c r="AR118" s="1" t="s">
        <v>93</v>
      </c>
      <c r="AS118" s="1" t="s">
        <v>96</v>
      </c>
      <c r="AT118" s="1" t="s">
        <v>96</v>
      </c>
      <c r="AU118" s="1" t="str">
        <f t="shared" si="18"/>
        <v>Minor</v>
      </c>
      <c r="AV118" s="1" t="str">
        <f t="shared" si="19"/>
        <v>12828799Usha M</v>
      </c>
      <c r="AW118" s="1" t="str">
        <f t="shared" si="20"/>
        <v>Minor</v>
      </c>
      <c r="AX118" s="1">
        <f t="shared" si="21"/>
        <v>0</v>
      </c>
      <c r="AY118" s="1" t="s">
        <v>29</v>
      </c>
      <c r="AZ118" s="1" t="b">
        <v>0</v>
      </c>
      <c r="BA118" s="1">
        <f t="shared" si="22"/>
        <v>1</v>
      </c>
      <c r="BB118" s="1">
        <f t="shared" si="23"/>
        <v>1</v>
      </c>
      <c r="BC118" s="1" t="s">
        <v>459</v>
      </c>
      <c r="BD118" s="1" t="s">
        <v>43</v>
      </c>
      <c r="BE118" s="1" t="s">
        <v>98</v>
      </c>
      <c r="BF118" s="1" t="b">
        <v>0</v>
      </c>
      <c r="BG118" s="1" t="str">
        <f>VLOOKUP(AM118,Group!$C:$H,5,0)</f>
        <v>Others</v>
      </c>
      <c r="BH118" s="1" t="str">
        <f>VLOOKUP(P118,others!$C:$G,5,0)</f>
        <v>MTX - India</v>
      </c>
    </row>
    <row r="119" spans="1:60" x14ac:dyDescent="0.25">
      <c r="A119" s="14">
        <v>46092.678472222222</v>
      </c>
      <c r="B119" s="14">
        <v>46092.907638888886</v>
      </c>
      <c r="C119" s="14">
        <v>46098.787129629629</v>
      </c>
      <c r="D119" s="14">
        <v>46099.016296296293</v>
      </c>
      <c r="E119" s="14">
        <v>46098.617581018516</v>
      </c>
      <c r="F119" s="14">
        <v>46099.016296296293</v>
      </c>
      <c r="G119" t="s">
        <v>470</v>
      </c>
      <c r="H119">
        <v>1606</v>
      </c>
      <c r="I119">
        <v>574.15</v>
      </c>
      <c r="J119" t="s">
        <v>104</v>
      </c>
      <c r="K119">
        <v>12828256</v>
      </c>
      <c r="L119" t="s">
        <v>1330</v>
      </c>
      <c r="M119" t="s">
        <v>129</v>
      </c>
      <c r="N119" t="s">
        <v>1361</v>
      </c>
      <c r="O119" t="s">
        <v>1300</v>
      </c>
      <c r="P119" t="s">
        <v>478</v>
      </c>
      <c r="Q119" t="s">
        <v>29</v>
      </c>
      <c r="R119" t="s">
        <v>25</v>
      </c>
      <c r="S119">
        <v>30.15</v>
      </c>
      <c r="T119">
        <v>100</v>
      </c>
      <c r="U119" t="s">
        <v>100</v>
      </c>
      <c r="V119">
        <v>2</v>
      </c>
      <c r="X119" t="s">
        <v>1362</v>
      </c>
      <c r="AA119">
        <v>1440</v>
      </c>
      <c r="AB119" t="s">
        <v>26</v>
      </c>
      <c r="AC119">
        <v>195</v>
      </c>
      <c r="AD119" t="s">
        <v>27</v>
      </c>
      <c r="AE119" t="s">
        <v>28</v>
      </c>
      <c r="AF119">
        <v>0</v>
      </c>
      <c r="AK119" s="12">
        <f t="shared" si="12"/>
        <v>46099</v>
      </c>
      <c r="AL119" s="1" t="str">
        <f t="shared" si="13"/>
        <v>Week12</v>
      </c>
      <c r="AM119" s="1" t="s">
        <v>135</v>
      </c>
      <c r="AN119" s="1" t="str">
        <f t="shared" si="14"/>
        <v>Go</v>
      </c>
      <c r="AO119" s="2">
        <f t="shared" si="15"/>
        <v>100</v>
      </c>
      <c r="AP119" s="1">
        <f t="shared" si="16"/>
        <v>0</v>
      </c>
      <c r="AQ119" s="1">
        <f t="shared" si="17"/>
        <v>0</v>
      </c>
      <c r="AR119" s="1" t="s">
        <v>96</v>
      </c>
      <c r="AS119" s="1" t="s">
        <v>96</v>
      </c>
      <c r="AT119" s="1" t="s">
        <v>96</v>
      </c>
      <c r="AU119" s="1" t="str">
        <f t="shared" si="18"/>
        <v>Minor</v>
      </c>
      <c r="AV119" s="1" t="str">
        <f t="shared" si="19"/>
        <v>12828256Sandeep S</v>
      </c>
      <c r="AW119" s="1" t="str">
        <f t="shared" si="20"/>
        <v>Minor</v>
      </c>
      <c r="AX119" s="1">
        <f t="shared" si="21"/>
        <v>0</v>
      </c>
      <c r="AY119" s="1" t="s">
        <v>29</v>
      </c>
      <c r="AZ119" s="1" t="b">
        <v>0</v>
      </c>
      <c r="BA119" s="1">
        <f t="shared" si="22"/>
        <v>1</v>
      </c>
      <c r="BB119" s="1">
        <f t="shared" si="23"/>
        <v>2</v>
      </c>
      <c r="BC119" s="1" t="s">
        <v>478</v>
      </c>
      <c r="BD119" s="1" t="s">
        <v>43</v>
      </c>
      <c r="BE119" s="1" t="s">
        <v>98</v>
      </c>
      <c r="BF119" s="1" t="b">
        <v>0</v>
      </c>
      <c r="BG119" s="1" t="str">
        <f>VLOOKUP(AM119,Group!$C:$H,5,0)</f>
        <v>Others</v>
      </c>
      <c r="BH119" s="1" t="str">
        <f>VLOOKUP(P119,others!$C:$G,5,0)</f>
        <v>MTX - India</v>
      </c>
    </row>
    <row r="120" spans="1:60" x14ac:dyDescent="0.25">
      <c r="A120" s="14">
        <v>46092.571192129632</v>
      </c>
      <c r="B120" s="14">
        <v>46092.800358796296</v>
      </c>
      <c r="C120" s="14">
        <v>46098.790659722225</v>
      </c>
      <c r="D120" s="14">
        <v>46099.019826388889</v>
      </c>
      <c r="E120" s="14">
        <v>46098.617928240739</v>
      </c>
      <c r="F120" s="14">
        <v>46099.019826388889</v>
      </c>
      <c r="G120" t="s">
        <v>470</v>
      </c>
      <c r="H120">
        <v>701</v>
      </c>
      <c r="I120">
        <v>578.73329999999999</v>
      </c>
      <c r="J120" t="s">
        <v>104</v>
      </c>
      <c r="K120">
        <v>12828179</v>
      </c>
      <c r="L120" t="s">
        <v>1338</v>
      </c>
      <c r="M120" t="s">
        <v>129</v>
      </c>
      <c r="N120" t="s">
        <v>1343</v>
      </c>
      <c r="O120" t="s">
        <v>1300</v>
      </c>
      <c r="P120" t="s">
        <v>478</v>
      </c>
      <c r="Q120" t="s">
        <v>29</v>
      </c>
      <c r="R120" t="s">
        <v>25</v>
      </c>
      <c r="S120">
        <v>37.54</v>
      </c>
      <c r="T120">
        <v>99</v>
      </c>
      <c r="U120" t="s">
        <v>471</v>
      </c>
      <c r="V120">
        <v>1</v>
      </c>
      <c r="X120" t="s">
        <v>1344</v>
      </c>
      <c r="AA120">
        <v>1440</v>
      </c>
      <c r="AB120" t="s">
        <v>26</v>
      </c>
      <c r="AC120">
        <v>168</v>
      </c>
      <c r="AD120" t="s">
        <v>27</v>
      </c>
      <c r="AE120" t="s">
        <v>28</v>
      </c>
      <c r="AF120">
        <v>0</v>
      </c>
      <c r="AK120" s="12">
        <f t="shared" si="12"/>
        <v>46099</v>
      </c>
      <c r="AL120" s="1" t="str">
        <f t="shared" si="13"/>
        <v>Week12</v>
      </c>
      <c r="AM120" s="1" t="s">
        <v>135</v>
      </c>
      <c r="AN120" s="1" t="str">
        <f t="shared" si="14"/>
        <v>NoGo</v>
      </c>
      <c r="AO120" s="2">
        <f t="shared" si="15"/>
        <v>97.336174746936607</v>
      </c>
      <c r="AP120" s="1">
        <f t="shared" si="16"/>
        <v>1</v>
      </c>
      <c r="AQ120" s="1">
        <f t="shared" si="17"/>
        <v>1</v>
      </c>
      <c r="AR120" s="1" t="s">
        <v>96</v>
      </c>
      <c r="AS120" s="1" t="s">
        <v>96</v>
      </c>
      <c r="AT120" s="1" t="s">
        <v>96</v>
      </c>
      <c r="AU120" s="1" t="str">
        <f t="shared" si="18"/>
        <v>Major</v>
      </c>
      <c r="AV120" s="1" t="str">
        <f t="shared" si="19"/>
        <v>12828179Sandeep S</v>
      </c>
      <c r="AW120" s="1" t="str">
        <f t="shared" si="20"/>
        <v>Major</v>
      </c>
      <c r="AX120" s="1">
        <f t="shared" si="21"/>
        <v>1</v>
      </c>
      <c r="AY120" s="1" t="s">
        <v>29</v>
      </c>
      <c r="AZ120" s="1" t="b">
        <v>1</v>
      </c>
      <c r="BA120" s="1">
        <f t="shared" si="22"/>
        <v>1</v>
      </c>
      <c r="BB120" s="1">
        <f t="shared" si="23"/>
        <v>1</v>
      </c>
      <c r="BC120" s="1" t="s">
        <v>478</v>
      </c>
      <c r="BD120" s="1" t="s">
        <v>43</v>
      </c>
      <c r="BE120" s="1" t="s">
        <v>98</v>
      </c>
      <c r="BF120" s="1" t="b">
        <v>1</v>
      </c>
      <c r="BG120" s="1" t="str">
        <f>VLOOKUP(AM120,Group!$C:$H,5,0)</f>
        <v>Others</v>
      </c>
      <c r="BH120" s="1" t="str">
        <f>VLOOKUP(P120,others!$C:$G,5,0)</f>
        <v>MTX - India</v>
      </c>
    </row>
    <row r="121" spans="1:60" x14ac:dyDescent="0.25">
      <c r="A121" s="14">
        <v>46092.571192129632</v>
      </c>
      <c r="B121" s="14">
        <v>46092.800358796296</v>
      </c>
      <c r="C121" s="14">
        <v>46098.790659722225</v>
      </c>
      <c r="D121" s="14">
        <v>46099.019826388889</v>
      </c>
      <c r="E121" s="14">
        <v>46098.617928240739</v>
      </c>
      <c r="F121" s="14">
        <v>46099.019826388889</v>
      </c>
      <c r="G121" t="s">
        <v>470</v>
      </c>
      <c r="H121">
        <v>701</v>
      </c>
      <c r="I121">
        <v>578.73329999999999</v>
      </c>
      <c r="J121" t="s">
        <v>104</v>
      </c>
      <c r="K121">
        <v>12828179</v>
      </c>
      <c r="L121" t="s">
        <v>1338</v>
      </c>
      <c r="M121" t="s">
        <v>129</v>
      </c>
      <c r="N121" t="s">
        <v>1343</v>
      </c>
      <c r="O121" t="s">
        <v>1300</v>
      </c>
      <c r="P121" t="s">
        <v>478</v>
      </c>
      <c r="Q121" t="s">
        <v>29</v>
      </c>
      <c r="R121" t="s">
        <v>25</v>
      </c>
      <c r="S121">
        <v>37.54</v>
      </c>
      <c r="T121">
        <v>99</v>
      </c>
      <c r="U121" t="s">
        <v>100</v>
      </c>
      <c r="V121">
        <v>2</v>
      </c>
      <c r="X121" t="s">
        <v>1344</v>
      </c>
      <c r="AA121">
        <v>1440</v>
      </c>
      <c r="AB121" t="s">
        <v>26</v>
      </c>
      <c r="AC121">
        <v>168</v>
      </c>
      <c r="AD121" t="s">
        <v>27</v>
      </c>
      <c r="AE121" t="s">
        <v>28</v>
      </c>
      <c r="AF121">
        <v>0</v>
      </c>
      <c r="AK121" s="12">
        <f t="shared" si="12"/>
        <v>46099</v>
      </c>
      <c r="AL121" s="1" t="str">
        <f t="shared" si="13"/>
        <v>Week12</v>
      </c>
      <c r="AM121" s="1" t="s">
        <v>135</v>
      </c>
      <c r="AN121" s="1" t="str">
        <f t="shared" si="14"/>
        <v>NoGo</v>
      </c>
      <c r="AO121" s="2">
        <f t="shared" si="15"/>
        <v>97.336174746936607</v>
      </c>
      <c r="AP121" s="1">
        <f t="shared" si="16"/>
        <v>0</v>
      </c>
      <c r="AQ121" s="1">
        <f t="shared" si="17"/>
        <v>1</v>
      </c>
      <c r="AR121" s="1" t="s">
        <v>96</v>
      </c>
      <c r="AS121" s="1" t="s">
        <v>96</v>
      </c>
      <c r="AT121" s="1" t="s">
        <v>96</v>
      </c>
      <c r="AU121" s="1" t="str">
        <f t="shared" si="18"/>
        <v>Minor</v>
      </c>
      <c r="AV121" s="1" t="str">
        <f t="shared" si="19"/>
        <v>12828179Sandeep S</v>
      </c>
      <c r="AW121" s="1" t="str">
        <f t="shared" si="20"/>
        <v>Minor</v>
      </c>
      <c r="AX121" s="1">
        <f t="shared" si="21"/>
        <v>0</v>
      </c>
      <c r="AY121" s="1" t="s">
        <v>29</v>
      </c>
      <c r="AZ121" s="1" t="b">
        <v>0</v>
      </c>
      <c r="BA121" s="1">
        <f t="shared" si="22"/>
        <v>1</v>
      </c>
      <c r="BB121" s="1">
        <f t="shared" si="23"/>
        <v>2</v>
      </c>
      <c r="BC121" s="1" t="s">
        <v>478</v>
      </c>
      <c r="BD121" s="1" t="s">
        <v>43</v>
      </c>
      <c r="BE121" s="1" t="s">
        <v>98</v>
      </c>
      <c r="BF121" s="1" t="b">
        <v>0</v>
      </c>
      <c r="BG121" s="1" t="str">
        <f>VLOOKUP(AM121,Group!$C:$H,5,0)</f>
        <v>Others</v>
      </c>
      <c r="BH121" s="1" t="str">
        <f>VLOOKUP(P121,others!$C:$G,5,0)</f>
        <v>MTX - India</v>
      </c>
    </row>
    <row r="122" spans="1:60" x14ac:dyDescent="0.25">
      <c r="A122" s="14">
        <v>46094.4221875</v>
      </c>
      <c r="B122" s="14">
        <v>46094.651354166665</v>
      </c>
      <c r="C122" s="14">
        <v>46099.233391203707</v>
      </c>
      <c r="D122" s="14">
        <v>46099.462557870371</v>
      </c>
      <c r="E122" s="14">
        <v>46099.023425925923</v>
      </c>
      <c r="F122" s="14">
        <v>46099.462557870371</v>
      </c>
      <c r="G122" t="s">
        <v>470</v>
      </c>
      <c r="H122">
        <v>500</v>
      </c>
      <c r="I122">
        <v>632.35</v>
      </c>
      <c r="J122" t="s">
        <v>104</v>
      </c>
      <c r="K122">
        <v>12828837</v>
      </c>
      <c r="L122" t="s">
        <v>1322</v>
      </c>
      <c r="M122" t="s">
        <v>174</v>
      </c>
      <c r="N122" t="s">
        <v>1323</v>
      </c>
      <c r="O122" t="s">
        <v>1350</v>
      </c>
      <c r="P122" t="s">
        <v>480</v>
      </c>
      <c r="Q122" t="s">
        <v>29</v>
      </c>
      <c r="R122" t="s">
        <v>25</v>
      </c>
      <c r="S122">
        <v>39.35</v>
      </c>
      <c r="T122">
        <v>99</v>
      </c>
      <c r="U122" t="s">
        <v>471</v>
      </c>
      <c r="V122">
        <v>1</v>
      </c>
      <c r="X122" t="s">
        <v>1324</v>
      </c>
      <c r="AA122">
        <v>720</v>
      </c>
      <c r="AB122" t="s">
        <v>1267</v>
      </c>
      <c r="AC122">
        <v>142</v>
      </c>
      <c r="AD122" t="s">
        <v>27</v>
      </c>
      <c r="AE122" t="s">
        <v>28</v>
      </c>
      <c r="AF122">
        <v>1</v>
      </c>
      <c r="AK122" s="12">
        <f t="shared" si="12"/>
        <v>46099</v>
      </c>
      <c r="AL122" s="1" t="str">
        <f t="shared" si="13"/>
        <v>Week12</v>
      </c>
      <c r="AM122" s="1" t="s">
        <v>189</v>
      </c>
      <c r="AN122" s="1" t="str">
        <f t="shared" si="14"/>
        <v>NoGo</v>
      </c>
      <c r="AO122" s="2">
        <f t="shared" si="15"/>
        <v>97.458703939008899</v>
      </c>
      <c r="AP122" s="1">
        <f t="shared" si="16"/>
        <v>1</v>
      </c>
      <c r="AQ122" s="1">
        <f t="shared" si="17"/>
        <v>1</v>
      </c>
      <c r="AR122" s="1" t="s">
        <v>96</v>
      </c>
      <c r="AS122" s="1" t="s">
        <v>96</v>
      </c>
      <c r="AT122" s="1" t="s">
        <v>96</v>
      </c>
      <c r="AU122" s="1" t="str">
        <f t="shared" si="18"/>
        <v>Major</v>
      </c>
      <c r="AV122" s="1" t="str">
        <f t="shared" si="19"/>
        <v>12828837Savitha Arun</v>
      </c>
      <c r="AW122" s="1" t="str">
        <f t="shared" si="20"/>
        <v>Major</v>
      </c>
      <c r="AX122" s="1">
        <f t="shared" si="21"/>
        <v>1</v>
      </c>
      <c r="AY122" s="1" t="s">
        <v>29</v>
      </c>
      <c r="AZ122" s="1" t="b">
        <v>0</v>
      </c>
      <c r="BA122" s="1">
        <f t="shared" si="22"/>
        <v>1</v>
      </c>
      <c r="BB122" s="1">
        <f t="shared" si="23"/>
        <v>1</v>
      </c>
      <c r="BC122" s="1" t="s">
        <v>99</v>
      </c>
      <c r="BD122" s="1" t="s">
        <v>1269</v>
      </c>
      <c r="BE122" s="1" t="s">
        <v>98</v>
      </c>
      <c r="BF122" s="1" t="b">
        <v>0</v>
      </c>
      <c r="BG122" s="1" t="str">
        <f>VLOOKUP(AM122,Group!$C:$H,5,0)</f>
        <v>Others</v>
      </c>
      <c r="BH122" s="1" t="str">
        <f>VLOOKUP(P122,others!$C:$G,5,0)</f>
        <v>QA - India</v>
      </c>
    </row>
    <row r="123" spans="1:60" x14ac:dyDescent="0.25">
      <c r="A123" s="14">
        <v>46093.445254629631</v>
      </c>
      <c r="B123" s="14">
        <v>46093.674421296295</v>
      </c>
      <c r="C123" s="14">
        <v>46099.234259259261</v>
      </c>
      <c r="D123" s="14">
        <v>46099.463425925926</v>
      </c>
      <c r="E123" s="14">
        <v>46099.023148148146</v>
      </c>
      <c r="F123" s="14">
        <v>46099.463425925926</v>
      </c>
      <c r="G123" t="s">
        <v>470</v>
      </c>
      <c r="H123">
        <v>37</v>
      </c>
      <c r="I123">
        <v>634</v>
      </c>
      <c r="J123" t="s">
        <v>104</v>
      </c>
      <c r="K123">
        <v>12828486</v>
      </c>
      <c r="L123" t="s">
        <v>1346</v>
      </c>
      <c r="M123" t="s">
        <v>106</v>
      </c>
      <c r="N123" t="s">
        <v>97</v>
      </c>
      <c r="O123" t="s">
        <v>455</v>
      </c>
      <c r="P123" t="s">
        <v>99</v>
      </c>
      <c r="Q123" t="s">
        <v>29</v>
      </c>
      <c r="R123" t="s">
        <v>25</v>
      </c>
      <c r="S123">
        <v>7.55</v>
      </c>
      <c r="T123">
        <v>100</v>
      </c>
      <c r="V123">
        <v>0</v>
      </c>
      <c r="X123" t="s">
        <v>1347</v>
      </c>
      <c r="AA123">
        <v>360</v>
      </c>
      <c r="AB123" t="s">
        <v>26</v>
      </c>
      <c r="AC123">
        <v>31</v>
      </c>
      <c r="AD123" t="s">
        <v>27</v>
      </c>
      <c r="AE123" t="s">
        <v>28</v>
      </c>
      <c r="AF123">
        <v>0</v>
      </c>
      <c r="AK123" s="12">
        <f t="shared" si="12"/>
        <v>46099</v>
      </c>
      <c r="AL123" s="1" t="str">
        <f t="shared" si="13"/>
        <v>Week12</v>
      </c>
      <c r="AM123" s="1" t="s">
        <v>108</v>
      </c>
      <c r="AN123" s="1" t="str">
        <f t="shared" si="14"/>
        <v>Go</v>
      </c>
      <c r="AO123" s="2">
        <f t="shared" si="15"/>
        <v>100</v>
      </c>
      <c r="AP123" s="1">
        <f t="shared" si="16"/>
        <v>0</v>
      </c>
      <c r="AQ123" s="1">
        <f t="shared" si="17"/>
        <v>0</v>
      </c>
      <c r="AR123" s="1" t="s">
        <v>93</v>
      </c>
      <c r="AS123" s="1" t="s">
        <v>96</v>
      </c>
      <c r="AT123" s="1" t="s">
        <v>96</v>
      </c>
      <c r="AU123" s="1" t="str">
        <f t="shared" si="18"/>
        <v/>
      </c>
      <c r="AV123" s="1" t="str">
        <f t="shared" si="19"/>
        <v>12828486Gopal Rajith</v>
      </c>
      <c r="AW123" s="1" t="str">
        <f t="shared" si="20"/>
        <v/>
      </c>
      <c r="AX123" s="1" t="str">
        <f t="shared" si="21"/>
        <v/>
      </c>
      <c r="AY123" s="1" t="s">
        <v>29</v>
      </c>
      <c r="AZ123" s="1" t="b">
        <v>0</v>
      </c>
      <c r="BA123" s="1" t="str">
        <f t="shared" si="22"/>
        <v/>
      </c>
      <c r="BB123" s="1">
        <f t="shared" si="23"/>
        <v>0</v>
      </c>
      <c r="BC123" s="1" t="s">
        <v>99</v>
      </c>
      <c r="BD123" s="1" t="s">
        <v>43</v>
      </c>
      <c r="BE123" s="1" t="s">
        <v>98</v>
      </c>
      <c r="BF123" s="1" t="b">
        <v>0</v>
      </c>
      <c r="BG123" s="1" t="str">
        <f>VLOOKUP(AM123,Group!$C:$H,5,0)</f>
        <v>Top 25</v>
      </c>
      <c r="BH123" s="1" t="str">
        <f>VLOOKUP(P123,others!$C:$G,5,0)</f>
        <v>MTx-India</v>
      </c>
    </row>
    <row r="124" spans="1:60" x14ac:dyDescent="0.25">
      <c r="A124" s="14">
        <v>46091.424212962964</v>
      </c>
      <c r="B124" s="14">
        <v>46091.653379629628</v>
      </c>
      <c r="C124" s="14">
        <v>46099.238252314812</v>
      </c>
      <c r="D124" s="14">
        <v>46099.467418981483</v>
      </c>
      <c r="E124" s="14">
        <v>46097.456736111111</v>
      </c>
      <c r="F124" s="14">
        <v>46099.467418981483</v>
      </c>
      <c r="G124" t="s">
        <v>470</v>
      </c>
      <c r="H124">
        <v>574</v>
      </c>
      <c r="I124">
        <v>2895.3833</v>
      </c>
      <c r="J124" t="s">
        <v>104</v>
      </c>
      <c r="K124">
        <v>12827653</v>
      </c>
      <c r="L124" t="s">
        <v>1363</v>
      </c>
      <c r="M124" t="s">
        <v>144</v>
      </c>
      <c r="N124" t="s">
        <v>97</v>
      </c>
      <c r="O124" t="s">
        <v>1350</v>
      </c>
      <c r="P124" t="s">
        <v>480</v>
      </c>
      <c r="Q124" t="s">
        <v>29</v>
      </c>
      <c r="R124" t="s">
        <v>25</v>
      </c>
      <c r="S124">
        <v>22.11</v>
      </c>
      <c r="T124">
        <v>100</v>
      </c>
      <c r="V124">
        <v>0</v>
      </c>
      <c r="X124" t="s">
        <v>1270</v>
      </c>
      <c r="AA124">
        <v>720</v>
      </c>
      <c r="AB124" t="s">
        <v>26</v>
      </c>
      <c r="AC124">
        <v>137</v>
      </c>
      <c r="AD124" t="s">
        <v>27</v>
      </c>
      <c r="AE124" t="s">
        <v>28</v>
      </c>
      <c r="AF124">
        <v>0</v>
      </c>
      <c r="AK124" s="12">
        <f t="shared" si="12"/>
        <v>46099</v>
      </c>
      <c r="AL124" s="1" t="str">
        <f t="shared" si="13"/>
        <v>Week12</v>
      </c>
      <c r="AM124" s="1" t="s">
        <v>148</v>
      </c>
      <c r="AN124" s="1" t="str">
        <f t="shared" si="14"/>
        <v>Go</v>
      </c>
      <c r="AO124" s="2">
        <f t="shared" si="15"/>
        <v>100</v>
      </c>
      <c r="AP124" s="1">
        <f t="shared" si="16"/>
        <v>0</v>
      </c>
      <c r="AQ124" s="1">
        <f t="shared" si="17"/>
        <v>0</v>
      </c>
      <c r="AR124" s="1" t="s">
        <v>93</v>
      </c>
      <c r="AS124" s="1" t="s">
        <v>96</v>
      </c>
      <c r="AT124" s="1" t="s">
        <v>96</v>
      </c>
      <c r="AU124" s="1" t="str">
        <f t="shared" si="18"/>
        <v/>
      </c>
      <c r="AV124" s="1" t="str">
        <f t="shared" si="19"/>
        <v>12827653Savitha Arun</v>
      </c>
      <c r="AW124" s="1" t="str">
        <f t="shared" si="20"/>
        <v/>
      </c>
      <c r="AX124" s="1" t="str">
        <f t="shared" si="21"/>
        <v/>
      </c>
      <c r="AY124" s="1" t="s">
        <v>29</v>
      </c>
      <c r="AZ124" s="1" t="b">
        <v>0</v>
      </c>
      <c r="BA124" s="1" t="str">
        <f t="shared" si="22"/>
        <v/>
      </c>
      <c r="BB124" s="1">
        <f t="shared" si="23"/>
        <v>0</v>
      </c>
      <c r="BC124" s="1" t="s">
        <v>99</v>
      </c>
      <c r="BD124" s="1" t="s">
        <v>1269</v>
      </c>
      <c r="BE124" s="1" t="s">
        <v>98</v>
      </c>
      <c r="BF124" s="1" t="b">
        <v>0</v>
      </c>
      <c r="BG124" s="1" t="str">
        <f>VLOOKUP(AM124,Group!$C:$H,5,0)</f>
        <v>Others</v>
      </c>
      <c r="BH124" s="1" t="str">
        <f>VLOOKUP(P124,others!$C:$G,5,0)</f>
        <v>QA - India</v>
      </c>
    </row>
    <row r="125" spans="1:60" x14ac:dyDescent="0.25">
      <c r="A125" s="14">
        <v>46091.568715277775</v>
      </c>
      <c r="B125" s="14">
        <v>46091.797881944447</v>
      </c>
      <c r="C125" s="14">
        <v>46099.240613425929</v>
      </c>
      <c r="D125" s="14">
        <v>46099.469780092593</v>
      </c>
      <c r="E125" s="14">
        <v>46097.45689814815</v>
      </c>
      <c r="F125" s="14">
        <v>46099.469780092593</v>
      </c>
      <c r="G125" t="s">
        <v>470</v>
      </c>
      <c r="H125">
        <v>209</v>
      </c>
      <c r="I125">
        <v>2898.55</v>
      </c>
      <c r="J125" t="s">
        <v>104</v>
      </c>
      <c r="K125">
        <v>12827708</v>
      </c>
      <c r="L125" t="s">
        <v>1363</v>
      </c>
      <c r="M125" t="s">
        <v>144</v>
      </c>
      <c r="N125" t="s">
        <v>97</v>
      </c>
      <c r="O125" t="s">
        <v>131</v>
      </c>
      <c r="P125" t="s">
        <v>132</v>
      </c>
      <c r="Q125" t="s">
        <v>1328</v>
      </c>
      <c r="R125" t="s">
        <v>25</v>
      </c>
      <c r="S125">
        <v>25.38</v>
      </c>
      <c r="T125">
        <v>100</v>
      </c>
      <c r="V125">
        <v>0</v>
      </c>
      <c r="X125" t="s">
        <v>1270</v>
      </c>
      <c r="AA125">
        <v>720</v>
      </c>
      <c r="AB125" t="s">
        <v>26</v>
      </c>
      <c r="AC125">
        <v>150</v>
      </c>
      <c r="AD125" t="s">
        <v>27</v>
      </c>
      <c r="AE125" t="s">
        <v>28</v>
      </c>
      <c r="AF125">
        <v>0</v>
      </c>
      <c r="AK125" s="12">
        <f t="shared" si="12"/>
        <v>46099</v>
      </c>
      <c r="AL125" s="1" t="str">
        <f t="shared" si="13"/>
        <v>Week12</v>
      </c>
      <c r="AM125" s="1" t="s">
        <v>148</v>
      </c>
      <c r="AN125" s="1" t="str">
        <f t="shared" si="14"/>
        <v>Go</v>
      </c>
      <c r="AO125" s="2">
        <f t="shared" si="15"/>
        <v>100</v>
      </c>
      <c r="AP125" s="1">
        <f t="shared" si="16"/>
        <v>0</v>
      </c>
      <c r="AQ125" s="1">
        <f t="shared" si="17"/>
        <v>0</v>
      </c>
      <c r="AR125" s="1" t="s">
        <v>93</v>
      </c>
      <c r="AS125" s="1" t="s">
        <v>96</v>
      </c>
      <c r="AT125" s="1" t="s">
        <v>96</v>
      </c>
      <c r="AU125" s="1" t="str">
        <f t="shared" si="18"/>
        <v/>
      </c>
      <c r="AV125" s="1" t="str">
        <f t="shared" si="19"/>
        <v>12827708Pratheep Kumar</v>
      </c>
      <c r="AW125" s="1" t="str">
        <f t="shared" si="20"/>
        <v/>
      </c>
      <c r="AX125" s="1" t="str">
        <f t="shared" si="21"/>
        <v/>
      </c>
      <c r="AY125" s="1" t="s">
        <v>29</v>
      </c>
      <c r="AZ125" s="1" t="b">
        <v>0</v>
      </c>
      <c r="BA125" s="1" t="str">
        <f t="shared" si="22"/>
        <v/>
      </c>
      <c r="BB125" s="1">
        <f t="shared" si="23"/>
        <v>0</v>
      </c>
      <c r="BC125" s="1" t="s">
        <v>132</v>
      </c>
      <c r="BD125" s="1" t="s">
        <v>43</v>
      </c>
      <c r="BE125" s="1" t="s">
        <v>98</v>
      </c>
      <c r="BF125" s="1" t="b">
        <v>0</v>
      </c>
      <c r="BG125" s="1" t="str">
        <f>VLOOKUP(AM125,Group!$C:$H,5,0)</f>
        <v>Others</v>
      </c>
      <c r="BH125" s="1" t="str">
        <f>VLOOKUP(P125,others!$C:$G,5,0)</f>
        <v>MT - India</v>
      </c>
    </row>
    <row r="126" spans="1:60" x14ac:dyDescent="0.25">
      <c r="A126" s="14">
        <v>46091.681851851848</v>
      </c>
      <c r="B126" s="14">
        <v>46091.91101851852</v>
      </c>
      <c r="C126" s="14">
        <v>46099.24423611111</v>
      </c>
      <c r="D126" s="14">
        <v>46099.473402777781</v>
      </c>
      <c r="E126" s="14">
        <v>46099.022719907407</v>
      </c>
      <c r="F126" s="14">
        <v>46099.473402777781</v>
      </c>
      <c r="G126" t="s">
        <v>470</v>
      </c>
      <c r="H126">
        <v>301</v>
      </c>
      <c r="I126">
        <v>648.98329999999999</v>
      </c>
      <c r="J126" t="s">
        <v>104</v>
      </c>
      <c r="K126">
        <v>12827748</v>
      </c>
      <c r="L126" t="s">
        <v>1327</v>
      </c>
      <c r="M126" t="s">
        <v>136</v>
      </c>
      <c r="N126" t="s">
        <v>88</v>
      </c>
      <c r="O126" t="s">
        <v>465</v>
      </c>
      <c r="P126" t="s">
        <v>153</v>
      </c>
      <c r="Q126" t="s">
        <v>1328</v>
      </c>
      <c r="R126" t="s">
        <v>25</v>
      </c>
      <c r="S126">
        <v>141.4</v>
      </c>
      <c r="T126">
        <v>100</v>
      </c>
      <c r="V126">
        <v>0</v>
      </c>
      <c r="X126" t="s">
        <v>1329</v>
      </c>
      <c r="AA126">
        <v>1440</v>
      </c>
      <c r="AB126" t="s">
        <v>26</v>
      </c>
      <c r="AC126">
        <v>358</v>
      </c>
      <c r="AD126" t="s">
        <v>27</v>
      </c>
      <c r="AE126" t="s">
        <v>28</v>
      </c>
      <c r="AF126">
        <v>0</v>
      </c>
      <c r="AK126" s="12">
        <f t="shared" si="12"/>
        <v>46099</v>
      </c>
      <c r="AL126" s="1" t="str">
        <f t="shared" si="13"/>
        <v>Week12</v>
      </c>
      <c r="AM126" s="1" t="s">
        <v>138</v>
      </c>
      <c r="AN126" s="1" t="str">
        <f t="shared" si="14"/>
        <v>Go</v>
      </c>
      <c r="AO126" s="2">
        <f t="shared" si="15"/>
        <v>100</v>
      </c>
      <c r="AP126" s="1">
        <f t="shared" si="16"/>
        <v>0</v>
      </c>
      <c r="AQ126" s="1">
        <f t="shared" si="17"/>
        <v>0</v>
      </c>
      <c r="AR126" s="1" t="s">
        <v>96</v>
      </c>
      <c r="AS126" s="1" t="s">
        <v>96</v>
      </c>
      <c r="AT126" s="1" t="s">
        <v>96</v>
      </c>
      <c r="AU126" s="1" t="str">
        <f t="shared" si="18"/>
        <v/>
      </c>
      <c r="AV126" s="1" t="str">
        <f t="shared" si="19"/>
        <v>12827748Sivasankari A</v>
      </c>
      <c r="AW126" s="1" t="str">
        <f t="shared" si="20"/>
        <v/>
      </c>
      <c r="AX126" s="1" t="str">
        <f t="shared" si="21"/>
        <v/>
      </c>
      <c r="AY126" s="1" t="s">
        <v>29</v>
      </c>
      <c r="AZ126" s="1" t="b">
        <v>0</v>
      </c>
      <c r="BA126" s="1" t="str">
        <f t="shared" si="22"/>
        <v/>
      </c>
      <c r="BB126" s="1">
        <f t="shared" si="23"/>
        <v>0</v>
      </c>
      <c r="BC126" s="1" t="s">
        <v>153</v>
      </c>
      <c r="BD126" s="1" t="s">
        <v>43</v>
      </c>
      <c r="BE126" s="1" t="s">
        <v>98</v>
      </c>
      <c r="BF126" s="1" t="b">
        <v>0</v>
      </c>
      <c r="BG126" s="1" t="str">
        <f>VLOOKUP(AM126,Group!$C:$H,5,0)</f>
        <v>Top 25</v>
      </c>
      <c r="BH126" s="1" t="str">
        <f>VLOOKUP(P126,others!$C:$G,5,0)</f>
        <v>VR QA - India</v>
      </c>
    </row>
    <row r="127" spans="1:60" x14ac:dyDescent="0.25">
      <c r="A127" s="14">
        <v>46094.696504629632</v>
      </c>
      <c r="B127" s="14">
        <v>46094.925671296296</v>
      </c>
      <c r="C127" s="14">
        <v>46099.246967592589</v>
      </c>
      <c r="D127" s="14">
        <v>46099.476134259261</v>
      </c>
      <c r="E127" s="14">
        <v>46099.023252314815</v>
      </c>
      <c r="F127" s="14">
        <v>46099.476134259261</v>
      </c>
      <c r="G127" t="s">
        <v>470</v>
      </c>
      <c r="H127">
        <v>217</v>
      </c>
      <c r="I127">
        <v>652.15</v>
      </c>
      <c r="J127" t="s">
        <v>104</v>
      </c>
      <c r="K127">
        <v>12829024</v>
      </c>
      <c r="L127" t="s">
        <v>1248</v>
      </c>
      <c r="M127" t="s">
        <v>101</v>
      </c>
      <c r="N127" t="s">
        <v>88</v>
      </c>
      <c r="O127" t="s">
        <v>131</v>
      </c>
      <c r="P127" t="s">
        <v>132</v>
      </c>
      <c r="Q127" t="s">
        <v>1328</v>
      </c>
      <c r="R127" t="s">
        <v>25</v>
      </c>
      <c r="S127">
        <v>30.49</v>
      </c>
      <c r="T127">
        <v>99</v>
      </c>
      <c r="U127" t="s">
        <v>472</v>
      </c>
      <c r="V127">
        <v>1</v>
      </c>
      <c r="X127" t="s">
        <v>469</v>
      </c>
      <c r="AA127">
        <v>1440</v>
      </c>
      <c r="AB127" t="s">
        <v>26</v>
      </c>
      <c r="AC127">
        <v>106</v>
      </c>
      <c r="AD127" t="s">
        <v>27</v>
      </c>
      <c r="AE127" t="s">
        <v>28</v>
      </c>
      <c r="AF127">
        <v>0</v>
      </c>
      <c r="AK127" s="12">
        <f t="shared" si="12"/>
        <v>46099</v>
      </c>
      <c r="AL127" s="1" t="str">
        <f t="shared" si="13"/>
        <v>Week12</v>
      </c>
      <c r="AM127" s="1" t="s">
        <v>102</v>
      </c>
      <c r="AN127" s="1" t="str">
        <f t="shared" si="14"/>
        <v>NoGo</v>
      </c>
      <c r="AO127" s="2">
        <f t="shared" si="15"/>
        <v>96.720236142997706</v>
      </c>
      <c r="AP127" s="1">
        <f t="shared" si="16"/>
        <v>1</v>
      </c>
      <c r="AQ127" s="1">
        <f t="shared" si="17"/>
        <v>1</v>
      </c>
      <c r="AR127" s="1" t="s">
        <v>95</v>
      </c>
      <c r="AS127" s="1" t="s">
        <v>96</v>
      </c>
      <c r="AT127" s="1" t="s">
        <v>96</v>
      </c>
      <c r="AU127" s="1" t="str">
        <f t="shared" si="18"/>
        <v>Major</v>
      </c>
      <c r="AV127" s="1" t="str">
        <f t="shared" si="19"/>
        <v>12829024Pratheep Kumar</v>
      </c>
      <c r="AW127" s="1" t="str">
        <f t="shared" si="20"/>
        <v>Major</v>
      </c>
      <c r="AX127" s="1">
        <f t="shared" si="21"/>
        <v>1</v>
      </c>
      <c r="AY127" s="1" t="s">
        <v>29</v>
      </c>
      <c r="AZ127" s="1" t="b">
        <v>1</v>
      </c>
      <c r="BA127" s="1">
        <f t="shared" si="22"/>
        <v>1</v>
      </c>
      <c r="BB127" s="1">
        <f t="shared" si="23"/>
        <v>1</v>
      </c>
      <c r="BC127" s="1" t="s">
        <v>132</v>
      </c>
      <c r="BD127" s="1" t="s">
        <v>43</v>
      </c>
      <c r="BE127" s="1" t="s">
        <v>98</v>
      </c>
      <c r="BF127" s="1" t="b">
        <v>1</v>
      </c>
      <c r="BG127" s="1" t="str">
        <f>VLOOKUP(AM127,Group!$C:$H,5,0)</f>
        <v>Top 25</v>
      </c>
      <c r="BH127" s="1" t="str">
        <f>VLOOKUP(P127,others!$C:$G,5,0)</f>
        <v>MT - India</v>
      </c>
    </row>
    <row r="128" spans="1:60" x14ac:dyDescent="0.25">
      <c r="A128" s="14">
        <v>46094.696504629632</v>
      </c>
      <c r="B128" s="14">
        <v>46094.925671296296</v>
      </c>
      <c r="C128" s="14">
        <v>46099.246967592589</v>
      </c>
      <c r="D128" s="14">
        <v>46099.476134259261</v>
      </c>
      <c r="E128" s="14">
        <v>46099.023252314815</v>
      </c>
      <c r="F128" s="14">
        <v>46099.476134259261</v>
      </c>
      <c r="G128" t="s">
        <v>470</v>
      </c>
      <c r="H128">
        <v>217</v>
      </c>
      <c r="I128">
        <v>652.15</v>
      </c>
      <c r="J128" t="s">
        <v>104</v>
      </c>
      <c r="K128">
        <v>12829024</v>
      </c>
      <c r="L128" t="s">
        <v>1248</v>
      </c>
      <c r="M128" t="s">
        <v>101</v>
      </c>
      <c r="N128" t="s">
        <v>88</v>
      </c>
      <c r="O128" t="s">
        <v>131</v>
      </c>
      <c r="P128" t="s">
        <v>132</v>
      </c>
      <c r="Q128" t="s">
        <v>1328</v>
      </c>
      <c r="R128" t="s">
        <v>25</v>
      </c>
      <c r="S128">
        <v>30.49</v>
      </c>
      <c r="T128">
        <v>99</v>
      </c>
      <c r="U128" t="s">
        <v>100</v>
      </c>
      <c r="V128">
        <v>1</v>
      </c>
      <c r="X128" t="s">
        <v>469</v>
      </c>
      <c r="AA128">
        <v>1440</v>
      </c>
      <c r="AB128" t="s">
        <v>26</v>
      </c>
      <c r="AC128">
        <v>106</v>
      </c>
      <c r="AD128" t="s">
        <v>27</v>
      </c>
      <c r="AE128" t="s">
        <v>28</v>
      </c>
      <c r="AF128">
        <v>0</v>
      </c>
      <c r="AK128" s="12">
        <f t="shared" si="12"/>
        <v>46099</v>
      </c>
      <c r="AL128" s="1" t="str">
        <f t="shared" si="13"/>
        <v>Week12</v>
      </c>
      <c r="AM128" s="1" t="s">
        <v>102</v>
      </c>
      <c r="AN128" s="1" t="str">
        <f t="shared" si="14"/>
        <v>NoGo</v>
      </c>
      <c r="AO128" s="2">
        <f t="shared" si="15"/>
        <v>96.720236142997706</v>
      </c>
      <c r="AP128" s="1">
        <f t="shared" si="16"/>
        <v>0</v>
      </c>
      <c r="AQ128" s="1">
        <f t="shared" si="17"/>
        <v>1</v>
      </c>
      <c r="AR128" s="1" t="s">
        <v>95</v>
      </c>
      <c r="AS128" s="1" t="s">
        <v>96</v>
      </c>
      <c r="AT128" s="1" t="s">
        <v>96</v>
      </c>
      <c r="AU128" s="1" t="str">
        <f t="shared" si="18"/>
        <v>Minor</v>
      </c>
      <c r="AV128" s="1" t="str">
        <f t="shared" si="19"/>
        <v>12829024Pratheep Kumar</v>
      </c>
      <c r="AW128" s="1" t="str">
        <f t="shared" si="20"/>
        <v>Minor</v>
      </c>
      <c r="AX128" s="1">
        <f t="shared" si="21"/>
        <v>0</v>
      </c>
      <c r="AY128" s="1" t="s">
        <v>29</v>
      </c>
      <c r="AZ128" s="1" t="b">
        <v>0</v>
      </c>
      <c r="BA128" s="1">
        <f t="shared" si="22"/>
        <v>1</v>
      </c>
      <c r="BB128" s="1">
        <f t="shared" si="23"/>
        <v>1</v>
      </c>
      <c r="BC128" s="1" t="s">
        <v>132</v>
      </c>
      <c r="BD128" s="1" t="s">
        <v>43</v>
      </c>
      <c r="BE128" s="1" t="s">
        <v>98</v>
      </c>
      <c r="BF128" s="1" t="b">
        <v>0</v>
      </c>
      <c r="BG128" s="1" t="str">
        <f>VLOOKUP(AM128,Group!$C:$H,5,0)</f>
        <v>Top 25</v>
      </c>
      <c r="BH128" s="1" t="str">
        <f>VLOOKUP(P128,others!$C:$G,5,0)</f>
        <v>MT - India</v>
      </c>
    </row>
    <row r="129" spans="1:60" x14ac:dyDescent="0.25">
      <c r="A129" s="14">
        <v>46093.7109837963</v>
      </c>
      <c r="B129" s="14">
        <v>46093.940150462964</v>
      </c>
      <c r="C129" s="14">
        <v>46099.260011574072</v>
      </c>
      <c r="D129" s="14">
        <v>46099.489178240743</v>
      </c>
      <c r="E129" s="14">
        <v>46099.022557870368</v>
      </c>
      <c r="F129" s="14">
        <v>46099.489178240743</v>
      </c>
      <c r="G129" t="s">
        <v>470</v>
      </c>
      <c r="H129">
        <v>2246</v>
      </c>
      <c r="I129">
        <v>671.93330000000003</v>
      </c>
      <c r="J129" t="s">
        <v>104</v>
      </c>
      <c r="K129">
        <v>12828583</v>
      </c>
      <c r="L129" t="s">
        <v>1327</v>
      </c>
      <c r="M129" t="s">
        <v>136</v>
      </c>
      <c r="N129" t="s">
        <v>88</v>
      </c>
      <c r="O129" t="s">
        <v>465</v>
      </c>
      <c r="P129" t="s">
        <v>153</v>
      </c>
      <c r="Q129" t="s">
        <v>1328</v>
      </c>
      <c r="R129" t="s">
        <v>25</v>
      </c>
      <c r="S129">
        <v>146.97999999999999</v>
      </c>
      <c r="T129">
        <v>100</v>
      </c>
      <c r="U129" t="s">
        <v>100</v>
      </c>
      <c r="V129">
        <v>1</v>
      </c>
      <c r="X129" t="s">
        <v>1329</v>
      </c>
      <c r="AA129">
        <v>1440</v>
      </c>
      <c r="AB129" t="s">
        <v>26</v>
      </c>
      <c r="AC129">
        <v>1116</v>
      </c>
      <c r="AD129" t="s">
        <v>27</v>
      </c>
      <c r="AE129" t="s">
        <v>28</v>
      </c>
      <c r="AF129">
        <v>0</v>
      </c>
      <c r="AK129" s="12">
        <f t="shared" si="12"/>
        <v>46099</v>
      </c>
      <c r="AL129" s="1" t="str">
        <f t="shared" si="13"/>
        <v>Week12</v>
      </c>
      <c r="AM129" s="1" t="s">
        <v>138</v>
      </c>
      <c r="AN129" s="1" t="str">
        <f t="shared" si="14"/>
        <v>Go</v>
      </c>
      <c r="AO129" s="2">
        <f t="shared" si="15"/>
        <v>100</v>
      </c>
      <c r="AP129" s="1">
        <f t="shared" si="16"/>
        <v>0</v>
      </c>
      <c r="AQ129" s="1">
        <f t="shared" si="17"/>
        <v>0</v>
      </c>
      <c r="AR129" s="1" t="s">
        <v>96</v>
      </c>
      <c r="AS129" s="1" t="s">
        <v>96</v>
      </c>
      <c r="AT129" s="1" t="s">
        <v>96</v>
      </c>
      <c r="AU129" s="1" t="str">
        <f t="shared" si="18"/>
        <v>Minor</v>
      </c>
      <c r="AV129" s="1" t="str">
        <f t="shared" si="19"/>
        <v>12828583Sivasankari A</v>
      </c>
      <c r="AW129" s="1" t="str">
        <f t="shared" si="20"/>
        <v>Minor</v>
      </c>
      <c r="AX129" s="1">
        <f t="shared" si="21"/>
        <v>0</v>
      </c>
      <c r="AY129" s="1" t="s">
        <v>29</v>
      </c>
      <c r="AZ129" s="1" t="b">
        <v>0</v>
      </c>
      <c r="BA129" s="1">
        <f t="shared" si="22"/>
        <v>1</v>
      </c>
      <c r="BB129" s="1">
        <f t="shared" si="23"/>
        <v>1</v>
      </c>
      <c r="BC129" s="1" t="s">
        <v>153</v>
      </c>
      <c r="BD129" s="1" t="s">
        <v>43</v>
      </c>
      <c r="BE129" s="1" t="s">
        <v>98</v>
      </c>
      <c r="BF129" s="1" t="b">
        <v>0</v>
      </c>
      <c r="BG129" s="1" t="str">
        <f>VLOOKUP(AM129,Group!$C:$H,5,0)</f>
        <v>Top 25</v>
      </c>
      <c r="BH129" s="1" t="str">
        <f>VLOOKUP(P129,others!$C:$G,5,0)</f>
        <v>VR QA - India</v>
      </c>
    </row>
    <row r="130" spans="1:60" x14ac:dyDescent="0.25">
      <c r="A130" s="14">
        <v>46092.679583333331</v>
      </c>
      <c r="B130" s="14">
        <v>46092.908750000002</v>
      </c>
      <c r="C130" s="14">
        <v>46099.284097222226</v>
      </c>
      <c r="D130" s="14">
        <v>46099.51326388889</v>
      </c>
      <c r="E130" s="14">
        <v>46099.022800925923</v>
      </c>
      <c r="F130" s="14">
        <v>46099.51326388889</v>
      </c>
      <c r="G130" t="s">
        <v>470</v>
      </c>
      <c r="H130">
        <v>451</v>
      </c>
      <c r="I130">
        <v>706.26670000000001</v>
      </c>
      <c r="J130" t="s">
        <v>104</v>
      </c>
      <c r="K130">
        <v>12828158</v>
      </c>
      <c r="L130" t="s">
        <v>1334</v>
      </c>
      <c r="M130" t="s">
        <v>136</v>
      </c>
      <c r="N130" t="s">
        <v>88</v>
      </c>
      <c r="O130" t="s">
        <v>465</v>
      </c>
      <c r="P130" t="s">
        <v>153</v>
      </c>
      <c r="Q130" t="s">
        <v>1328</v>
      </c>
      <c r="R130" t="s">
        <v>25</v>
      </c>
      <c r="S130">
        <v>91.08</v>
      </c>
      <c r="T130">
        <v>100</v>
      </c>
      <c r="V130">
        <v>0</v>
      </c>
      <c r="X130" t="s">
        <v>1335</v>
      </c>
      <c r="AA130">
        <v>1440</v>
      </c>
      <c r="AB130" t="s">
        <v>26</v>
      </c>
      <c r="AC130">
        <v>391</v>
      </c>
      <c r="AD130" t="s">
        <v>27</v>
      </c>
      <c r="AE130" t="s">
        <v>28</v>
      </c>
      <c r="AF130">
        <v>0</v>
      </c>
      <c r="AK130" s="12">
        <f t="shared" ref="AK130:AK193" si="24">INT(D130)</f>
        <v>46099</v>
      </c>
      <c r="AL130" s="1" t="str">
        <f t="shared" ref="AL130:AL193" si="25">"Week"&amp;WEEKNUM(D130)</f>
        <v>Week12</v>
      </c>
      <c r="AM130" s="1" t="s">
        <v>138</v>
      </c>
      <c r="AN130" s="1" t="str">
        <f t="shared" ref="AN130:AN193" si="26">IF(AO130&gt;98.5,"Go","NoGo")</f>
        <v>Go</v>
      </c>
      <c r="AO130" s="2">
        <f t="shared" ref="AO130:AO193" si="27">100-(AQ130/S130*100)</f>
        <v>100</v>
      </c>
      <c r="AP130" s="1">
        <f t="shared" ref="AP130:AP193" si="28">IFERROR(AX130*V130,0)</f>
        <v>0</v>
      </c>
      <c r="AQ130" s="1">
        <f t="shared" ref="AQ130:AQ193" si="29">100-T130</f>
        <v>0</v>
      </c>
      <c r="AR130" s="1" t="s">
        <v>96</v>
      </c>
      <c r="AS130" s="1" t="s">
        <v>96</v>
      </c>
      <c r="AT130" s="1" t="s">
        <v>96</v>
      </c>
      <c r="AU130" s="1" t="str">
        <f t="shared" ref="AU130:AU193" si="30">IF(AX130="","",IF(AX130=1,"Major",IF(AX130=3,"Critical",IF(AX130=0,"Minor",""))))</f>
        <v/>
      </c>
      <c r="AV130" s="1" t="str">
        <f t="shared" ref="AV130:AV193" si="31">K130&amp;P130</f>
        <v>12828158Sivasankari A</v>
      </c>
      <c r="AW130" s="1" t="str">
        <f t="shared" ref="AW130:AW193" si="32">IF(U130="","",LEFT(U130,FIND("-",U130,1)-1))</f>
        <v/>
      </c>
      <c r="AX130" s="1" t="str">
        <f t="shared" ref="AX130:AX193" si="33">IF(AW130="Minor",0,IF(AW130="Major",1,IF(AW130="Critical",3,"")))</f>
        <v/>
      </c>
      <c r="AY130" s="1" t="s">
        <v>29</v>
      </c>
      <c r="AZ130" s="1" t="b">
        <v>0</v>
      </c>
      <c r="BA130" s="1" t="str">
        <f t="shared" ref="BA130:BA193" si="34">IF(U130="","",COUNTIF(U130,U130:U130))</f>
        <v/>
      </c>
      <c r="BB130" s="1">
        <f t="shared" ref="BB130:BB193" si="35">V130</f>
        <v>0</v>
      </c>
      <c r="BC130" s="1" t="s">
        <v>153</v>
      </c>
      <c r="BD130" s="1" t="s">
        <v>43</v>
      </c>
      <c r="BE130" s="1" t="s">
        <v>98</v>
      </c>
      <c r="BF130" s="1" t="b">
        <v>0</v>
      </c>
      <c r="BG130" s="1" t="str">
        <f>VLOOKUP(AM130,Group!$C:$H,5,0)</f>
        <v>Top 25</v>
      </c>
      <c r="BH130" s="1" t="str">
        <f>VLOOKUP(P130,others!$C:$G,5,0)</f>
        <v>VR QA - India</v>
      </c>
    </row>
    <row r="131" spans="1:60" x14ac:dyDescent="0.25">
      <c r="A131" s="14">
        <v>46092.805092592593</v>
      </c>
      <c r="B131" s="14">
        <v>46093.034259259257</v>
      </c>
      <c r="C131" s="14">
        <v>46099.29005787037</v>
      </c>
      <c r="D131" s="14">
        <v>46099.519224537034</v>
      </c>
      <c r="E131" s="14">
        <v>46098.404097222221</v>
      </c>
      <c r="F131" s="14">
        <v>46099.519224537034</v>
      </c>
      <c r="G131" t="s">
        <v>470</v>
      </c>
      <c r="H131">
        <v>379</v>
      </c>
      <c r="I131">
        <v>1605.7833000000001</v>
      </c>
      <c r="J131" t="s">
        <v>104</v>
      </c>
      <c r="K131">
        <v>12828268</v>
      </c>
      <c r="L131" t="s">
        <v>1238</v>
      </c>
      <c r="M131" t="s">
        <v>1238</v>
      </c>
      <c r="N131" t="s">
        <v>88</v>
      </c>
      <c r="O131" t="s">
        <v>1350</v>
      </c>
      <c r="P131" t="s">
        <v>480</v>
      </c>
      <c r="Q131" t="s">
        <v>29</v>
      </c>
      <c r="R131" t="s">
        <v>25</v>
      </c>
      <c r="S131">
        <v>44.23</v>
      </c>
      <c r="T131">
        <v>100</v>
      </c>
      <c r="V131">
        <v>0</v>
      </c>
      <c r="X131" t="s">
        <v>1242</v>
      </c>
      <c r="AA131">
        <v>1440</v>
      </c>
      <c r="AB131" t="s">
        <v>26</v>
      </c>
      <c r="AC131">
        <v>256</v>
      </c>
      <c r="AD131" t="s">
        <v>27</v>
      </c>
      <c r="AE131" t="s">
        <v>28</v>
      </c>
      <c r="AF131">
        <v>0</v>
      </c>
      <c r="AK131" s="12">
        <f t="shared" si="24"/>
        <v>46099</v>
      </c>
      <c r="AL131" s="1" t="str">
        <f t="shared" si="25"/>
        <v>Week12</v>
      </c>
      <c r="AM131" s="1" t="s">
        <v>1239</v>
      </c>
      <c r="AN131" s="1" t="str">
        <f t="shared" si="26"/>
        <v>Go</v>
      </c>
      <c r="AO131" s="2">
        <f t="shared" si="27"/>
        <v>100</v>
      </c>
      <c r="AP131" s="1">
        <f t="shared" si="28"/>
        <v>0</v>
      </c>
      <c r="AQ131" s="1">
        <f t="shared" si="29"/>
        <v>0</v>
      </c>
      <c r="AR131" s="1" t="s">
        <v>96</v>
      </c>
      <c r="AS131" s="1" t="s">
        <v>96</v>
      </c>
      <c r="AT131" s="1" t="s">
        <v>96</v>
      </c>
      <c r="AU131" s="1" t="str">
        <f t="shared" si="30"/>
        <v/>
      </c>
      <c r="AV131" s="1" t="str">
        <f t="shared" si="31"/>
        <v>12828268Savitha Arun</v>
      </c>
      <c r="AW131" s="1" t="str">
        <f t="shared" si="32"/>
        <v/>
      </c>
      <c r="AX131" s="1" t="str">
        <f t="shared" si="33"/>
        <v/>
      </c>
      <c r="AY131" s="1" t="s">
        <v>29</v>
      </c>
      <c r="AZ131" s="1" t="b">
        <v>0</v>
      </c>
      <c r="BA131" s="1" t="str">
        <f t="shared" si="34"/>
        <v/>
      </c>
      <c r="BB131" s="1">
        <f t="shared" si="35"/>
        <v>0</v>
      </c>
      <c r="BC131" s="1" t="s">
        <v>166</v>
      </c>
      <c r="BD131" s="1" t="s">
        <v>1269</v>
      </c>
      <c r="BE131" s="1" t="s">
        <v>98</v>
      </c>
      <c r="BF131" s="1" t="b">
        <v>0</v>
      </c>
      <c r="BG131" s="1" t="str">
        <f>VLOOKUP(AM131,Group!$C:$H,5,0)</f>
        <v>Others</v>
      </c>
      <c r="BH131" s="1" t="str">
        <f>VLOOKUP(P131,others!$C:$G,5,0)</f>
        <v>QA - India</v>
      </c>
    </row>
    <row r="132" spans="1:60" x14ac:dyDescent="0.25">
      <c r="A132" s="14">
        <v>46094.658391203702</v>
      </c>
      <c r="B132" s="14">
        <v>46094.887557870374</v>
      </c>
      <c r="C132" s="14">
        <v>46099.292233796295</v>
      </c>
      <c r="D132" s="14">
        <v>46099.52140046296</v>
      </c>
      <c r="E132" s="14">
        <v>46099.023495370369</v>
      </c>
      <c r="F132" s="14">
        <v>46099.52140046296</v>
      </c>
      <c r="G132" t="s">
        <v>470</v>
      </c>
      <c r="H132">
        <v>165</v>
      </c>
      <c r="I132">
        <v>716.98329999999999</v>
      </c>
      <c r="J132" t="s">
        <v>104</v>
      </c>
      <c r="K132">
        <v>12828956</v>
      </c>
      <c r="L132" t="s">
        <v>1238</v>
      </c>
      <c r="M132" t="s">
        <v>1238</v>
      </c>
      <c r="N132" t="s">
        <v>88</v>
      </c>
      <c r="O132" t="s">
        <v>1350</v>
      </c>
      <c r="P132" t="s">
        <v>480</v>
      </c>
      <c r="Q132" t="s">
        <v>29</v>
      </c>
      <c r="R132" t="s">
        <v>25</v>
      </c>
      <c r="S132">
        <v>13.23</v>
      </c>
      <c r="T132">
        <v>100</v>
      </c>
      <c r="V132">
        <v>0</v>
      </c>
      <c r="X132" t="s">
        <v>1364</v>
      </c>
      <c r="AA132">
        <v>1440</v>
      </c>
      <c r="AB132" t="s">
        <v>26</v>
      </c>
      <c r="AC132">
        <v>84</v>
      </c>
      <c r="AD132" t="s">
        <v>27</v>
      </c>
      <c r="AE132" t="s">
        <v>28</v>
      </c>
      <c r="AF132">
        <v>0</v>
      </c>
      <c r="AK132" s="12">
        <f t="shared" si="24"/>
        <v>46099</v>
      </c>
      <c r="AL132" s="1" t="str">
        <f t="shared" si="25"/>
        <v>Week12</v>
      </c>
      <c r="AM132" s="1" t="s">
        <v>1239</v>
      </c>
      <c r="AN132" s="1" t="str">
        <f t="shared" si="26"/>
        <v>Go</v>
      </c>
      <c r="AO132" s="2">
        <f t="shared" si="27"/>
        <v>100</v>
      </c>
      <c r="AP132" s="1">
        <f t="shared" si="28"/>
        <v>0</v>
      </c>
      <c r="AQ132" s="1">
        <f t="shared" si="29"/>
        <v>0</v>
      </c>
      <c r="AR132" s="1" t="s">
        <v>96</v>
      </c>
      <c r="AS132" s="1" t="s">
        <v>96</v>
      </c>
      <c r="AT132" s="1" t="s">
        <v>96</v>
      </c>
      <c r="AU132" s="1" t="str">
        <f t="shared" si="30"/>
        <v/>
      </c>
      <c r="AV132" s="1" t="str">
        <f t="shared" si="31"/>
        <v>12828956Savitha Arun</v>
      </c>
      <c r="AW132" s="1" t="str">
        <f t="shared" si="32"/>
        <v/>
      </c>
      <c r="AX132" s="1" t="str">
        <f t="shared" si="33"/>
        <v/>
      </c>
      <c r="AY132" s="1" t="s">
        <v>29</v>
      </c>
      <c r="AZ132" s="1" t="b">
        <v>0</v>
      </c>
      <c r="BA132" s="1" t="str">
        <f t="shared" si="34"/>
        <v/>
      </c>
      <c r="BB132" s="1">
        <f t="shared" si="35"/>
        <v>0</v>
      </c>
      <c r="BC132" s="1" t="s">
        <v>125</v>
      </c>
      <c r="BD132" s="1" t="s">
        <v>1269</v>
      </c>
      <c r="BE132" s="1" t="s">
        <v>98</v>
      </c>
      <c r="BF132" s="1" t="b">
        <v>0</v>
      </c>
      <c r="BG132" s="1" t="str">
        <f>VLOOKUP(AM132,Group!$C:$H,5,0)</f>
        <v>Others</v>
      </c>
      <c r="BH132" s="1" t="str">
        <f>VLOOKUP(P132,others!$C:$G,5,0)</f>
        <v>QA - India</v>
      </c>
    </row>
    <row r="133" spans="1:60" x14ac:dyDescent="0.25">
      <c r="A133" s="14">
        <v>46092.799386574072</v>
      </c>
      <c r="B133" s="14">
        <v>46093.028553240743</v>
      </c>
      <c r="C133" s="14">
        <v>46099.296215277776</v>
      </c>
      <c r="D133" s="14">
        <v>46099.525381944448</v>
      </c>
      <c r="E133" s="14">
        <v>46098.40425925926</v>
      </c>
      <c r="F133" s="14">
        <v>46099.525381944448</v>
      </c>
      <c r="G133" t="s">
        <v>470</v>
      </c>
      <c r="H133">
        <v>326</v>
      </c>
      <c r="I133">
        <v>1614.4167</v>
      </c>
      <c r="J133" t="s">
        <v>104</v>
      </c>
      <c r="K133">
        <v>12828384</v>
      </c>
      <c r="L133" t="s">
        <v>1260</v>
      </c>
      <c r="M133" t="s">
        <v>101</v>
      </c>
      <c r="N133" t="s">
        <v>88</v>
      </c>
      <c r="O133" t="s">
        <v>1351</v>
      </c>
      <c r="P133" t="s">
        <v>1096</v>
      </c>
      <c r="Q133" t="s">
        <v>24</v>
      </c>
      <c r="R133" t="s">
        <v>25</v>
      </c>
      <c r="S133">
        <v>34.46</v>
      </c>
      <c r="T133">
        <v>100</v>
      </c>
      <c r="V133">
        <v>0</v>
      </c>
      <c r="X133" t="s">
        <v>469</v>
      </c>
      <c r="AA133">
        <v>1440</v>
      </c>
      <c r="AB133" t="s">
        <v>26</v>
      </c>
      <c r="AC133">
        <v>189</v>
      </c>
      <c r="AD133" t="s">
        <v>27</v>
      </c>
      <c r="AE133" t="s">
        <v>28</v>
      </c>
      <c r="AF133">
        <v>0</v>
      </c>
      <c r="AK133" s="12">
        <f t="shared" si="24"/>
        <v>46099</v>
      </c>
      <c r="AL133" s="1" t="str">
        <f t="shared" si="25"/>
        <v>Week12</v>
      </c>
      <c r="AM133" s="1" t="s">
        <v>102</v>
      </c>
      <c r="AN133" s="1" t="str">
        <f t="shared" si="26"/>
        <v>Go</v>
      </c>
      <c r="AO133" s="2">
        <f t="shared" si="27"/>
        <v>100</v>
      </c>
      <c r="AP133" s="1">
        <f t="shared" si="28"/>
        <v>0</v>
      </c>
      <c r="AQ133" s="1">
        <f t="shared" si="29"/>
        <v>0</v>
      </c>
      <c r="AR133" s="1" t="s">
        <v>95</v>
      </c>
      <c r="AS133" s="1" t="s">
        <v>93</v>
      </c>
      <c r="AT133" s="1" t="s">
        <v>93</v>
      </c>
      <c r="AU133" s="1" t="str">
        <f t="shared" si="30"/>
        <v/>
      </c>
      <c r="AV133" s="1" t="str">
        <f t="shared" si="31"/>
        <v>12828384Tejas Patel</v>
      </c>
      <c r="AW133" s="1" t="str">
        <f t="shared" si="32"/>
        <v/>
      </c>
      <c r="AX133" s="1" t="str">
        <f t="shared" si="33"/>
        <v/>
      </c>
      <c r="AY133" s="1" t="s">
        <v>24</v>
      </c>
      <c r="AZ133" s="1" t="b">
        <v>0</v>
      </c>
      <c r="BA133" s="1" t="str">
        <f t="shared" si="34"/>
        <v/>
      </c>
      <c r="BB133" s="1">
        <f t="shared" si="35"/>
        <v>0</v>
      </c>
      <c r="BC133" s="1" t="s">
        <v>1096</v>
      </c>
      <c r="BD133" s="1" t="s">
        <v>43</v>
      </c>
      <c r="BE133" s="1" t="s">
        <v>98</v>
      </c>
      <c r="BF133" s="1" t="b">
        <v>0</v>
      </c>
      <c r="BG133" s="1" t="str">
        <f>VLOOKUP(AM133,Group!$C:$H,5,0)</f>
        <v>Top 25</v>
      </c>
      <c r="BH133" s="1" t="str">
        <f>VLOOKUP(P133,others!$C:$G,5,0)</f>
        <v>QA</v>
      </c>
    </row>
    <row r="134" spans="1:60" x14ac:dyDescent="0.25">
      <c r="A134" s="14">
        <v>46093.704918981479</v>
      </c>
      <c r="B134" s="14">
        <v>46093.93408564815</v>
      </c>
      <c r="C134" s="14">
        <v>46099.301747685182</v>
      </c>
      <c r="D134" s="14">
        <v>46099.530914351853</v>
      </c>
      <c r="E134" s="14">
        <v>46098.456446759257</v>
      </c>
      <c r="F134" s="14">
        <v>46099.530914351853</v>
      </c>
      <c r="G134" t="s">
        <v>470</v>
      </c>
      <c r="H134">
        <v>468</v>
      </c>
      <c r="I134">
        <v>1547.2333000000001</v>
      </c>
      <c r="J134" t="s">
        <v>104</v>
      </c>
      <c r="K134">
        <v>12828573</v>
      </c>
      <c r="L134" t="s">
        <v>1365</v>
      </c>
      <c r="M134" t="s">
        <v>143</v>
      </c>
      <c r="N134" t="s">
        <v>97</v>
      </c>
      <c r="O134" t="s">
        <v>1350</v>
      </c>
      <c r="P134" t="s">
        <v>480</v>
      </c>
      <c r="Q134" t="s">
        <v>29</v>
      </c>
      <c r="R134" t="s">
        <v>25</v>
      </c>
      <c r="S134">
        <v>43.38</v>
      </c>
      <c r="T134">
        <v>100</v>
      </c>
      <c r="U134" t="s">
        <v>100</v>
      </c>
      <c r="V134">
        <v>4</v>
      </c>
      <c r="X134" t="s">
        <v>1270</v>
      </c>
      <c r="AA134">
        <v>360</v>
      </c>
      <c r="AB134" t="s">
        <v>26</v>
      </c>
      <c r="AC134">
        <v>154</v>
      </c>
      <c r="AD134" t="s">
        <v>27</v>
      </c>
      <c r="AE134" t="s">
        <v>1250</v>
      </c>
      <c r="AF134">
        <v>0</v>
      </c>
      <c r="AK134" s="12">
        <f t="shared" si="24"/>
        <v>46099</v>
      </c>
      <c r="AL134" s="1" t="str">
        <f t="shared" si="25"/>
        <v>Week12</v>
      </c>
      <c r="AM134" s="1" t="s">
        <v>147</v>
      </c>
      <c r="AN134" s="1" t="str">
        <f t="shared" si="26"/>
        <v>Go</v>
      </c>
      <c r="AO134" s="2">
        <f t="shared" si="27"/>
        <v>100</v>
      </c>
      <c r="AP134" s="1">
        <f t="shared" si="28"/>
        <v>0</v>
      </c>
      <c r="AQ134" s="1">
        <f t="shared" si="29"/>
        <v>0</v>
      </c>
      <c r="AR134" s="1" t="s">
        <v>93</v>
      </c>
      <c r="AS134" s="1" t="s">
        <v>96</v>
      </c>
      <c r="AT134" s="1" t="s">
        <v>93</v>
      </c>
      <c r="AU134" s="1" t="str">
        <f t="shared" si="30"/>
        <v>Minor</v>
      </c>
      <c r="AV134" s="1" t="str">
        <f t="shared" si="31"/>
        <v>12828573Savitha Arun</v>
      </c>
      <c r="AW134" s="1" t="str">
        <f t="shared" si="32"/>
        <v>Minor</v>
      </c>
      <c r="AX134" s="1">
        <f t="shared" si="33"/>
        <v>0</v>
      </c>
      <c r="AY134" s="1" t="s">
        <v>29</v>
      </c>
      <c r="AZ134" s="1" t="b">
        <v>0</v>
      </c>
      <c r="BA134" s="1">
        <f t="shared" si="34"/>
        <v>1</v>
      </c>
      <c r="BB134" s="1">
        <f t="shared" si="35"/>
        <v>4</v>
      </c>
      <c r="BC134" s="1" t="s">
        <v>30</v>
      </c>
      <c r="BD134" s="1" t="s">
        <v>1269</v>
      </c>
      <c r="BE134" s="1" t="s">
        <v>98</v>
      </c>
      <c r="BF134" s="1" t="b">
        <v>0</v>
      </c>
      <c r="BG134" s="1" t="str">
        <f>VLOOKUP(AM134,Group!$C:$H,5,0)</f>
        <v>Others</v>
      </c>
      <c r="BH134" s="1" t="str">
        <f>VLOOKUP(P134,others!$C:$G,5,0)</f>
        <v>QA - India</v>
      </c>
    </row>
    <row r="135" spans="1:60" x14ac:dyDescent="0.25">
      <c r="A135" s="14">
        <v>46094.700543981482</v>
      </c>
      <c r="B135" s="14">
        <v>46094.929710648146</v>
      </c>
      <c r="C135" s="14">
        <v>46099.303414351853</v>
      </c>
      <c r="D135" s="14">
        <v>46099.532581018517</v>
      </c>
      <c r="E135" s="14">
        <v>46099.023553240739</v>
      </c>
      <c r="F135" s="14">
        <v>46099.532581018517</v>
      </c>
      <c r="G135" t="s">
        <v>470</v>
      </c>
      <c r="H135">
        <v>128</v>
      </c>
      <c r="I135">
        <v>733</v>
      </c>
      <c r="J135" t="s">
        <v>104</v>
      </c>
      <c r="K135">
        <v>12829068</v>
      </c>
      <c r="L135" t="s">
        <v>1253</v>
      </c>
      <c r="M135" t="s">
        <v>101</v>
      </c>
      <c r="N135" t="s">
        <v>88</v>
      </c>
      <c r="O135" t="s">
        <v>131</v>
      </c>
      <c r="P135" t="s">
        <v>132</v>
      </c>
      <c r="Q135" t="s">
        <v>1328</v>
      </c>
      <c r="R135" t="s">
        <v>25</v>
      </c>
      <c r="S135">
        <v>24.92</v>
      </c>
      <c r="T135">
        <v>100</v>
      </c>
      <c r="V135">
        <v>0</v>
      </c>
      <c r="X135" t="s">
        <v>469</v>
      </c>
      <c r="AA135">
        <v>1440</v>
      </c>
      <c r="AB135" t="s">
        <v>26</v>
      </c>
      <c r="AC135">
        <v>117</v>
      </c>
      <c r="AD135" t="s">
        <v>27</v>
      </c>
      <c r="AE135" t="s">
        <v>28</v>
      </c>
      <c r="AF135">
        <v>0</v>
      </c>
      <c r="AK135" s="12">
        <f t="shared" si="24"/>
        <v>46099</v>
      </c>
      <c r="AL135" s="1" t="str">
        <f t="shared" si="25"/>
        <v>Week12</v>
      </c>
      <c r="AM135" s="1" t="s">
        <v>102</v>
      </c>
      <c r="AN135" s="1" t="str">
        <f t="shared" si="26"/>
        <v>Go</v>
      </c>
      <c r="AO135" s="2">
        <f t="shared" si="27"/>
        <v>100</v>
      </c>
      <c r="AP135" s="1">
        <f t="shared" si="28"/>
        <v>0</v>
      </c>
      <c r="AQ135" s="1">
        <f t="shared" si="29"/>
        <v>0</v>
      </c>
      <c r="AR135" s="1" t="s">
        <v>95</v>
      </c>
      <c r="AS135" s="1" t="s">
        <v>96</v>
      </c>
      <c r="AT135" s="1" t="s">
        <v>96</v>
      </c>
      <c r="AU135" s="1" t="str">
        <f t="shared" si="30"/>
        <v/>
      </c>
      <c r="AV135" s="1" t="str">
        <f t="shared" si="31"/>
        <v>12829068Pratheep Kumar</v>
      </c>
      <c r="AW135" s="1" t="str">
        <f t="shared" si="32"/>
        <v/>
      </c>
      <c r="AX135" s="1" t="str">
        <f t="shared" si="33"/>
        <v/>
      </c>
      <c r="AY135" s="1" t="s">
        <v>29</v>
      </c>
      <c r="AZ135" s="1" t="b">
        <v>0</v>
      </c>
      <c r="BA135" s="1" t="str">
        <f t="shared" si="34"/>
        <v/>
      </c>
      <c r="BB135" s="1">
        <f t="shared" si="35"/>
        <v>0</v>
      </c>
      <c r="BC135" s="1" t="s">
        <v>132</v>
      </c>
      <c r="BD135" s="1" t="s">
        <v>43</v>
      </c>
      <c r="BE135" s="1" t="s">
        <v>98</v>
      </c>
      <c r="BF135" s="1" t="b">
        <v>0</v>
      </c>
      <c r="BG135" s="1" t="str">
        <f>VLOOKUP(AM135,Group!$C:$H,5,0)</f>
        <v>Top 25</v>
      </c>
      <c r="BH135" s="1" t="str">
        <f>VLOOKUP(P135,others!$C:$G,5,0)</f>
        <v>MT - India</v>
      </c>
    </row>
    <row r="136" spans="1:60" x14ac:dyDescent="0.25">
      <c r="A136" s="14">
        <v>46093.992754629631</v>
      </c>
      <c r="B136" s="14">
        <v>46094.221921296295</v>
      </c>
      <c r="C136" s="14">
        <v>46099.324004629627</v>
      </c>
      <c r="D136" s="14">
        <v>46099.553171296298</v>
      </c>
      <c r="E136" s="14">
        <v>46099.022916666669</v>
      </c>
      <c r="F136" s="14">
        <v>46099.553171296298</v>
      </c>
      <c r="G136" t="s">
        <v>470</v>
      </c>
      <c r="H136">
        <v>1030</v>
      </c>
      <c r="I136">
        <v>763.56669999999997</v>
      </c>
      <c r="J136" t="s">
        <v>104</v>
      </c>
      <c r="K136">
        <v>12828775</v>
      </c>
      <c r="L136" t="s">
        <v>1336</v>
      </c>
      <c r="M136" t="s">
        <v>136</v>
      </c>
      <c r="N136" t="s">
        <v>88</v>
      </c>
      <c r="O136" t="s">
        <v>465</v>
      </c>
      <c r="P136" t="s">
        <v>153</v>
      </c>
      <c r="Q136" t="s">
        <v>1328</v>
      </c>
      <c r="R136" t="s">
        <v>25</v>
      </c>
      <c r="S136">
        <v>147.63</v>
      </c>
      <c r="T136">
        <v>100</v>
      </c>
      <c r="V136">
        <v>0</v>
      </c>
      <c r="X136" t="s">
        <v>1337</v>
      </c>
      <c r="AA136">
        <v>1440</v>
      </c>
      <c r="AB136" t="s">
        <v>26</v>
      </c>
      <c r="AC136">
        <v>663</v>
      </c>
      <c r="AD136" t="s">
        <v>27</v>
      </c>
      <c r="AE136" t="s">
        <v>28</v>
      </c>
      <c r="AF136">
        <v>0</v>
      </c>
      <c r="AK136" s="12">
        <f t="shared" si="24"/>
        <v>46099</v>
      </c>
      <c r="AL136" s="1" t="str">
        <f t="shared" si="25"/>
        <v>Week12</v>
      </c>
      <c r="AM136" s="1" t="s">
        <v>138</v>
      </c>
      <c r="AN136" s="1" t="str">
        <f t="shared" si="26"/>
        <v>Go</v>
      </c>
      <c r="AO136" s="2">
        <f t="shared" si="27"/>
        <v>100</v>
      </c>
      <c r="AP136" s="1">
        <f t="shared" si="28"/>
        <v>0</v>
      </c>
      <c r="AQ136" s="1">
        <f t="shared" si="29"/>
        <v>0</v>
      </c>
      <c r="AR136" s="1" t="s">
        <v>96</v>
      </c>
      <c r="AS136" s="1" t="s">
        <v>96</v>
      </c>
      <c r="AT136" s="1" t="s">
        <v>96</v>
      </c>
      <c r="AU136" s="1" t="str">
        <f t="shared" si="30"/>
        <v/>
      </c>
      <c r="AV136" s="1" t="str">
        <f t="shared" si="31"/>
        <v>12828775Sivasankari A</v>
      </c>
      <c r="AW136" s="1" t="str">
        <f t="shared" si="32"/>
        <v/>
      </c>
      <c r="AX136" s="1" t="str">
        <f t="shared" si="33"/>
        <v/>
      </c>
      <c r="AY136" s="1" t="s">
        <v>29</v>
      </c>
      <c r="AZ136" s="1" t="b">
        <v>0</v>
      </c>
      <c r="BA136" s="1" t="str">
        <f t="shared" si="34"/>
        <v/>
      </c>
      <c r="BB136" s="1">
        <f t="shared" si="35"/>
        <v>0</v>
      </c>
      <c r="BC136" s="1" t="s">
        <v>153</v>
      </c>
      <c r="BD136" s="1" t="s">
        <v>43</v>
      </c>
      <c r="BE136" s="1" t="s">
        <v>98</v>
      </c>
      <c r="BF136" s="1" t="b">
        <v>0</v>
      </c>
      <c r="BG136" s="1" t="str">
        <f>VLOOKUP(AM136,Group!$C:$H,5,0)</f>
        <v>Top 25</v>
      </c>
      <c r="BH136" s="1" t="str">
        <f>VLOOKUP(P136,others!$C:$G,5,0)</f>
        <v>VR QA - India</v>
      </c>
    </row>
    <row r="137" spans="1:60" x14ac:dyDescent="0.25">
      <c r="A137" s="14">
        <v>46093.510462962964</v>
      </c>
      <c r="B137" s="14">
        <v>46093.739629629628</v>
      </c>
      <c r="C137" s="14">
        <v>46099.347187500003</v>
      </c>
      <c r="D137" s="14">
        <v>46099.576354166667</v>
      </c>
      <c r="E137" s="14">
        <v>46099.02244212963</v>
      </c>
      <c r="F137" s="14">
        <v>46099.576354166667</v>
      </c>
      <c r="G137" t="s">
        <v>470</v>
      </c>
      <c r="H137">
        <v>2795</v>
      </c>
      <c r="I137">
        <v>797.63329999999996</v>
      </c>
      <c r="J137" t="s">
        <v>104</v>
      </c>
      <c r="K137">
        <v>12828500</v>
      </c>
      <c r="L137" t="s">
        <v>1334</v>
      </c>
      <c r="M137" t="s">
        <v>136</v>
      </c>
      <c r="N137" t="s">
        <v>88</v>
      </c>
      <c r="O137" t="s">
        <v>465</v>
      </c>
      <c r="P137" t="s">
        <v>153</v>
      </c>
      <c r="Q137" t="s">
        <v>1328</v>
      </c>
      <c r="R137" t="s">
        <v>25</v>
      </c>
      <c r="S137">
        <v>235.49</v>
      </c>
      <c r="T137">
        <v>99</v>
      </c>
      <c r="U137" t="s">
        <v>471</v>
      </c>
      <c r="V137">
        <v>1</v>
      </c>
      <c r="X137" t="s">
        <v>1366</v>
      </c>
      <c r="AA137">
        <v>1440</v>
      </c>
      <c r="AB137" t="s">
        <v>26</v>
      </c>
      <c r="AC137">
        <v>1120</v>
      </c>
      <c r="AD137" t="s">
        <v>27</v>
      </c>
      <c r="AE137" t="s">
        <v>28</v>
      </c>
      <c r="AF137">
        <v>0</v>
      </c>
      <c r="AK137" s="12">
        <f t="shared" si="24"/>
        <v>46099</v>
      </c>
      <c r="AL137" s="1" t="str">
        <f t="shared" si="25"/>
        <v>Week12</v>
      </c>
      <c r="AM137" s="1" t="s">
        <v>138</v>
      </c>
      <c r="AN137" s="1" t="str">
        <f t="shared" si="26"/>
        <v>Go</v>
      </c>
      <c r="AO137" s="2">
        <f t="shared" si="27"/>
        <v>99.575353518196096</v>
      </c>
      <c r="AP137" s="1">
        <f t="shared" si="28"/>
        <v>1</v>
      </c>
      <c r="AQ137" s="1">
        <f t="shared" si="29"/>
        <v>1</v>
      </c>
      <c r="AR137" s="1" t="s">
        <v>96</v>
      </c>
      <c r="AS137" s="1" t="s">
        <v>96</v>
      </c>
      <c r="AT137" s="1" t="s">
        <v>96</v>
      </c>
      <c r="AU137" s="1" t="str">
        <f t="shared" si="30"/>
        <v>Major</v>
      </c>
      <c r="AV137" s="1" t="str">
        <f t="shared" si="31"/>
        <v>12828500Sivasankari A</v>
      </c>
      <c r="AW137" s="1" t="str">
        <f t="shared" si="32"/>
        <v>Major</v>
      </c>
      <c r="AX137" s="1">
        <f t="shared" si="33"/>
        <v>1</v>
      </c>
      <c r="AY137" s="1" t="s">
        <v>29</v>
      </c>
      <c r="AZ137" s="1" t="b">
        <v>1</v>
      </c>
      <c r="BA137" s="1">
        <f t="shared" si="34"/>
        <v>1</v>
      </c>
      <c r="BB137" s="1">
        <f t="shared" si="35"/>
        <v>1</v>
      </c>
      <c r="BC137" s="1" t="s">
        <v>153</v>
      </c>
      <c r="BD137" s="1" t="s">
        <v>43</v>
      </c>
      <c r="BE137" s="1" t="s">
        <v>98</v>
      </c>
      <c r="BF137" s="1" t="b">
        <v>1</v>
      </c>
      <c r="BG137" s="1" t="str">
        <f>VLOOKUP(AM137,Group!$C:$H,5,0)</f>
        <v>Top 25</v>
      </c>
      <c r="BH137" s="1" t="str">
        <f>VLOOKUP(P137,others!$C:$G,5,0)</f>
        <v>VR QA - India</v>
      </c>
    </row>
    <row r="138" spans="1:60" x14ac:dyDescent="0.25">
      <c r="A138" s="14">
        <v>46093.510462962964</v>
      </c>
      <c r="B138" s="14">
        <v>46093.739629629628</v>
      </c>
      <c r="C138" s="14">
        <v>46099.347187500003</v>
      </c>
      <c r="D138" s="14">
        <v>46099.576354166667</v>
      </c>
      <c r="E138" s="14">
        <v>46099.02244212963</v>
      </c>
      <c r="F138" s="14">
        <v>46099.576354166667</v>
      </c>
      <c r="G138" t="s">
        <v>470</v>
      </c>
      <c r="H138">
        <v>2795</v>
      </c>
      <c r="I138">
        <v>797.63329999999996</v>
      </c>
      <c r="J138" t="s">
        <v>104</v>
      </c>
      <c r="K138">
        <v>12828500</v>
      </c>
      <c r="L138" t="s">
        <v>1334</v>
      </c>
      <c r="M138" t="s">
        <v>136</v>
      </c>
      <c r="N138" t="s">
        <v>88</v>
      </c>
      <c r="O138" t="s">
        <v>465</v>
      </c>
      <c r="P138" t="s">
        <v>153</v>
      </c>
      <c r="Q138" t="s">
        <v>1328</v>
      </c>
      <c r="R138" t="s">
        <v>25</v>
      </c>
      <c r="S138">
        <v>235.49</v>
      </c>
      <c r="T138">
        <v>99</v>
      </c>
      <c r="U138" t="s">
        <v>100</v>
      </c>
      <c r="V138">
        <v>4</v>
      </c>
      <c r="X138" t="s">
        <v>1366</v>
      </c>
      <c r="AA138">
        <v>1440</v>
      </c>
      <c r="AB138" t="s">
        <v>26</v>
      </c>
      <c r="AC138">
        <v>1120</v>
      </c>
      <c r="AD138" t="s">
        <v>27</v>
      </c>
      <c r="AE138" t="s">
        <v>28</v>
      </c>
      <c r="AF138">
        <v>0</v>
      </c>
      <c r="AK138" s="12">
        <f t="shared" si="24"/>
        <v>46099</v>
      </c>
      <c r="AL138" s="1" t="str">
        <f t="shared" si="25"/>
        <v>Week12</v>
      </c>
      <c r="AM138" s="1" t="s">
        <v>138</v>
      </c>
      <c r="AN138" s="1" t="str">
        <f t="shared" si="26"/>
        <v>Go</v>
      </c>
      <c r="AO138" s="2">
        <f t="shared" si="27"/>
        <v>99.575353518196096</v>
      </c>
      <c r="AP138" s="1">
        <f t="shared" si="28"/>
        <v>0</v>
      </c>
      <c r="AQ138" s="1">
        <f t="shared" si="29"/>
        <v>1</v>
      </c>
      <c r="AR138" s="1" t="s">
        <v>96</v>
      </c>
      <c r="AS138" s="1" t="s">
        <v>96</v>
      </c>
      <c r="AT138" s="1" t="s">
        <v>96</v>
      </c>
      <c r="AU138" s="1" t="str">
        <f t="shared" si="30"/>
        <v>Minor</v>
      </c>
      <c r="AV138" s="1" t="str">
        <f t="shared" si="31"/>
        <v>12828500Sivasankari A</v>
      </c>
      <c r="AW138" s="1" t="str">
        <f t="shared" si="32"/>
        <v>Minor</v>
      </c>
      <c r="AX138" s="1">
        <f t="shared" si="33"/>
        <v>0</v>
      </c>
      <c r="AY138" s="1" t="s">
        <v>29</v>
      </c>
      <c r="AZ138" s="1" t="b">
        <v>0</v>
      </c>
      <c r="BA138" s="1">
        <f t="shared" si="34"/>
        <v>1</v>
      </c>
      <c r="BB138" s="1">
        <f t="shared" si="35"/>
        <v>4</v>
      </c>
      <c r="BC138" s="1" t="s">
        <v>153</v>
      </c>
      <c r="BD138" s="1" t="s">
        <v>43</v>
      </c>
      <c r="BE138" s="1" t="s">
        <v>98</v>
      </c>
      <c r="BF138" s="1" t="b">
        <v>0</v>
      </c>
      <c r="BG138" s="1" t="str">
        <f>VLOOKUP(AM138,Group!$C:$H,5,0)</f>
        <v>Top 25</v>
      </c>
      <c r="BH138" s="1" t="str">
        <f>VLOOKUP(P138,others!$C:$G,5,0)</f>
        <v>VR QA - India</v>
      </c>
    </row>
    <row r="139" spans="1:60" x14ac:dyDescent="0.25">
      <c r="A139" s="14">
        <v>46097.893518518518</v>
      </c>
      <c r="B139" s="14">
        <v>46098.122685185182</v>
      </c>
      <c r="C139" s="14">
        <v>46099.743067129632</v>
      </c>
      <c r="D139" s="14">
        <v>46099.972233796296</v>
      </c>
      <c r="E139" s="14">
        <v>46099.626481481479</v>
      </c>
      <c r="F139" s="14">
        <v>46099.972233796296</v>
      </c>
      <c r="G139" t="s">
        <v>470</v>
      </c>
      <c r="H139">
        <v>288</v>
      </c>
      <c r="I139">
        <v>497.88330000000002</v>
      </c>
      <c r="J139" t="s">
        <v>104</v>
      </c>
      <c r="K139">
        <v>12829562</v>
      </c>
      <c r="L139" t="s">
        <v>1313</v>
      </c>
      <c r="M139" t="s">
        <v>162</v>
      </c>
      <c r="N139" t="s">
        <v>88</v>
      </c>
      <c r="O139" t="s">
        <v>1300</v>
      </c>
      <c r="P139" t="s">
        <v>478</v>
      </c>
      <c r="Q139" t="s">
        <v>29</v>
      </c>
      <c r="R139" t="s">
        <v>25</v>
      </c>
      <c r="S139">
        <v>33.25</v>
      </c>
      <c r="T139">
        <v>100</v>
      </c>
      <c r="V139">
        <v>0</v>
      </c>
      <c r="X139" t="s">
        <v>1314</v>
      </c>
      <c r="AA139">
        <v>1440</v>
      </c>
      <c r="AB139" t="s">
        <v>26</v>
      </c>
      <c r="AC139">
        <v>228</v>
      </c>
      <c r="AD139" t="s">
        <v>27</v>
      </c>
      <c r="AE139" t="s">
        <v>1356</v>
      </c>
      <c r="AF139">
        <v>0</v>
      </c>
      <c r="AK139" s="12">
        <f t="shared" si="24"/>
        <v>46099</v>
      </c>
      <c r="AL139" s="1" t="str">
        <f t="shared" si="25"/>
        <v>Week12</v>
      </c>
      <c r="AM139" s="1" t="s">
        <v>168</v>
      </c>
      <c r="AN139" s="1" t="str">
        <f t="shared" si="26"/>
        <v>Go</v>
      </c>
      <c r="AO139" s="2">
        <f t="shared" si="27"/>
        <v>100</v>
      </c>
      <c r="AP139" s="1">
        <f t="shared" si="28"/>
        <v>0</v>
      </c>
      <c r="AQ139" s="1">
        <f t="shared" si="29"/>
        <v>0</v>
      </c>
      <c r="AR139" s="1" t="s">
        <v>96</v>
      </c>
      <c r="AS139" s="1" t="s">
        <v>96</v>
      </c>
      <c r="AT139" s="1" t="s">
        <v>96</v>
      </c>
      <c r="AU139" s="1" t="str">
        <f t="shared" si="30"/>
        <v/>
      </c>
      <c r="AV139" s="1" t="str">
        <f t="shared" si="31"/>
        <v>12829562Sandeep S</v>
      </c>
      <c r="AW139" s="1" t="str">
        <f t="shared" si="32"/>
        <v/>
      </c>
      <c r="AX139" s="1" t="str">
        <f t="shared" si="33"/>
        <v/>
      </c>
      <c r="AY139" s="1" t="s">
        <v>29</v>
      </c>
      <c r="AZ139" s="1" t="b">
        <v>0</v>
      </c>
      <c r="BA139" s="1" t="str">
        <f t="shared" si="34"/>
        <v/>
      </c>
      <c r="BB139" s="1">
        <f t="shared" si="35"/>
        <v>0</v>
      </c>
      <c r="BC139" s="1" t="s">
        <v>478</v>
      </c>
      <c r="BD139" s="1" t="s">
        <v>43</v>
      </c>
      <c r="BE139" s="1" t="s">
        <v>98</v>
      </c>
      <c r="BF139" s="1" t="b">
        <v>0</v>
      </c>
      <c r="BG139" s="1" t="str">
        <f>VLOOKUP(AM139,Group!$C:$H,5,0)</f>
        <v>Others</v>
      </c>
      <c r="BH139" s="1" t="str">
        <f>VLOOKUP(P139,others!$C:$G,5,0)</f>
        <v>MTX - India</v>
      </c>
    </row>
    <row r="140" spans="1:60" x14ac:dyDescent="0.25">
      <c r="A140" s="14">
        <v>46094.576851851853</v>
      </c>
      <c r="B140" s="14">
        <v>46094.806018518517</v>
      </c>
      <c r="C140" s="14">
        <v>46099.74590277778</v>
      </c>
      <c r="D140" s="14">
        <v>46099.975069444445</v>
      </c>
      <c r="E140" s="14">
        <v>46099.626585648148</v>
      </c>
      <c r="F140" s="14">
        <v>46099.975069444445</v>
      </c>
      <c r="G140" t="s">
        <v>470</v>
      </c>
      <c r="H140">
        <v>236</v>
      </c>
      <c r="I140">
        <v>501.81670000000003</v>
      </c>
      <c r="J140" t="s">
        <v>104</v>
      </c>
      <c r="K140">
        <v>12828931</v>
      </c>
      <c r="L140" t="s">
        <v>1367</v>
      </c>
      <c r="M140" t="s">
        <v>121</v>
      </c>
      <c r="N140" t="s">
        <v>88</v>
      </c>
      <c r="O140" t="s">
        <v>458</v>
      </c>
      <c r="P140" t="s">
        <v>459</v>
      </c>
      <c r="Q140" t="s">
        <v>29</v>
      </c>
      <c r="R140" t="s">
        <v>25</v>
      </c>
      <c r="S140">
        <v>29.91</v>
      </c>
      <c r="T140">
        <v>100</v>
      </c>
      <c r="V140">
        <v>0</v>
      </c>
      <c r="X140" t="s">
        <v>1256</v>
      </c>
      <c r="AA140">
        <v>1440</v>
      </c>
      <c r="AB140" t="s">
        <v>26</v>
      </c>
      <c r="AC140">
        <v>148</v>
      </c>
      <c r="AD140" t="s">
        <v>27</v>
      </c>
      <c r="AE140" t="s">
        <v>1250</v>
      </c>
      <c r="AF140">
        <v>0</v>
      </c>
      <c r="AK140" s="12">
        <f t="shared" si="24"/>
        <v>46099</v>
      </c>
      <c r="AL140" s="1" t="str">
        <f t="shared" si="25"/>
        <v>Week12</v>
      </c>
      <c r="AM140" s="1" t="s">
        <v>122</v>
      </c>
      <c r="AN140" s="1" t="str">
        <f t="shared" si="26"/>
        <v>Go</v>
      </c>
      <c r="AO140" s="2">
        <f t="shared" si="27"/>
        <v>100</v>
      </c>
      <c r="AP140" s="1">
        <f t="shared" si="28"/>
        <v>0</v>
      </c>
      <c r="AQ140" s="1">
        <f t="shared" si="29"/>
        <v>0</v>
      </c>
      <c r="AR140" s="1" t="s">
        <v>96</v>
      </c>
      <c r="AS140" s="1" t="s">
        <v>96</v>
      </c>
      <c r="AT140" s="1" t="s">
        <v>96</v>
      </c>
      <c r="AU140" s="1" t="str">
        <f t="shared" si="30"/>
        <v/>
      </c>
      <c r="AV140" s="1" t="str">
        <f t="shared" si="31"/>
        <v>12828931Usha M</v>
      </c>
      <c r="AW140" s="1" t="str">
        <f t="shared" si="32"/>
        <v/>
      </c>
      <c r="AX140" s="1" t="str">
        <f t="shared" si="33"/>
        <v/>
      </c>
      <c r="AY140" s="1" t="s">
        <v>29</v>
      </c>
      <c r="AZ140" s="1" t="b">
        <v>0</v>
      </c>
      <c r="BA140" s="1" t="str">
        <f t="shared" si="34"/>
        <v/>
      </c>
      <c r="BB140" s="1">
        <f t="shared" si="35"/>
        <v>0</v>
      </c>
      <c r="BC140" s="1" t="s">
        <v>459</v>
      </c>
      <c r="BD140" s="1" t="s">
        <v>43</v>
      </c>
      <c r="BE140" s="1" t="s">
        <v>98</v>
      </c>
      <c r="BF140" s="1" t="b">
        <v>0</v>
      </c>
      <c r="BG140" s="1" t="str">
        <f>VLOOKUP(AM140,Group!$C:$H,5,0)</f>
        <v>Top 25</v>
      </c>
      <c r="BH140" s="1" t="str">
        <f>VLOOKUP(P140,others!$C:$G,5,0)</f>
        <v>MTX - India</v>
      </c>
    </row>
    <row r="141" spans="1:60" x14ac:dyDescent="0.25">
      <c r="A141" s="14">
        <v>46094.559976851851</v>
      </c>
      <c r="B141" s="14">
        <v>46094.789143518516</v>
      </c>
      <c r="C141" s="14">
        <v>46099.749293981484</v>
      </c>
      <c r="D141" s="14">
        <v>46099.978460648148</v>
      </c>
      <c r="E141" s="14">
        <v>46099.626689814817</v>
      </c>
      <c r="F141" s="14">
        <v>46099.978460648148</v>
      </c>
      <c r="G141" t="s">
        <v>470</v>
      </c>
      <c r="H141">
        <v>283</v>
      </c>
      <c r="I141">
        <v>506.55</v>
      </c>
      <c r="J141" t="s">
        <v>104</v>
      </c>
      <c r="K141">
        <v>12828915</v>
      </c>
      <c r="L141" t="s">
        <v>1367</v>
      </c>
      <c r="M141" t="s">
        <v>121</v>
      </c>
      <c r="N141" t="s">
        <v>88</v>
      </c>
      <c r="O141" t="s">
        <v>1300</v>
      </c>
      <c r="P141" t="s">
        <v>478</v>
      </c>
      <c r="Q141" t="s">
        <v>29</v>
      </c>
      <c r="R141" t="s">
        <v>25</v>
      </c>
      <c r="S141">
        <v>26.51</v>
      </c>
      <c r="T141">
        <v>99</v>
      </c>
      <c r="U141" t="s">
        <v>471</v>
      </c>
      <c r="V141">
        <v>1</v>
      </c>
      <c r="X141" t="s">
        <v>1256</v>
      </c>
      <c r="AA141">
        <v>1440</v>
      </c>
      <c r="AB141" t="s">
        <v>26</v>
      </c>
      <c r="AC141">
        <v>134</v>
      </c>
      <c r="AD141" t="s">
        <v>27</v>
      </c>
      <c r="AE141" t="s">
        <v>28</v>
      </c>
      <c r="AF141">
        <v>1</v>
      </c>
      <c r="AK141" s="12">
        <f t="shared" si="24"/>
        <v>46099</v>
      </c>
      <c r="AL141" s="1" t="str">
        <f t="shared" si="25"/>
        <v>Week12</v>
      </c>
      <c r="AM141" s="1" t="s">
        <v>122</v>
      </c>
      <c r="AN141" s="1" t="str">
        <f t="shared" si="26"/>
        <v>NoGo</v>
      </c>
      <c r="AO141" s="2">
        <f t="shared" si="27"/>
        <v>96.227838551490009</v>
      </c>
      <c r="AP141" s="1">
        <f t="shared" si="28"/>
        <v>1</v>
      </c>
      <c r="AQ141" s="1">
        <f t="shared" si="29"/>
        <v>1</v>
      </c>
      <c r="AR141" s="1" t="s">
        <v>96</v>
      </c>
      <c r="AS141" s="1" t="s">
        <v>96</v>
      </c>
      <c r="AT141" s="1" t="s">
        <v>96</v>
      </c>
      <c r="AU141" s="1" t="str">
        <f t="shared" si="30"/>
        <v>Major</v>
      </c>
      <c r="AV141" s="1" t="str">
        <f t="shared" si="31"/>
        <v>12828915Sandeep S</v>
      </c>
      <c r="AW141" s="1" t="str">
        <f t="shared" si="32"/>
        <v>Major</v>
      </c>
      <c r="AX141" s="1">
        <f t="shared" si="33"/>
        <v>1</v>
      </c>
      <c r="AY141" s="1" t="s">
        <v>29</v>
      </c>
      <c r="AZ141" s="1" t="b">
        <v>0</v>
      </c>
      <c r="BA141" s="1">
        <f t="shared" si="34"/>
        <v>1</v>
      </c>
      <c r="BB141" s="1">
        <f t="shared" si="35"/>
        <v>1</v>
      </c>
      <c r="BC141" s="1" t="s">
        <v>478</v>
      </c>
      <c r="BD141" s="1" t="s">
        <v>43</v>
      </c>
      <c r="BE141" s="1" t="s">
        <v>98</v>
      </c>
      <c r="BF141" s="1" t="b">
        <v>0</v>
      </c>
      <c r="BG141" s="1" t="str">
        <f>VLOOKUP(AM141,Group!$C:$H,5,0)</f>
        <v>Top 25</v>
      </c>
      <c r="BH141" s="1" t="str">
        <f>VLOOKUP(P141,others!$C:$G,5,0)</f>
        <v>MTX - India</v>
      </c>
    </row>
    <row r="142" spans="1:60" x14ac:dyDescent="0.25">
      <c r="A142" s="14">
        <v>46094.360081018516</v>
      </c>
      <c r="B142" s="14">
        <v>46094.589247685188</v>
      </c>
      <c r="C142" s="14">
        <v>46099.754699074074</v>
      </c>
      <c r="D142" s="14">
        <v>46099.983865740738</v>
      </c>
      <c r="E142" s="14">
        <v>46099.626782407409</v>
      </c>
      <c r="F142" s="14">
        <v>46099.983865740738</v>
      </c>
      <c r="G142" t="s">
        <v>470</v>
      </c>
      <c r="H142">
        <v>441</v>
      </c>
      <c r="I142">
        <v>514.20000000000005</v>
      </c>
      <c r="J142" t="s">
        <v>104</v>
      </c>
      <c r="K142">
        <v>12828809</v>
      </c>
      <c r="L142" t="s">
        <v>1368</v>
      </c>
      <c r="M142" t="s">
        <v>136</v>
      </c>
      <c r="N142" t="s">
        <v>88</v>
      </c>
      <c r="O142" t="s">
        <v>1350</v>
      </c>
      <c r="P142" t="s">
        <v>480</v>
      </c>
      <c r="Q142" t="s">
        <v>29</v>
      </c>
      <c r="R142" t="s">
        <v>1241</v>
      </c>
      <c r="S142">
        <v>31.89</v>
      </c>
      <c r="T142">
        <v>98</v>
      </c>
      <c r="U142" t="s">
        <v>471</v>
      </c>
      <c r="V142">
        <v>1</v>
      </c>
      <c r="X142" t="s">
        <v>1369</v>
      </c>
      <c r="AA142">
        <v>1440</v>
      </c>
      <c r="AB142" t="s">
        <v>26</v>
      </c>
      <c r="AC142">
        <v>288</v>
      </c>
      <c r="AD142" t="s">
        <v>27</v>
      </c>
      <c r="AE142" t="s">
        <v>28</v>
      </c>
      <c r="AF142">
        <v>0</v>
      </c>
      <c r="AK142" s="12">
        <f t="shared" si="24"/>
        <v>46099</v>
      </c>
      <c r="AL142" s="1" t="str">
        <f t="shared" si="25"/>
        <v>Week12</v>
      </c>
      <c r="AM142" s="1" t="s">
        <v>138</v>
      </c>
      <c r="AN142" s="1" t="str">
        <f t="shared" si="26"/>
        <v>NoGo</v>
      </c>
      <c r="AO142" s="2">
        <f t="shared" si="27"/>
        <v>93.728441517717158</v>
      </c>
      <c r="AP142" s="1">
        <f t="shared" si="28"/>
        <v>1</v>
      </c>
      <c r="AQ142" s="1">
        <f t="shared" si="29"/>
        <v>2</v>
      </c>
      <c r="AR142" s="1" t="s">
        <v>96</v>
      </c>
      <c r="AS142" s="1" t="s">
        <v>96</v>
      </c>
      <c r="AT142" s="1" t="s">
        <v>96</v>
      </c>
      <c r="AU142" s="1" t="str">
        <f t="shared" si="30"/>
        <v>Major</v>
      </c>
      <c r="AV142" s="1" t="str">
        <f t="shared" si="31"/>
        <v>12828809Savitha Arun</v>
      </c>
      <c r="AW142" s="1" t="str">
        <f t="shared" si="32"/>
        <v>Major</v>
      </c>
      <c r="AX142" s="1">
        <f t="shared" si="33"/>
        <v>1</v>
      </c>
      <c r="AY142" s="1" t="s">
        <v>29</v>
      </c>
      <c r="AZ142" s="1" t="b">
        <v>1</v>
      </c>
      <c r="BA142" s="1">
        <f t="shared" si="34"/>
        <v>1</v>
      </c>
      <c r="BB142" s="1">
        <f t="shared" si="35"/>
        <v>1</v>
      </c>
      <c r="BC142" s="1" t="s">
        <v>153</v>
      </c>
      <c r="BD142" s="1" t="s">
        <v>1269</v>
      </c>
      <c r="BE142" s="1" t="s">
        <v>98</v>
      </c>
      <c r="BF142" s="1" t="b">
        <v>1</v>
      </c>
      <c r="BG142" s="1" t="str">
        <f>VLOOKUP(AM142,Group!$C:$H,5,0)</f>
        <v>Top 25</v>
      </c>
      <c r="BH142" s="1" t="str">
        <f>VLOOKUP(P142,others!$C:$G,5,0)</f>
        <v>QA - India</v>
      </c>
    </row>
    <row r="143" spans="1:60" x14ac:dyDescent="0.25">
      <c r="A143" s="14">
        <v>46094.360081018516</v>
      </c>
      <c r="B143" s="14">
        <v>46094.589247685188</v>
      </c>
      <c r="C143" s="14">
        <v>46099.754699074074</v>
      </c>
      <c r="D143" s="14">
        <v>46099.983865740738</v>
      </c>
      <c r="E143" s="14">
        <v>46099.626782407409</v>
      </c>
      <c r="F143" s="14">
        <v>46099.983865740738</v>
      </c>
      <c r="G143" t="s">
        <v>470</v>
      </c>
      <c r="H143">
        <v>441</v>
      </c>
      <c r="I143">
        <v>514.20000000000005</v>
      </c>
      <c r="J143" t="s">
        <v>104</v>
      </c>
      <c r="K143">
        <v>12828809</v>
      </c>
      <c r="L143" t="s">
        <v>1368</v>
      </c>
      <c r="M143" t="s">
        <v>136</v>
      </c>
      <c r="N143" t="s">
        <v>88</v>
      </c>
      <c r="O143" t="s">
        <v>1350</v>
      </c>
      <c r="P143" t="s">
        <v>480</v>
      </c>
      <c r="Q143" t="s">
        <v>29</v>
      </c>
      <c r="R143" t="s">
        <v>1241</v>
      </c>
      <c r="S143">
        <v>31.89</v>
      </c>
      <c r="T143">
        <v>98</v>
      </c>
      <c r="U143" t="s">
        <v>472</v>
      </c>
      <c r="V143">
        <v>1</v>
      </c>
      <c r="X143" t="s">
        <v>1369</v>
      </c>
      <c r="AA143">
        <v>1440</v>
      </c>
      <c r="AB143" t="s">
        <v>26</v>
      </c>
      <c r="AC143">
        <v>288</v>
      </c>
      <c r="AD143" t="s">
        <v>27</v>
      </c>
      <c r="AE143" t="s">
        <v>28</v>
      </c>
      <c r="AF143">
        <v>0</v>
      </c>
      <c r="AK143" s="12">
        <f t="shared" si="24"/>
        <v>46099</v>
      </c>
      <c r="AL143" s="1" t="str">
        <f t="shared" si="25"/>
        <v>Week12</v>
      </c>
      <c r="AM143" s="1" t="s">
        <v>138</v>
      </c>
      <c r="AN143" s="1" t="str">
        <f t="shared" si="26"/>
        <v>NoGo</v>
      </c>
      <c r="AO143" s="2">
        <f t="shared" si="27"/>
        <v>93.728441517717158</v>
      </c>
      <c r="AP143" s="1">
        <f t="shared" si="28"/>
        <v>1</v>
      </c>
      <c r="AQ143" s="1">
        <f t="shared" si="29"/>
        <v>2</v>
      </c>
      <c r="AR143" s="1" t="s">
        <v>96</v>
      </c>
      <c r="AS143" s="1" t="s">
        <v>96</v>
      </c>
      <c r="AT143" s="1" t="s">
        <v>96</v>
      </c>
      <c r="AU143" s="1" t="str">
        <f t="shared" si="30"/>
        <v>Major</v>
      </c>
      <c r="AV143" s="1" t="str">
        <f t="shared" si="31"/>
        <v>12828809Savitha Arun</v>
      </c>
      <c r="AW143" s="1" t="str">
        <f t="shared" si="32"/>
        <v>Major</v>
      </c>
      <c r="AX143" s="1">
        <f t="shared" si="33"/>
        <v>1</v>
      </c>
      <c r="AY143" s="1" t="s">
        <v>29</v>
      </c>
      <c r="AZ143" s="1" t="b">
        <v>1</v>
      </c>
      <c r="BA143" s="1">
        <f t="shared" si="34"/>
        <v>1</v>
      </c>
      <c r="BB143" s="1">
        <f t="shared" si="35"/>
        <v>1</v>
      </c>
      <c r="BC143" s="1" t="s">
        <v>153</v>
      </c>
      <c r="BD143" s="1" t="s">
        <v>1269</v>
      </c>
      <c r="BE143" s="1" t="s">
        <v>98</v>
      </c>
      <c r="BF143" s="1" t="b">
        <v>1</v>
      </c>
      <c r="BG143" s="1" t="str">
        <f>VLOOKUP(AM143,Group!$C:$H,5,0)</f>
        <v>Top 25</v>
      </c>
      <c r="BH143" s="1" t="str">
        <f>VLOOKUP(P143,others!$C:$G,5,0)</f>
        <v>QA - India</v>
      </c>
    </row>
    <row r="144" spans="1:60" x14ac:dyDescent="0.25">
      <c r="A144" s="14">
        <v>46094.360081018516</v>
      </c>
      <c r="B144" s="14">
        <v>46094.589247685188</v>
      </c>
      <c r="C144" s="14">
        <v>46099.754699074074</v>
      </c>
      <c r="D144" s="14">
        <v>46099.983865740738</v>
      </c>
      <c r="E144" s="14">
        <v>46099.626782407409</v>
      </c>
      <c r="F144" s="14">
        <v>46099.983865740738</v>
      </c>
      <c r="G144" t="s">
        <v>470</v>
      </c>
      <c r="H144">
        <v>441</v>
      </c>
      <c r="I144">
        <v>514.20000000000005</v>
      </c>
      <c r="J144" t="s">
        <v>104</v>
      </c>
      <c r="K144">
        <v>12828809</v>
      </c>
      <c r="L144" t="s">
        <v>1368</v>
      </c>
      <c r="M144" t="s">
        <v>136</v>
      </c>
      <c r="N144" t="s">
        <v>88</v>
      </c>
      <c r="O144" t="s">
        <v>1350</v>
      </c>
      <c r="P144" t="s">
        <v>480</v>
      </c>
      <c r="Q144" t="s">
        <v>29</v>
      </c>
      <c r="R144" t="s">
        <v>1241</v>
      </c>
      <c r="S144">
        <v>31.89</v>
      </c>
      <c r="T144">
        <v>98</v>
      </c>
      <c r="U144" t="s">
        <v>100</v>
      </c>
      <c r="V144">
        <v>2</v>
      </c>
      <c r="X144" t="s">
        <v>1369</v>
      </c>
      <c r="AA144">
        <v>1440</v>
      </c>
      <c r="AB144" t="s">
        <v>26</v>
      </c>
      <c r="AC144">
        <v>288</v>
      </c>
      <c r="AD144" t="s">
        <v>27</v>
      </c>
      <c r="AE144" t="s">
        <v>28</v>
      </c>
      <c r="AF144">
        <v>0</v>
      </c>
      <c r="AK144" s="12">
        <f t="shared" si="24"/>
        <v>46099</v>
      </c>
      <c r="AL144" s="1" t="str">
        <f t="shared" si="25"/>
        <v>Week12</v>
      </c>
      <c r="AM144" s="1" t="s">
        <v>138</v>
      </c>
      <c r="AN144" s="1" t="str">
        <f t="shared" si="26"/>
        <v>NoGo</v>
      </c>
      <c r="AO144" s="2">
        <f t="shared" si="27"/>
        <v>93.728441517717158</v>
      </c>
      <c r="AP144" s="1">
        <f t="shared" si="28"/>
        <v>0</v>
      </c>
      <c r="AQ144" s="1">
        <f t="shared" si="29"/>
        <v>2</v>
      </c>
      <c r="AR144" s="1" t="s">
        <v>96</v>
      </c>
      <c r="AS144" s="1" t="s">
        <v>96</v>
      </c>
      <c r="AT144" s="1" t="s">
        <v>96</v>
      </c>
      <c r="AU144" s="1" t="str">
        <f t="shared" si="30"/>
        <v>Minor</v>
      </c>
      <c r="AV144" s="1" t="str">
        <f t="shared" si="31"/>
        <v>12828809Savitha Arun</v>
      </c>
      <c r="AW144" s="1" t="str">
        <f t="shared" si="32"/>
        <v>Minor</v>
      </c>
      <c r="AX144" s="1">
        <f t="shared" si="33"/>
        <v>0</v>
      </c>
      <c r="AY144" s="1" t="s">
        <v>29</v>
      </c>
      <c r="AZ144" s="1" t="b">
        <v>0</v>
      </c>
      <c r="BA144" s="1">
        <f t="shared" si="34"/>
        <v>1</v>
      </c>
      <c r="BB144" s="1">
        <f t="shared" si="35"/>
        <v>2</v>
      </c>
      <c r="BC144" s="1" t="s">
        <v>153</v>
      </c>
      <c r="BD144" s="1" t="s">
        <v>1269</v>
      </c>
      <c r="BE144" s="1" t="s">
        <v>98</v>
      </c>
      <c r="BF144" s="1" t="b">
        <v>0</v>
      </c>
      <c r="BG144" s="1" t="str">
        <f>VLOOKUP(AM144,Group!$C:$H,5,0)</f>
        <v>Top 25</v>
      </c>
      <c r="BH144" s="1" t="str">
        <f>VLOOKUP(P144,others!$C:$G,5,0)</f>
        <v>QA - India</v>
      </c>
    </row>
    <row r="145" spans="1:60" x14ac:dyDescent="0.25">
      <c r="A145" s="14">
        <v>46094.385925925926</v>
      </c>
      <c r="B145" s="14">
        <v>46094.61509259259</v>
      </c>
      <c r="C145" s="14">
        <v>46099.757962962962</v>
      </c>
      <c r="D145" s="14">
        <v>46099.987129629626</v>
      </c>
      <c r="E145" s="14">
        <v>46099.626863425925</v>
      </c>
      <c r="F145" s="14">
        <v>46099.987129629626</v>
      </c>
      <c r="G145" t="s">
        <v>470</v>
      </c>
      <c r="H145">
        <v>264</v>
      </c>
      <c r="I145">
        <v>518.78330000000005</v>
      </c>
      <c r="J145" t="s">
        <v>104</v>
      </c>
      <c r="K145">
        <v>12828839</v>
      </c>
      <c r="L145" t="s">
        <v>1360</v>
      </c>
      <c r="M145" t="s">
        <v>144</v>
      </c>
      <c r="N145" t="s">
        <v>97</v>
      </c>
      <c r="O145" t="s">
        <v>458</v>
      </c>
      <c r="P145" t="s">
        <v>459</v>
      </c>
      <c r="Q145" t="s">
        <v>29</v>
      </c>
      <c r="R145" t="s">
        <v>25</v>
      </c>
      <c r="S145">
        <v>56.86</v>
      </c>
      <c r="T145">
        <v>99</v>
      </c>
      <c r="U145" t="s">
        <v>472</v>
      </c>
      <c r="V145">
        <v>1</v>
      </c>
      <c r="X145" t="s">
        <v>1270</v>
      </c>
      <c r="AA145">
        <v>720</v>
      </c>
      <c r="AB145" t="s">
        <v>26</v>
      </c>
      <c r="AC145">
        <v>128</v>
      </c>
      <c r="AD145" t="s">
        <v>27</v>
      </c>
      <c r="AE145" t="s">
        <v>28</v>
      </c>
      <c r="AF145">
        <v>0</v>
      </c>
      <c r="AK145" s="12">
        <f t="shared" si="24"/>
        <v>46099</v>
      </c>
      <c r="AL145" s="1" t="str">
        <f t="shared" si="25"/>
        <v>Week12</v>
      </c>
      <c r="AM145" s="1" t="s">
        <v>148</v>
      </c>
      <c r="AN145" s="1" t="str">
        <f t="shared" si="26"/>
        <v>NoGo</v>
      </c>
      <c r="AO145" s="2">
        <f t="shared" si="27"/>
        <v>98.241294407316218</v>
      </c>
      <c r="AP145" s="1">
        <f t="shared" si="28"/>
        <v>1</v>
      </c>
      <c r="AQ145" s="1">
        <f t="shared" si="29"/>
        <v>1</v>
      </c>
      <c r="AR145" s="1" t="s">
        <v>93</v>
      </c>
      <c r="AS145" s="1" t="s">
        <v>96</v>
      </c>
      <c r="AT145" s="1" t="s">
        <v>96</v>
      </c>
      <c r="AU145" s="1" t="str">
        <f t="shared" si="30"/>
        <v>Major</v>
      </c>
      <c r="AV145" s="1" t="str">
        <f t="shared" si="31"/>
        <v>12828839Usha M</v>
      </c>
      <c r="AW145" s="1" t="str">
        <f t="shared" si="32"/>
        <v>Major</v>
      </c>
      <c r="AX145" s="1">
        <f t="shared" si="33"/>
        <v>1</v>
      </c>
      <c r="AY145" s="1" t="s">
        <v>29</v>
      </c>
      <c r="AZ145" s="1" t="b">
        <v>1</v>
      </c>
      <c r="BA145" s="1">
        <f t="shared" si="34"/>
        <v>1</v>
      </c>
      <c r="BB145" s="1">
        <f t="shared" si="35"/>
        <v>1</v>
      </c>
      <c r="BC145" s="1" t="s">
        <v>459</v>
      </c>
      <c r="BD145" s="1" t="s">
        <v>43</v>
      </c>
      <c r="BE145" s="1" t="s">
        <v>98</v>
      </c>
      <c r="BF145" s="1" t="b">
        <v>1</v>
      </c>
      <c r="BG145" s="1" t="str">
        <f>VLOOKUP(AM145,Group!$C:$H,5,0)</f>
        <v>Others</v>
      </c>
      <c r="BH145" s="1" t="str">
        <f>VLOOKUP(P145,others!$C:$G,5,0)</f>
        <v>MTX - India</v>
      </c>
    </row>
    <row r="146" spans="1:60" x14ac:dyDescent="0.25">
      <c r="A146" s="14">
        <v>46094.385925925926</v>
      </c>
      <c r="B146" s="14">
        <v>46094.61509259259</v>
      </c>
      <c r="C146" s="14">
        <v>46099.757962962962</v>
      </c>
      <c r="D146" s="14">
        <v>46099.987129629626</v>
      </c>
      <c r="E146" s="14">
        <v>46099.626863425925</v>
      </c>
      <c r="F146" s="14">
        <v>46099.987129629626</v>
      </c>
      <c r="G146" t="s">
        <v>470</v>
      </c>
      <c r="H146">
        <v>264</v>
      </c>
      <c r="I146">
        <v>518.78330000000005</v>
      </c>
      <c r="J146" t="s">
        <v>104</v>
      </c>
      <c r="K146">
        <v>12828839</v>
      </c>
      <c r="L146" t="s">
        <v>1360</v>
      </c>
      <c r="M146" t="s">
        <v>144</v>
      </c>
      <c r="N146" t="s">
        <v>97</v>
      </c>
      <c r="O146" t="s">
        <v>458</v>
      </c>
      <c r="P146" t="s">
        <v>459</v>
      </c>
      <c r="Q146" t="s">
        <v>29</v>
      </c>
      <c r="R146" t="s">
        <v>25</v>
      </c>
      <c r="S146">
        <v>56.86</v>
      </c>
      <c r="T146">
        <v>99</v>
      </c>
      <c r="U146" t="s">
        <v>100</v>
      </c>
      <c r="V146">
        <v>1</v>
      </c>
      <c r="X146" t="s">
        <v>1270</v>
      </c>
      <c r="AA146">
        <v>720</v>
      </c>
      <c r="AB146" t="s">
        <v>26</v>
      </c>
      <c r="AC146">
        <v>128</v>
      </c>
      <c r="AD146" t="s">
        <v>27</v>
      </c>
      <c r="AE146" t="s">
        <v>28</v>
      </c>
      <c r="AF146">
        <v>0</v>
      </c>
      <c r="AK146" s="12">
        <f t="shared" si="24"/>
        <v>46099</v>
      </c>
      <c r="AL146" s="1" t="str">
        <f t="shared" si="25"/>
        <v>Week12</v>
      </c>
      <c r="AM146" s="1" t="s">
        <v>148</v>
      </c>
      <c r="AN146" s="1" t="str">
        <f t="shared" si="26"/>
        <v>NoGo</v>
      </c>
      <c r="AO146" s="2">
        <f t="shared" si="27"/>
        <v>98.241294407316218</v>
      </c>
      <c r="AP146" s="1">
        <f t="shared" si="28"/>
        <v>0</v>
      </c>
      <c r="AQ146" s="1">
        <f t="shared" si="29"/>
        <v>1</v>
      </c>
      <c r="AR146" s="1" t="s">
        <v>93</v>
      </c>
      <c r="AS146" s="1" t="s">
        <v>96</v>
      </c>
      <c r="AT146" s="1" t="s">
        <v>96</v>
      </c>
      <c r="AU146" s="1" t="str">
        <f t="shared" si="30"/>
        <v>Minor</v>
      </c>
      <c r="AV146" s="1" t="str">
        <f t="shared" si="31"/>
        <v>12828839Usha M</v>
      </c>
      <c r="AW146" s="1" t="str">
        <f t="shared" si="32"/>
        <v>Minor</v>
      </c>
      <c r="AX146" s="1">
        <f t="shared" si="33"/>
        <v>0</v>
      </c>
      <c r="AY146" s="1" t="s">
        <v>29</v>
      </c>
      <c r="AZ146" s="1" t="b">
        <v>0</v>
      </c>
      <c r="BA146" s="1">
        <f t="shared" si="34"/>
        <v>1</v>
      </c>
      <c r="BB146" s="1">
        <f t="shared" si="35"/>
        <v>1</v>
      </c>
      <c r="BC146" s="1" t="s">
        <v>459</v>
      </c>
      <c r="BD146" s="1" t="s">
        <v>43</v>
      </c>
      <c r="BE146" s="1" t="s">
        <v>98</v>
      </c>
      <c r="BF146" s="1" t="b">
        <v>0</v>
      </c>
      <c r="BG146" s="1" t="str">
        <f>VLOOKUP(AM146,Group!$C:$H,5,0)</f>
        <v>Others</v>
      </c>
      <c r="BH146" s="1" t="str">
        <f>VLOOKUP(P146,others!$C:$G,5,0)</f>
        <v>MTX - India</v>
      </c>
    </row>
    <row r="147" spans="1:60" x14ac:dyDescent="0.25">
      <c r="A147" s="14">
        <v>46084.784895833334</v>
      </c>
      <c r="B147" s="14">
        <v>46085.014062499999</v>
      </c>
      <c r="C147" s="14">
        <v>46100.223634259259</v>
      </c>
      <c r="D147" s="14">
        <v>46100.452800925923</v>
      </c>
      <c r="E147" s="14">
        <v>46099.98878472222</v>
      </c>
      <c r="F147" s="14">
        <v>46100.452800925923</v>
      </c>
      <c r="G147" t="s">
        <v>470</v>
      </c>
      <c r="H147">
        <v>752</v>
      </c>
      <c r="I147">
        <v>668.18330000000003</v>
      </c>
      <c r="J147" t="s">
        <v>104</v>
      </c>
      <c r="K147">
        <v>12826034</v>
      </c>
      <c r="L147" t="s">
        <v>1260</v>
      </c>
      <c r="M147" t="s">
        <v>101</v>
      </c>
      <c r="N147" t="s">
        <v>88</v>
      </c>
      <c r="O147" t="s">
        <v>1351</v>
      </c>
      <c r="P147" t="s">
        <v>1096</v>
      </c>
      <c r="Q147" t="s">
        <v>24</v>
      </c>
      <c r="R147" t="s">
        <v>25</v>
      </c>
      <c r="S147">
        <v>26.45</v>
      </c>
      <c r="T147">
        <v>100</v>
      </c>
      <c r="V147">
        <v>0</v>
      </c>
      <c r="X147" t="s">
        <v>469</v>
      </c>
      <c r="AA147">
        <v>1440</v>
      </c>
      <c r="AB147" t="s">
        <v>26</v>
      </c>
      <c r="AC147">
        <v>125</v>
      </c>
      <c r="AD147" t="s">
        <v>27</v>
      </c>
      <c r="AE147" t="s">
        <v>28</v>
      </c>
      <c r="AF147">
        <v>0</v>
      </c>
      <c r="AK147" s="12">
        <f t="shared" si="24"/>
        <v>46100</v>
      </c>
      <c r="AL147" s="1" t="str">
        <f t="shared" si="25"/>
        <v>Week12</v>
      </c>
      <c r="AM147" s="1" t="s">
        <v>102</v>
      </c>
      <c r="AN147" s="1" t="str">
        <f t="shared" si="26"/>
        <v>Go</v>
      </c>
      <c r="AO147" s="2">
        <f t="shared" si="27"/>
        <v>100</v>
      </c>
      <c r="AP147" s="1">
        <f t="shared" si="28"/>
        <v>0</v>
      </c>
      <c r="AQ147" s="1">
        <f t="shared" si="29"/>
        <v>0</v>
      </c>
      <c r="AR147" s="1" t="s">
        <v>95</v>
      </c>
      <c r="AS147" s="1" t="s">
        <v>93</v>
      </c>
      <c r="AT147" s="1" t="s">
        <v>93</v>
      </c>
      <c r="AU147" s="1" t="str">
        <f t="shared" si="30"/>
        <v/>
      </c>
      <c r="AV147" s="1" t="str">
        <f t="shared" si="31"/>
        <v>12826034Tejas Patel</v>
      </c>
      <c r="AW147" s="1" t="str">
        <f t="shared" si="32"/>
        <v/>
      </c>
      <c r="AX147" s="1" t="str">
        <f t="shared" si="33"/>
        <v/>
      </c>
      <c r="AY147" s="1" t="s">
        <v>24</v>
      </c>
      <c r="AZ147" s="1" t="b">
        <v>0</v>
      </c>
      <c r="BA147" s="1" t="str">
        <f t="shared" si="34"/>
        <v/>
      </c>
      <c r="BB147" s="1">
        <f t="shared" si="35"/>
        <v>0</v>
      </c>
      <c r="BC147" s="1" t="s">
        <v>1096</v>
      </c>
      <c r="BD147" s="1" t="s">
        <v>43</v>
      </c>
      <c r="BE147" s="1" t="s">
        <v>98</v>
      </c>
      <c r="BF147" s="1" t="b">
        <v>0</v>
      </c>
      <c r="BG147" s="1" t="str">
        <f>VLOOKUP(AM147,Group!$C:$H,5,0)</f>
        <v>Top 25</v>
      </c>
      <c r="BH147" s="1" t="str">
        <f>VLOOKUP(P147,others!$C:$G,5,0)</f>
        <v>QA</v>
      </c>
    </row>
    <row r="148" spans="1:60" x14ac:dyDescent="0.25">
      <c r="A148" s="14">
        <v>46085.563449074078</v>
      </c>
      <c r="B148" s="14">
        <v>46085.792615740742</v>
      </c>
      <c r="C148" s="14">
        <v>46100.240648148145</v>
      </c>
      <c r="D148" s="14">
        <v>46100.469814814816</v>
      </c>
      <c r="E148" s="14">
        <v>46099.988715277781</v>
      </c>
      <c r="F148" s="14">
        <v>46100.469814814816</v>
      </c>
      <c r="G148" t="s">
        <v>470</v>
      </c>
      <c r="H148">
        <v>2720</v>
      </c>
      <c r="I148">
        <v>692.78330000000005</v>
      </c>
      <c r="J148" t="s">
        <v>104</v>
      </c>
      <c r="K148">
        <v>12826249</v>
      </c>
      <c r="L148" t="s">
        <v>1304</v>
      </c>
      <c r="M148" t="s">
        <v>116</v>
      </c>
      <c r="N148" t="s">
        <v>88</v>
      </c>
      <c r="O148" t="s">
        <v>1351</v>
      </c>
      <c r="P148" t="s">
        <v>1096</v>
      </c>
      <c r="Q148" t="s">
        <v>24</v>
      </c>
      <c r="R148" t="s">
        <v>1241</v>
      </c>
      <c r="S148">
        <v>144.11000000000001</v>
      </c>
      <c r="T148">
        <v>97</v>
      </c>
      <c r="U148" t="s">
        <v>471</v>
      </c>
      <c r="V148">
        <v>2</v>
      </c>
      <c r="X148" t="s">
        <v>1251</v>
      </c>
      <c r="AA148">
        <v>1440</v>
      </c>
      <c r="AB148" t="s">
        <v>26</v>
      </c>
      <c r="AC148">
        <v>731</v>
      </c>
      <c r="AD148" t="s">
        <v>27</v>
      </c>
      <c r="AE148" t="s">
        <v>28</v>
      </c>
      <c r="AF148">
        <v>0</v>
      </c>
      <c r="AK148" s="12">
        <f t="shared" si="24"/>
        <v>46100</v>
      </c>
      <c r="AL148" s="1" t="str">
        <f t="shared" si="25"/>
        <v>Week12</v>
      </c>
      <c r="AM148" s="1" t="s">
        <v>119</v>
      </c>
      <c r="AN148" s="1" t="str">
        <f t="shared" si="26"/>
        <v>NoGo</v>
      </c>
      <c r="AO148" s="2">
        <f t="shared" si="27"/>
        <v>97.918256887100128</v>
      </c>
      <c r="AP148" s="1">
        <f t="shared" si="28"/>
        <v>2</v>
      </c>
      <c r="AQ148" s="1">
        <f t="shared" si="29"/>
        <v>3</v>
      </c>
      <c r="AR148" s="1" t="s">
        <v>95</v>
      </c>
      <c r="AS148" s="1" t="s">
        <v>93</v>
      </c>
      <c r="AT148" s="1" t="s">
        <v>93</v>
      </c>
      <c r="AU148" s="1" t="str">
        <f t="shared" si="30"/>
        <v>Major</v>
      </c>
      <c r="AV148" s="1" t="str">
        <f t="shared" si="31"/>
        <v>12826249Tejas Patel</v>
      </c>
      <c r="AW148" s="1" t="str">
        <f t="shared" si="32"/>
        <v>Major</v>
      </c>
      <c r="AX148" s="1">
        <f t="shared" si="33"/>
        <v>1</v>
      </c>
      <c r="AY148" s="1" t="s">
        <v>24</v>
      </c>
      <c r="AZ148" s="1" t="b">
        <v>1</v>
      </c>
      <c r="BA148" s="1">
        <f t="shared" si="34"/>
        <v>1</v>
      </c>
      <c r="BB148" s="1">
        <f t="shared" si="35"/>
        <v>2</v>
      </c>
      <c r="BC148" s="1" t="s">
        <v>1096</v>
      </c>
      <c r="BD148" s="1" t="s">
        <v>43</v>
      </c>
      <c r="BE148" s="1" t="s">
        <v>98</v>
      </c>
      <c r="BF148" s="1" t="b">
        <v>1</v>
      </c>
      <c r="BG148" s="1" t="str">
        <f>VLOOKUP(AM148,Group!$C:$H,5,0)</f>
        <v>Top 25</v>
      </c>
      <c r="BH148" s="1" t="str">
        <f>VLOOKUP(P148,others!$C:$G,5,0)</f>
        <v>QA</v>
      </c>
    </row>
    <row r="149" spans="1:60" x14ac:dyDescent="0.25">
      <c r="A149" s="14">
        <v>46085.563449074078</v>
      </c>
      <c r="B149" s="14">
        <v>46085.792615740742</v>
      </c>
      <c r="C149" s="14">
        <v>46100.240648148145</v>
      </c>
      <c r="D149" s="14">
        <v>46100.469814814816</v>
      </c>
      <c r="E149" s="14">
        <v>46099.988715277781</v>
      </c>
      <c r="F149" s="14">
        <v>46100.469814814816</v>
      </c>
      <c r="G149" t="s">
        <v>470</v>
      </c>
      <c r="H149">
        <v>2720</v>
      </c>
      <c r="I149">
        <v>692.78330000000005</v>
      </c>
      <c r="J149" t="s">
        <v>104</v>
      </c>
      <c r="K149">
        <v>12826249</v>
      </c>
      <c r="L149" t="s">
        <v>1304</v>
      </c>
      <c r="M149" t="s">
        <v>116</v>
      </c>
      <c r="N149" t="s">
        <v>88</v>
      </c>
      <c r="O149" t="s">
        <v>1351</v>
      </c>
      <c r="P149" t="s">
        <v>1096</v>
      </c>
      <c r="Q149" t="s">
        <v>24</v>
      </c>
      <c r="R149" t="s">
        <v>1241</v>
      </c>
      <c r="S149">
        <v>144.11000000000001</v>
      </c>
      <c r="T149">
        <v>97</v>
      </c>
      <c r="U149" t="s">
        <v>1243</v>
      </c>
      <c r="V149">
        <v>1</v>
      </c>
      <c r="X149" t="s">
        <v>1251</v>
      </c>
      <c r="AA149">
        <v>1440</v>
      </c>
      <c r="AB149" t="s">
        <v>26</v>
      </c>
      <c r="AC149">
        <v>731</v>
      </c>
      <c r="AD149" t="s">
        <v>27</v>
      </c>
      <c r="AE149" t="s">
        <v>28</v>
      </c>
      <c r="AF149">
        <v>0</v>
      </c>
      <c r="AK149" s="12">
        <f t="shared" si="24"/>
        <v>46100</v>
      </c>
      <c r="AL149" s="1" t="str">
        <f t="shared" si="25"/>
        <v>Week12</v>
      </c>
      <c r="AM149" s="1" t="s">
        <v>119</v>
      </c>
      <c r="AN149" s="1" t="str">
        <f t="shared" si="26"/>
        <v>NoGo</v>
      </c>
      <c r="AO149" s="2">
        <f t="shared" si="27"/>
        <v>97.918256887100128</v>
      </c>
      <c r="AP149" s="1">
        <f t="shared" si="28"/>
        <v>1</v>
      </c>
      <c r="AQ149" s="1">
        <f t="shared" si="29"/>
        <v>3</v>
      </c>
      <c r="AR149" s="1" t="s">
        <v>95</v>
      </c>
      <c r="AS149" s="1" t="s">
        <v>93</v>
      </c>
      <c r="AT149" s="1" t="s">
        <v>93</v>
      </c>
      <c r="AU149" s="1" t="str">
        <f t="shared" si="30"/>
        <v>Major</v>
      </c>
      <c r="AV149" s="1" t="str">
        <f t="shared" si="31"/>
        <v>12826249Tejas Patel</v>
      </c>
      <c r="AW149" s="1" t="str">
        <f t="shared" si="32"/>
        <v>Major</v>
      </c>
      <c r="AX149" s="1">
        <f t="shared" si="33"/>
        <v>1</v>
      </c>
      <c r="AY149" s="1" t="s">
        <v>24</v>
      </c>
      <c r="AZ149" s="1" t="b">
        <v>1</v>
      </c>
      <c r="BA149" s="1">
        <f t="shared" si="34"/>
        <v>1</v>
      </c>
      <c r="BB149" s="1">
        <f t="shared" si="35"/>
        <v>1</v>
      </c>
      <c r="BC149" s="1" t="s">
        <v>1096</v>
      </c>
      <c r="BD149" s="1" t="s">
        <v>43</v>
      </c>
      <c r="BE149" s="1" t="s">
        <v>98</v>
      </c>
      <c r="BF149" s="1" t="b">
        <v>1</v>
      </c>
      <c r="BG149" s="1" t="str">
        <f>VLOOKUP(AM149,Group!$C:$H,5,0)</f>
        <v>Top 25</v>
      </c>
      <c r="BH149" s="1" t="str">
        <f>VLOOKUP(P149,others!$C:$G,5,0)</f>
        <v>QA</v>
      </c>
    </row>
    <row r="150" spans="1:60" x14ac:dyDescent="0.25">
      <c r="A150" s="14">
        <v>46085.563449074078</v>
      </c>
      <c r="B150" s="14">
        <v>46085.792615740742</v>
      </c>
      <c r="C150" s="14">
        <v>46100.240648148145</v>
      </c>
      <c r="D150" s="14">
        <v>46100.469814814816</v>
      </c>
      <c r="E150" s="14">
        <v>46099.988715277781</v>
      </c>
      <c r="F150" s="14">
        <v>46100.469814814816</v>
      </c>
      <c r="G150" t="s">
        <v>470</v>
      </c>
      <c r="H150">
        <v>2720</v>
      </c>
      <c r="I150">
        <v>692.78330000000005</v>
      </c>
      <c r="J150" t="s">
        <v>104</v>
      </c>
      <c r="K150">
        <v>12826249</v>
      </c>
      <c r="L150" t="s">
        <v>1304</v>
      </c>
      <c r="M150" t="s">
        <v>116</v>
      </c>
      <c r="N150" t="s">
        <v>88</v>
      </c>
      <c r="O150" t="s">
        <v>1351</v>
      </c>
      <c r="P150" t="s">
        <v>1096</v>
      </c>
      <c r="Q150" t="s">
        <v>24</v>
      </c>
      <c r="R150" t="s">
        <v>1241</v>
      </c>
      <c r="S150">
        <v>144.11000000000001</v>
      </c>
      <c r="T150">
        <v>97</v>
      </c>
      <c r="U150" t="s">
        <v>100</v>
      </c>
      <c r="V150">
        <v>3</v>
      </c>
      <c r="X150" t="s">
        <v>1251</v>
      </c>
      <c r="AA150">
        <v>1440</v>
      </c>
      <c r="AB150" t="s">
        <v>26</v>
      </c>
      <c r="AC150">
        <v>731</v>
      </c>
      <c r="AD150" t="s">
        <v>27</v>
      </c>
      <c r="AE150" t="s">
        <v>28</v>
      </c>
      <c r="AF150">
        <v>0</v>
      </c>
      <c r="AK150" s="12">
        <f t="shared" si="24"/>
        <v>46100</v>
      </c>
      <c r="AL150" s="1" t="str">
        <f t="shared" si="25"/>
        <v>Week12</v>
      </c>
      <c r="AM150" s="1" t="s">
        <v>119</v>
      </c>
      <c r="AN150" s="1" t="str">
        <f t="shared" si="26"/>
        <v>NoGo</v>
      </c>
      <c r="AO150" s="2">
        <f t="shared" si="27"/>
        <v>97.918256887100128</v>
      </c>
      <c r="AP150" s="1">
        <f t="shared" si="28"/>
        <v>0</v>
      </c>
      <c r="AQ150" s="1">
        <f t="shared" si="29"/>
        <v>3</v>
      </c>
      <c r="AR150" s="1" t="s">
        <v>95</v>
      </c>
      <c r="AS150" s="1" t="s">
        <v>93</v>
      </c>
      <c r="AT150" s="1" t="s">
        <v>93</v>
      </c>
      <c r="AU150" s="1" t="str">
        <f t="shared" si="30"/>
        <v>Minor</v>
      </c>
      <c r="AV150" s="1" t="str">
        <f t="shared" si="31"/>
        <v>12826249Tejas Patel</v>
      </c>
      <c r="AW150" s="1" t="str">
        <f t="shared" si="32"/>
        <v>Minor</v>
      </c>
      <c r="AX150" s="1">
        <f t="shared" si="33"/>
        <v>0</v>
      </c>
      <c r="AY150" s="1" t="s">
        <v>24</v>
      </c>
      <c r="AZ150" s="1" t="b">
        <v>0</v>
      </c>
      <c r="BA150" s="1">
        <f t="shared" si="34"/>
        <v>1</v>
      </c>
      <c r="BB150" s="1">
        <f t="shared" si="35"/>
        <v>3</v>
      </c>
      <c r="BC150" s="1" t="s">
        <v>1096</v>
      </c>
      <c r="BD150" s="1" t="s">
        <v>43</v>
      </c>
      <c r="BE150" s="1" t="s">
        <v>98</v>
      </c>
      <c r="BF150" s="1" t="b">
        <v>0</v>
      </c>
      <c r="BG150" s="1" t="str">
        <f>VLOOKUP(AM150,Group!$C:$H,5,0)</f>
        <v>Top 25</v>
      </c>
      <c r="BH150" s="1" t="str">
        <f>VLOOKUP(P150,others!$C:$G,5,0)</f>
        <v>QA</v>
      </c>
    </row>
    <row r="151" spans="1:60" x14ac:dyDescent="0.25">
      <c r="A151" s="14">
        <v>46092.689293981479</v>
      </c>
      <c r="B151" s="14">
        <v>46092.91846064815</v>
      </c>
      <c r="C151" s="14">
        <v>46100.706516203703</v>
      </c>
      <c r="D151" s="14">
        <v>46100.935682870368</v>
      </c>
      <c r="E151" s="14">
        <v>46099.989131944443</v>
      </c>
      <c r="F151" s="14">
        <v>46100.935682870368</v>
      </c>
      <c r="G151" t="s">
        <v>470</v>
      </c>
      <c r="H151">
        <v>181</v>
      </c>
      <c r="I151">
        <v>1363.0333000000001</v>
      </c>
      <c r="J151" t="s">
        <v>104</v>
      </c>
      <c r="K151">
        <v>12828310</v>
      </c>
      <c r="L151" t="s">
        <v>1253</v>
      </c>
      <c r="M151" t="s">
        <v>101</v>
      </c>
      <c r="N151" t="s">
        <v>88</v>
      </c>
      <c r="O151" t="s">
        <v>1351</v>
      </c>
      <c r="P151" t="s">
        <v>1096</v>
      </c>
      <c r="Q151" t="s">
        <v>24</v>
      </c>
      <c r="R151" t="s">
        <v>25</v>
      </c>
      <c r="S151">
        <v>27.6</v>
      </c>
      <c r="T151">
        <v>100</v>
      </c>
      <c r="U151" t="s">
        <v>100</v>
      </c>
      <c r="V151">
        <v>1</v>
      </c>
      <c r="X151" t="s">
        <v>469</v>
      </c>
      <c r="AA151">
        <v>1440</v>
      </c>
      <c r="AB151" t="s">
        <v>26</v>
      </c>
      <c r="AC151">
        <v>132</v>
      </c>
      <c r="AD151" t="s">
        <v>27</v>
      </c>
      <c r="AE151" t="s">
        <v>28</v>
      </c>
      <c r="AF151">
        <v>0</v>
      </c>
      <c r="AK151" s="12">
        <f t="shared" si="24"/>
        <v>46100</v>
      </c>
      <c r="AL151" s="1" t="str">
        <f t="shared" si="25"/>
        <v>Week12</v>
      </c>
      <c r="AM151" s="1" t="s">
        <v>102</v>
      </c>
      <c r="AN151" s="1" t="str">
        <f t="shared" si="26"/>
        <v>Go</v>
      </c>
      <c r="AO151" s="2">
        <f t="shared" si="27"/>
        <v>100</v>
      </c>
      <c r="AP151" s="1">
        <f t="shared" si="28"/>
        <v>0</v>
      </c>
      <c r="AQ151" s="1">
        <f t="shared" si="29"/>
        <v>0</v>
      </c>
      <c r="AR151" s="1" t="s">
        <v>95</v>
      </c>
      <c r="AS151" s="1" t="s">
        <v>93</v>
      </c>
      <c r="AT151" s="1" t="s">
        <v>93</v>
      </c>
      <c r="AU151" s="1" t="str">
        <f t="shared" si="30"/>
        <v>Minor</v>
      </c>
      <c r="AV151" s="1" t="str">
        <f t="shared" si="31"/>
        <v>12828310Tejas Patel</v>
      </c>
      <c r="AW151" s="1" t="str">
        <f t="shared" si="32"/>
        <v>Minor</v>
      </c>
      <c r="AX151" s="1">
        <f t="shared" si="33"/>
        <v>0</v>
      </c>
      <c r="AY151" s="1" t="s">
        <v>24</v>
      </c>
      <c r="AZ151" s="1" t="b">
        <v>0</v>
      </c>
      <c r="BA151" s="1">
        <f t="shared" si="34"/>
        <v>1</v>
      </c>
      <c r="BB151" s="1">
        <f t="shared" si="35"/>
        <v>1</v>
      </c>
      <c r="BC151" s="1" t="s">
        <v>1096</v>
      </c>
      <c r="BD151" s="1" t="s">
        <v>43</v>
      </c>
      <c r="BE151" s="1" t="s">
        <v>98</v>
      </c>
      <c r="BF151" s="1" t="b">
        <v>0</v>
      </c>
      <c r="BG151" s="1" t="str">
        <f>VLOOKUP(AM151,Group!$C:$H,5,0)</f>
        <v>Top 25</v>
      </c>
      <c r="BH151" s="1" t="str">
        <f>VLOOKUP(P151,others!$C:$G,5,0)</f>
        <v>QA</v>
      </c>
    </row>
    <row r="152" spans="1:60" x14ac:dyDescent="0.25">
      <c r="A152" s="14">
        <v>46097.682766203703</v>
      </c>
      <c r="B152" s="14">
        <v>46097.911932870367</v>
      </c>
      <c r="C152" s="14">
        <v>46100.714490740742</v>
      </c>
      <c r="D152" s="14">
        <v>46100.943657407406</v>
      </c>
      <c r="E152" s="14">
        <v>46099.990659722222</v>
      </c>
      <c r="F152" s="14">
        <v>46100.943657407406</v>
      </c>
      <c r="G152" t="s">
        <v>470</v>
      </c>
      <c r="H152">
        <v>678</v>
      </c>
      <c r="I152">
        <v>1372.3167000000001</v>
      </c>
      <c r="J152" t="s">
        <v>104</v>
      </c>
      <c r="K152">
        <v>12829410</v>
      </c>
      <c r="L152" t="s">
        <v>1370</v>
      </c>
      <c r="M152" t="s">
        <v>116</v>
      </c>
      <c r="N152" t="s">
        <v>88</v>
      </c>
      <c r="O152" t="s">
        <v>1371</v>
      </c>
      <c r="P152" t="s">
        <v>482</v>
      </c>
      <c r="Q152" t="s">
        <v>24</v>
      </c>
      <c r="R152" t="s">
        <v>1241</v>
      </c>
      <c r="S152">
        <v>89.91</v>
      </c>
      <c r="T152">
        <v>98</v>
      </c>
      <c r="U152" t="s">
        <v>471</v>
      </c>
      <c r="V152">
        <v>2</v>
      </c>
      <c r="X152" t="s">
        <v>1245</v>
      </c>
      <c r="AA152">
        <v>1440</v>
      </c>
      <c r="AB152" t="s">
        <v>26</v>
      </c>
      <c r="AC152">
        <v>629</v>
      </c>
      <c r="AD152" t="s">
        <v>27</v>
      </c>
      <c r="AE152" t="s">
        <v>28</v>
      </c>
      <c r="AF152">
        <v>0</v>
      </c>
      <c r="AK152" s="12">
        <f t="shared" si="24"/>
        <v>46100</v>
      </c>
      <c r="AL152" s="1" t="str">
        <f t="shared" si="25"/>
        <v>Week12</v>
      </c>
      <c r="AM152" s="1" t="s">
        <v>119</v>
      </c>
      <c r="AN152" s="1" t="str">
        <f t="shared" si="26"/>
        <v>NoGo</v>
      </c>
      <c r="AO152" s="2">
        <f t="shared" si="27"/>
        <v>97.775553331108881</v>
      </c>
      <c r="AP152" s="1">
        <f t="shared" si="28"/>
        <v>2</v>
      </c>
      <c r="AQ152" s="1">
        <f t="shared" si="29"/>
        <v>2</v>
      </c>
      <c r="AR152" s="1" t="s">
        <v>95</v>
      </c>
      <c r="AS152" s="1" t="s">
        <v>93</v>
      </c>
      <c r="AT152" s="1" t="s">
        <v>93</v>
      </c>
      <c r="AU152" s="1" t="str">
        <f t="shared" si="30"/>
        <v>Major</v>
      </c>
      <c r="AV152" s="1" t="str">
        <f t="shared" si="31"/>
        <v>12829410Chintul Sutaria</v>
      </c>
      <c r="AW152" s="1" t="str">
        <f t="shared" si="32"/>
        <v>Major</v>
      </c>
      <c r="AX152" s="1">
        <f t="shared" si="33"/>
        <v>1</v>
      </c>
      <c r="AY152" s="1" t="s">
        <v>24</v>
      </c>
      <c r="AZ152" s="1" t="b">
        <v>1</v>
      </c>
      <c r="BA152" s="1">
        <f t="shared" si="34"/>
        <v>1</v>
      </c>
      <c r="BB152" s="1">
        <f t="shared" si="35"/>
        <v>2</v>
      </c>
      <c r="BC152" s="1" t="s">
        <v>482</v>
      </c>
      <c r="BD152" s="1" t="s">
        <v>43</v>
      </c>
      <c r="BE152" s="1" t="s">
        <v>98</v>
      </c>
      <c r="BF152" s="1" t="b">
        <v>1</v>
      </c>
      <c r="BG152" s="1" t="str">
        <f>VLOOKUP(AM152,Group!$C:$H,5,0)</f>
        <v>Top 25</v>
      </c>
      <c r="BH152" s="1" t="str">
        <f>VLOOKUP(P152,others!$C:$G,5,0)</f>
        <v>QA</v>
      </c>
    </row>
    <row r="153" spans="1:60" x14ac:dyDescent="0.25">
      <c r="A153" s="14">
        <v>46097.682766203703</v>
      </c>
      <c r="B153" s="14">
        <v>46097.911932870367</v>
      </c>
      <c r="C153" s="14">
        <v>46100.714490740742</v>
      </c>
      <c r="D153" s="14">
        <v>46100.943657407406</v>
      </c>
      <c r="E153" s="14">
        <v>46099.990659722222</v>
      </c>
      <c r="F153" s="14">
        <v>46100.943657407406</v>
      </c>
      <c r="G153" t="s">
        <v>470</v>
      </c>
      <c r="H153">
        <v>678</v>
      </c>
      <c r="I153">
        <v>1372.3167000000001</v>
      </c>
      <c r="J153" t="s">
        <v>104</v>
      </c>
      <c r="K153">
        <v>12829410</v>
      </c>
      <c r="L153" t="s">
        <v>1370</v>
      </c>
      <c r="M153" t="s">
        <v>116</v>
      </c>
      <c r="N153" t="s">
        <v>88</v>
      </c>
      <c r="O153" t="s">
        <v>1371</v>
      </c>
      <c r="P153" t="s">
        <v>482</v>
      </c>
      <c r="Q153" t="s">
        <v>24</v>
      </c>
      <c r="R153" t="s">
        <v>1241</v>
      </c>
      <c r="S153">
        <v>89.91</v>
      </c>
      <c r="T153">
        <v>98</v>
      </c>
      <c r="U153" t="s">
        <v>100</v>
      </c>
      <c r="V153">
        <v>2</v>
      </c>
      <c r="X153" t="s">
        <v>1245</v>
      </c>
      <c r="AA153">
        <v>1440</v>
      </c>
      <c r="AB153" t="s">
        <v>26</v>
      </c>
      <c r="AC153">
        <v>629</v>
      </c>
      <c r="AD153" t="s">
        <v>27</v>
      </c>
      <c r="AE153" t="s">
        <v>28</v>
      </c>
      <c r="AF153">
        <v>0</v>
      </c>
      <c r="AK153" s="12">
        <f t="shared" si="24"/>
        <v>46100</v>
      </c>
      <c r="AL153" s="1" t="str">
        <f t="shared" si="25"/>
        <v>Week12</v>
      </c>
      <c r="AM153" s="1" t="s">
        <v>119</v>
      </c>
      <c r="AN153" s="1" t="str">
        <f t="shared" si="26"/>
        <v>NoGo</v>
      </c>
      <c r="AO153" s="2">
        <f t="shared" si="27"/>
        <v>97.775553331108881</v>
      </c>
      <c r="AP153" s="1">
        <f t="shared" si="28"/>
        <v>0</v>
      </c>
      <c r="AQ153" s="1">
        <f t="shared" si="29"/>
        <v>2</v>
      </c>
      <c r="AR153" s="1" t="s">
        <v>95</v>
      </c>
      <c r="AS153" s="1" t="s">
        <v>93</v>
      </c>
      <c r="AT153" s="1" t="s">
        <v>93</v>
      </c>
      <c r="AU153" s="1" t="str">
        <f t="shared" si="30"/>
        <v>Minor</v>
      </c>
      <c r="AV153" s="1" t="str">
        <f t="shared" si="31"/>
        <v>12829410Chintul Sutaria</v>
      </c>
      <c r="AW153" s="1" t="str">
        <f t="shared" si="32"/>
        <v>Minor</v>
      </c>
      <c r="AX153" s="1">
        <f t="shared" si="33"/>
        <v>0</v>
      </c>
      <c r="AY153" s="1" t="s">
        <v>24</v>
      </c>
      <c r="AZ153" s="1" t="b">
        <v>0</v>
      </c>
      <c r="BA153" s="1">
        <f t="shared" si="34"/>
        <v>1</v>
      </c>
      <c r="BB153" s="1">
        <f t="shared" si="35"/>
        <v>2</v>
      </c>
      <c r="BC153" s="1" t="s">
        <v>482</v>
      </c>
      <c r="BD153" s="1" t="s">
        <v>43</v>
      </c>
      <c r="BE153" s="1" t="s">
        <v>98</v>
      </c>
      <c r="BF153" s="1" t="b">
        <v>0</v>
      </c>
      <c r="BG153" s="1" t="str">
        <f>VLOOKUP(AM153,Group!$C:$H,5,0)</f>
        <v>Top 25</v>
      </c>
      <c r="BH153" s="1" t="str">
        <f>VLOOKUP(P153,others!$C:$G,5,0)</f>
        <v>QA</v>
      </c>
    </row>
    <row r="154" spans="1:60" x14ac:dyDescent="0.25">
      <c r="A154" s="14">
        <v>46093.698865740742</v>
      </c>
      <c r="B154" s="14">
        <v>46093.928032407406</v>
      </c>
      <c r="C154" s="14">
        <v>46100.73033564815</v>
      </c>
      <c r="D154" s="14">
        <v>46100.959502314814</v>
      </c>
      <c r="E154" s="14">
        <v>46099.989259259259</v>
      </c>
      <c r="F154" s="14">
        <v>46100.959502314814</v>
      </c>
      <c r="G154" t="s">
        <v>470</v>
      </c>
      <c r="H154">
        <v>1060</v>
      </c>
      <c r="I154">
        <v>1397.15</v>
      </c>
      <c r="J154" t="s">
        <v>104</v>
      </c>
      <c r="K154">
        <v>12828723</v>
      </c>
      <c r="L154" t="s">
        <v>1253</v>
      </c>
      <c r="M154" t="s">
        <v>101</v>
      </c>
      <c r="N154" t="s">
        <v>88</v>
      </c>
      <c r="O154" t="s">
        <v>1351</v>
      </c>
      <c r="P154" t="s">
        <v>1096</v>
      </c>
      <c r="Q154" t="s">
        <v>24</v>
      </c>
      <c r="R154" t="s">
        <v>25</v>
      </c>
      <c r="S154">
        <v>25.86</v>
      </c>
      <c r="T154">
        <v>100</v>
      </c>
      <c r="U154" t="s">
        <v>100</v>
      </c>
      <c r="V154">
        <v>1</v>
      </c>
      <c r="X154" t="s">
        <v>469</v>
      </c>
      <c r="AA154">
        <v>1440</v>
      </c>
      <c r="AB154" t="s">
        <v>26</v>
      </c>
      <c r="AC154">
        <v>129</v>
      </c>
      <c r="AD154" t="s">
        <v>27</v>
      </c>
      <c r="AE154" t="s">
        <v>28</v>
      </c>
      <c r="AF154">
        <v>0</v>
      </c>
      <c r="AK154" s="12">
        <f t="shared" si="24"/>
        <v>46100</v>
      </c>
      <c r="AL154" s="1" t="str">
        <f t="shared" si="25"/>
        <v>Week12</v>
      </c>
      <c r="AM154" s="1" t="s">
        <v>102</v>
      </c>
      <c r="AN154" s="1" t="str">
        <f t="shared" si="26"/>
        <v>Go</v>
      </c>
      <c r="AO154" s="2">
        <f t="shared" si="27"/>
        <v>100</v>
      </c>
      <c r="AP154" s="1">
        <f t="shared" si="28"/>
        <v>0</v>
      </c>
      <c r="AQ154" s="1">
        <f t="shared" si="29"/>
        <v>0</v>
      </c>
      <c r="AR154" s="1" t="s">
        <v>95</v>
      </c>
      <c r="AS154" s="1" t="s">
        <v>93</v>
      </c>
      <c r="AT154" s="1" t="s">
        <v>93</v>
      </c>
      <c r="AU154" s="1" t="str">
        <f t="shared" si="30"/>
        <v>Minor</v>
      </c>
      <c r="AV154" s="1" t="str">
        <f t="shared" si="31"/>
        <v>12828723Tejas Patel</v>
      </c>
      <c r="AW154" s="1" t="str">
        <f t="shared" si="32"/>
        <v>Minor</v>
      </c>
      <c r="AX154" s="1">
        <f t="shared" si="33"/>
        <v>0</v>
      </c>
      <c r="AY154" s="1" t="s">
        <v>24</v>
      </c>
      <c r="AZ154" s="1" t="b">
        <v>0</v>
      </c>
      <c r="BA154" s="1">
        <f t="shared" si="34"/>
        <v>1</v>
      </c>
      <c r="BB154" s="1">
        <f t="shared" si="35"/>
        <v>1</v>
      </c>
      <c r="BC154" s="1" t="s">
        <v>1096</v>
      </c>
      <c r="BD154" s="1" t="s">
        <v>43</v>
      </c>
      <c r="BE154" s="1" t="s">
        <v>98</v>
      </c>
      <c r="BF154" s="1" t="b">
        <v>0</v>
      </c>
      <c r="BG154" s="1" t="str">
        <f>VLOOKUP(AM154,Group!$C:$H,5,0)</f>
        <v>Top 25</v>
      </c>
      <c r="BH154" s="1" t="str">
        <f>VLOOKUP(P154,others!$C:$G,5,0)</f>
        <v>QA</v>
      </c>
    </row>
    <row r="155" spans="1:60" x14ac:dyDescent="0.25">
      <c r="A155" s="14">
        <v>46097.544490740744</v>
      </c>
      <c r="B155" s="14">
        <v>46097.773657407408</v>
      </c>
      <c r="C155" s="14">
        <v>46100.740995370368</v>
      </c>
      <c r="D155" s="14">
        <v>46100.97016203704</v>
      </c>
      <c r="E155" s="14">
        <v>46099.990532407406</v>
      </c>
      <c r="F155" s="14">
        <v>46100.97016203704</v>
      </c>
      <c r="G155" t="s">
        <v>470</v>
      </c>
      <c r="H155">
        <v>2085</v>
      </c>
      <c r="I155">
        <v>1410.6667</v>
      </c>
      <c r="J155" t="s">
        <v>104</v>
      </c>
      <c r="K155">
        <v>12829342</v>
      </c>
      <c r="L155" t="s">
        <v>1372</v>
      </c>
      <c r="M155" t="s">
        <v>116</v>
      </c>
      <c r="N155" t="s">
        <v>88</v>
      </c>
      <c r="O155" t="s">
        <v>1371</v>
      </c>
      <c r="P155" t="s">
        <v>482</v>
      </c>
      <c r="Q155" t="s">
        <v>24</v>
      </c>
      <c r="R155" t="s">
        <v>25</v>
      </c>
      <c r="S155">
        <v>171.06</v>
      </c>
      <c r="T155">
        <v>100</v>
      </c>
      <c r="U155" t="s">
        <v>100</v>
      </c>
      <c r="V155">
        <v>1</v>
      </c>
      <c r="X155" t="s">
        <v>1251</v>
      </c>
      <c r="AA155">
        <v>1440</v>
      </c>
      <c r="AB155" t="s">
        <v>26</v>
      </c>
      <c r="AC155">
        <v>795</v>
      </c>
      <c r="AD155" t="s">
        <v>27</v>
      </c>
      <c r="AE155" t="s">
        <v>28</v>
      </c>
      <c r="AF155">
        <v>0</v>
      </c>
      <c r="AK155" s="12">
        <f t="shared" si="24"/>
        <v>46100</v>
      </c>
      <c r="AL155" s="1" t="str">
        <f t="shared" si="25"/>
        <v>Week12</v>
      </c>
      <c r="AM155" s="1" t="s">
        <v>119</v>
      </c>
      <c r="AN155" s="1" t="str">
        <f t="shared" si="26"/>
        <v>Go</v>
      </c>
      <c r="AO155" s="2">
        <f t="shared" si="27"/>
        <v>100</v>
      </c>
      <c r="AP155" s="1">
        <f t="shared" si="28"/>
        <v>0</v>
      </c>
      <c r="AQ155" s="1">
        <f t="shared" si="29"/>
        <v>0</v>
      </c>
      <c r="AR155" s="1" t="s">
        <v>95</v>
      </c>
      <c r="AS155" s="1" t="s">
        <v>93</v>
      </c>
      <c r="AT155" s="1" t="s">
        <v>93</v>
      </c>
      <c r="AU155" s="1" t="str">
        <f t="shared" si="30"/>
        <v>Minor</v>
      </c>
      <c r="AV155" s="1" t="str">
        <f t="shared" si="31"/>
        <v>12829342Chintul Sutaria</v>
      </c>
      <c r="AW155" s="1" t="str">
        <f t="shared" si="32"/>
        <v>Minor</v>
      </c>
      <c r="AX155" s="1">
        <f t="shared" si="33"/>
        <v>0</v>
      </c>
      <c r="AY155" s="1" t="s">
        <v>24</v>
      </c>
      <c r="AZ155" s="1" t="b">
        <v>0</v>
      </c>
      <c r="BA155" s="1">
        <f t="shared" si="34"/>
        <v>1</v>
      </c>
      <c r="BB155" s="1">
        <f t="shared" si="35"/>
        <v>1</v>
      </c>
      <c r="BC155" s="1" t="s">
        <v>482</v>
      </c>
      <c r="BD155" s="1" t="s">
        <v>43</v>
      </c>
      <c r="BE155" s="1" t="s">
        <v>98</v>
      </c>
      <c r="BF155" s="1" t="b">
        <v>0</v>
      </c>
      <c r="BG155" s="1" t="str">
        <f>VLOOKUP(AM155,Group!$C:$H,5,0)</f>
        <v>Top 25</v>
      </c>
      <c r="BH155" s="1" t="str">
        <f>VLOOKUP(P155,others!$C:$G,5,0)</f>
        <v>QA</v>
      </c>
    </row>
    <row r="156" spans="1:60" x14ac:dyDescent="0.25">
      <c r="A156" s="14">
        <v>46098.277951388889</v>
      </c>
      <c r="B156" s="14">
        <v>46098.507118055553</v>
      </c>
      <c r="C156" s="14">
        <v>46100.741967592592</v>
      </c>
      <c r="D156" s="14">
        <v>46100.971134259256</v>
      </c>
      <c r="E156" s="14">
        <v>46099.99046296296</v>
      </c>
      <c r="F156" s="14">
        <v>46100.971134259256</v>
      </c>
      <c r="G156" t="s">
        <v>470</v>
      </c>
      <c r="H156">
        <v>73</v>
      </c>
      <c r="I156">
        <v>1412.1667</v>
      </c>
      <c r="J156" t="s">
        <v>104</v>
      </c>
      <c r="K156">
        <v>12829607</v>
      </c>
      <c r="L156" t="s">
        <v>1373</v>
      </c>
      <c r="M156" t="s">
        <v>165</v>
      </c>
      <c r="N156" t="s">
        <v>97</v>
      </c>
      <c r="O156" t="s">
        <v>1371</v>
      </c>
      <c r="P156" t="s">
        <v>482</v>
      </c>
      <c r="Q156" t="s">
        <v>24</v>
      </c>
      <c r="R156" t="s">
        <v>25</v>
      </c>
      <c r="S156">
        <v>10.45</v>
      </c>
      <c r="T156">
        <v>100</v>
      </c>
      <c r="V156">
        <v>0</v>
      </c>
      <c r="X156" t="s">
        <v>1374</v>
      </c>
      <c r="AA156">
        <v>2880</v>
      </c>
      <c r="AB156" t="s">
        <v>26</v>
      </c>
      <c r="AC156">
        <v>62</v>
      </c>
      <c r="AD156" t="s">
        <v>27</v>
      </c>
      <c r="AE156" t="s">
        <v>28</v>
      </c>
      <c r="AF156">
        <v>0</v>
      </c>
      <c r="AK156" s="12">
        <f t="shared" si="24"/>
        <v>46100</v>
      </c>
      <c r="AL156" s="1" t="str">
        <f t="shared" si="25"/>
        <v>Week12</v>
      </c>
      <c r="AM156" s="1" t="s">
        <v>171</v>
      </c>
      <c r="AN156" s="1" t="str">
        <f t="shared" si="26"/>
        <v>Go</v>
      </c>
      <c r="AO156" s="2">
        <f t="shared" si="27"/>
        <v>100</v>
      </c>
      <c r="AP156" s="1">
        <f t="shared" si="28"/>
        <v>0</v>
      </c>
      <c r="AQ156" s="1">
        <f t="shared" si="29"/>
        <v>0</v>
      </c>
      <c r="AR156" s="1" t="s">
        <v>95</v>
      </c>
      <c r="AS156" s="1" t="s">
        <v>93</v>
      </c>
      <c r="AT156" s="1" t="s">
        <v>93</v>
      </c>
      <c r="AU156" s="1" t="str">
        <f t="shared" si="30"/>
        <v/>
      </c>
      <c r="AV156" s="1" t="str">
        <f t="shared" si="31"/>
        <v>12829607Chintul Sutaria</v>
      </c>
      <c r="AW156" s="1" t="str">
        <f t="shared" si="32"/>
        <v/>
      </c>
      <c r="AX156" s="1" t="str">
        <f t="shared" si="33"/>
        <v/>
      </c>
      <c r="AY156" s="1" t="s">
        <v>24</v>
      </c>
      <c r="AZ156" s="1" t="b">
        <v>0</v>
      </c>
      <c r="BA156" s="1" t="str">
        <f t="shared" si="34"/>
        <v/>
      </c>
      <c r="BB156" s="1">
        <f t="shared" si="35"/>
        <v>0</v>
      </c>
      <c r="BC156" s="1" t="s">
        <v>482</v>
      </c>
      <c r="BD156" s="1" t="s">
        <v>43</v>
      </c>
      <c r="BE156" s="1" t="s">
        <v>98</v>
      </c>
      <c r="BF156" s="1" t="b">
        <v>0</v>
      </c>
      <c r="BG156" s="1" t="str">
        <f>VLOOKUP(AM156,Group!$C:$H,5,0)</f>
        <v>Others</v>
      </c>
      <c r="BH156" s="1" t="str">
        <f>VLOOKUP(P156,others!$C:$G,5,0)</f>
        <v>QA</v>
      </c>
    </row>
    <row r="157" spans="1:60" x14ac:dyDescent="0.25">
      <c r="A157" s="14">
        <v>46096.563449074078</v>
      </c>
      <c r="B157" s="14">
        <v>46096.792615740742</v>
      </c>
      <c r="C157" s="14">
        <v>46100.752476851849</v>
      </c>
      <c r="D157" s="14">
        <v>46100.98164351852</v>
      </c>
      <c r="E157" s="14">
        <v>46099.989363425928</v>
      </c>
      <c r="F157" s="14">
        <v>46100.98164351852</v>
      </c>
      <c r="G157" t="s">
        <v>470</v>
      </c>
      <c r="H157">
        <v>9472</v>
      </c>
      <c r="I157">
        <v>1428.8833</v>
      </c>
      <c r="J157" t="s">
        <v>104</v>
      </c>
      <c r="K157">
        <v>12829182</v>
      </c>
      <c r="L157" t="s">
        <v>1375</v>
      </c>
      <c r="M157" t="s">
        <v>173</v>
      </c>
      <c r="N157" t="s">
        <v>88</v>
      </c>
      <c r="O157" t="s">
        <v>1371</v>
      </c>
      <c r="P157" t="s">
        <v>482</v>
      </c>
      <c r="Q157" t="s">
        <v>24</v>
      </c>
      <c r="R157" t="s">
        <v>25</v>
      </c>
      <c r="S157">
        <v>161.77000000000001</v>
      </c>
      <c r="T157">
        <v>100</v>
      </c>
      <c r="U157" t="s">
        <v>100</v>
      </c>
      <c r="V157">
        <v>4</v>
      </c>
      <c r="X157" t="s">
        <v>1376</v>
      </c>
      <c r="AA157">
        <v>1440</v>
      </c>
      <c r="AB157" t="s">
        <v>26</v>
      </c>
      <c r="AC157">
        <v>889</v>
      </c>
      <c r="AD157" t="s">
        <v>27</v>
      </c>
      <c r="AE157" t="s">
        <v>28</v>
      </c>
      <c r="AF157">
        <v>0</v>
      </c>
      <c r="AK157" s="12">
        <f t="shared" si="24"/>
        <v>46100</v>
      </c>
      <c r="AL157" s="1" t="str">
        <f t="shared" si="25"/>
        <v>Week12</v>
      </c>
      <c r="AM157" s="1" t="s">
        <v>188</v>
      </c>
      <c r="AN157" s="1" t="str">
        <f t="shared" si="26"/>
        <v>Go</v>
      </c>
      <c r="AO157" s="2">
        <f t="shared" si="27"/>
        <v>100</v>
      </c>
      <c r="AP157" s="1">
        <f t="shared" si="28"/>
        <v>0</v>
      </c>
      <c r="AQ157" s="1">
        <f t="shared" si="29"/>
        <v>0</v>
      </c>
      <c r="AR157" s="1" t="s">
        <v>95</v>
      </c>
      <c r="AS157" s="1" t="s">
        <v>93</v>
      </c>
      <c r="AT157" s="1" t="s">
        <v>93</v>
      </c>
      <c r="AU157" s="1" t="str">
        <f t="shared" si="30"/>
        <v>Minor</v>
      </c>
      <c r="AV157" s="1" t="str">
        <f t="shared" si="31"/>
        <v>12829182Chintul Sutaria</v>
      </c>
      <c r="AW157" s="1" t="str">
        <f t="shared" si="32"/>
        <v>Minor</v>
      </c>
      <c r="AX157" s="1">
        <f t="shared" si="33"/>
        <v>0</v>
      </c>
      <c r="AY157" s="1" t="s">
        <v>24</v>
      </c>
      <c r="AZ157" s="1" t="b">
        <v>0</v>
      </c>
      <c r="BA157" s="1">
        <f t="shared" si="34"/>
        <v>1</v>
      </c>
      <c r="BB157" s="1">
        <f t="shared" si="35"/>
        <v>4</v>
      </c>
      <c r="BC157" s="1" t="s">
        <v>482</v>
      </c>
      <c r="BD157" s="1" t="s">
        <v>43</v>
      </c>
      <c r="BE157" s="1" t="s">
        <v>1377</v>
      </c>
      <c r="BF157" s="1" t="b">
        <v>0</v>
      </c>
      <c r="BG157" s="1" t="str">
        <f>VLOOKUP(AM157,Group!$C:$H,5,0)</f>
        <v>Others</v>
      </c>
      <c r="BH157" s="1" t="str">
        <f>VLOOKUP(P157,others!$C:$G,5,0)</f>
        <v>QA</v>
      </c>
    </row>
    <row r="158" spans="1:60" x14ac:dyDescent="0.25">
      <c r="A158" s="14">
        <v>46091.701041666667</v>
      </c>
      <c r="B158" s="14">
        <v>46091.930208333331</v>
      </c>
      <c r="C158" s="14">
        <v>46100.757210648146</v>
      </c>
      <c r="D158" s="14">
        <v>46100.986377314817</v>
      </c>
      <c r="E158" s="14">
        <v>46097.456377314818</v>
      </c>
      <c r="F158" s="14">
        <v>46100.986377314817</v>
      </c>
      <c r="G158" t="s">
        <v>470</v>
      </c>
      <c r="H158">
        <v>10652</v>
      </c>
      <c r="I158">
        <v>5083.2</v>
      </c>
      <c r="J158" t="s">
        <v>104</v>
      </c>
      <c r="K158">
        <v>12827892</v>
      </c>
      <c r="L158" t="s">
        <v>1272</v>
      </c>
      <c r="M158" t="s">
        <v>101</v>
      </c>
      <c r="N158" t="s">
        <v>88</v>
      </c>
      <c r="O158" t="s">
        <v>131</v>
      </c>
      <c r="P158" t="s">
        <v>132</v>
      </c>
      <c r="Q158" t="s">
        <v>1328</v>
      </c>
      <c r="R158" t="s">
        <v>1241</v>
      </c>
      <c r="S158">
        <v>58.4</v>
      </c>
      <c r="T158">
        <v>98</v>
      </c>
      <c r="U158" t="s">
        <v>471</v>
      </c>
      <c r="V158">
        <v>2</v>
      </c>
      <c r="X158" t="s">
        <v>469</v>
      </c>
      <c r="AA158">
        <v>1440</v>
      </c>
      <c r="AB158" t="s">
        <v>26</v>
      </c>
      <c r="AC158">
        <v>222</v>
      </c>
      <c r="AD158" t="s">
        <v>27</v>
      </c>
      <c r="AE158" t="s">
        <v>28</v>
      </c>
      <c r="AF158">
        <v>0</v>
      </c>
      <c r="AK158" s="12">
        <f t="shared" si="24"/>
        <v>46100</v>
      </c>
      <c r="AL158" s="1" t="str">
        <f t="shared" si="25"/>
        <v>Week12</v>
      </c>
      <c r="AM158" s="1" t="s">
        <v>102</v>
      </c>
      <c r="AN158" s="1" t="str">
        <f t="shared" si="26"/>
        <v>NoGo</v>
      </c>
      <c r="AO158" s="2">
        <f t="shared" si="27"/>
        <v>96.575342465753423</v>
      </c>
      <c r="AP158" s="1">
        <f t="shared" si="28"/>
        <v>2</v>
      </c>
      <c r="AQ158" s="1">
        <f t="shared" si="29"/>
        <v>2</v>
      </c>
      <c r="AR158" s="1" t="s">
        <v>95</v>
      </c>
      <c r="AS158" s="1" t="s">
        <v>96</v>
      </c>
      <c r="AT158" s="1" t="s">
        <v>96</v>
      </c>
      <c r="AU158" s="1" t="str">
        <f t="shared" si="30"/>
        <v>Major</v>
      </c>
      <c r="AV158" s="1" t="str">
        <f t="shared" si="31"/>
        <v>12827892Pratheep Kumar</v>
      </c>
      <c r="AW158" s="1" t="str">
        <f t="shared" si="32"/>
        <v>Major</v>
      </c>
      <c r="AX158" s="1">
        <f t="shared" si="33"/>
        <v>1</v>
      </c>
      <c r="AY158" s="1" t="s">
        <v>29</v>
      </c>
      <c r="AZ158" s="1" t="b">
        <v>1</v>
      </c>
      <c r="BA158" s="1">
        <f t="shared" si="34"/>
        <v>1</v>
      </c>
      <c r="BB158" s="1">
        <f t="shared" si="35"/>
        <v>2</v>
      </c>
      <c r="BC158" s="1" t="s">
        <v>132</v>
      </c>
      <c r="BD158" s="1" t="s">
        <v>43</v>
      </c>
      <c r="BE158" s="1" t="s">
        <v>98</v>
      </c>
      <c r="BF158" s="1" t="b">
        <v>1</v>
      </c>
      <c r="BG158" s="1" t="str">
        <f>VLOOKUP(AM158,Group!$C:$H,5,0)</f>
        <v>Top 25</v>
      </c>
      <c r="BH158" s="1" t="str">
        <f>VLOOKUP(P158,others!$C:$G,5,0)</f>
        <v>MT - India</v>
      </c>
    </row>
    <row r="159" spans="1:60" x14ac:dyDescent="0.25">
      <c r="A159" s="14">
        <v>46091.701041666667</v>
      </c>
      <c r="B159" s="14">
        <v>46091.930208333331</v>
      </c>
      <c r="C159" s="14">
        <v>46100.757210648146</v>
      </c>
      <c r="D159" s="14">
        <v>46100.986377314817</v>
      </c>
      <c r="E159" s="14">
        <v>46097.456377314818</v>
      </c>
      <c r="F159" s="14">
        <v>46100.986377314817</v>
      </c>
      <c r="G159" t="s">
        <v>470</v>
      </c>
      <c r="H159">
        <v>10652</v>
      </c>
      <c r="I159">
        <v>5083.2</v>
      </c>
      <c r="J159" t="s">
        <v>104</v>
      </c>
      <c r="K159">
        <v>12827892</v>
      </c>
      <c r="L159" t="s">
        <v>1272</v>
      </c>
      <c r="M159" t="s">
        <v>101</v>
      </c>
      <c r="N159" t="s">
        <v>88</v>
      </c>
      <c r="O159" t="s">
        <v>131</v>
      </c>
      <c r="P159" t="s">
        <v>132</v>
      </c>
      <c r="Q159" t="s">
        <v>1328</v>
      </c>
      <c r="R159" t="s">
        <v>1241</v>
      </c>
      <c r="S159">
        <v>58.4</v>
      </c>
      <c r="T159">
        <v>98</v>
      </c>
      <c r="U159" t="s">
        <v>100</v>
      </c>
      <c r="V159">
        <v>5</v>
      </c>
      <c r="X159" t="s">
        <v>469</v>
      </c>
      <c r="AA159">
        <v>1440</v>
      </c>
      <c r="AB159" t="s">
        <v>26</v>
      </c>
      <c r="AC159">
        <v>222</v>
      </c>
      <c r="AD159" t="s">
        <v>27</v>
      </c>
      <c r="AE159" t="s">
        <v>28</v>
      </c>
      <c r="AF159">
        <v>0</v>
      </c>
      <c r="AK159" s="12">
        <f t="shared" si="24"/>
        <v>46100</v>
      </c>
      <c r="AL159" s="1" t="str">
        <f t="shared" si="25"/>
        <v>Week12</v>
      </c>
      <c r="AM159" s="1" t="s">
        <v>102</v>
      </c>
      <c r="AN159" s="1" t="str">
        <f t="shared" si="26"/>
        <v>NoGo</v>
      </c>
      <c r="AO159" s="2">
        <f t="shared" si="27"/>
        <v>96.575342465753423</v>
      </c>
      <c r="AP159" s="1">
        <f t="shared" si="28"/>
        <v>0</v>
      </c>
      <c r="AQ159" s="1">
        <f t="shared" si="29"/>
        <v>2</v>
      </c>
      <c r="AR159" s="1" t="s">
        <v>95</v>
      </c>
      <c r="AS159" s="1" t="s">
        <v>96</v>
      </c>
      <c r="AT159" s="1" t="s">
        <v>96</v>
      </c>
      <c r="AU159" s="1" t="str">
        <f t="shared" si="30"/>
        <v>Minor</v>
      </c>
      <c r="AV159" s="1" t="str">
        <f t="shared" si="31"/>
        <v>12827892Pratheep Kumar</v>
      </c>
      <c r="AW159" s="1" t="str">
        <f t="shared" si="32"/>
        <v>Minor</v>
      </c>
      <c r="AX159" s="1">
        <f t="shared" si="33"/>
        <v>0</v>
      </c>
      <c r="AY159" s="1" t="s">
        <v>29</v>
      </c>
      <c r="AZ159" s="1" t="b">
        <v>0</v>
      </c>
      <c r="BA159" s="1">
        <f t="shared" si="34"/>
        <v>1</v>
      </c>
      <c r="BB159" s="1">
        <f t="shared" si="35"/>
        <v>5</v>
      </c>
      <c r="BC159" s="1" t="s">
        <v>132</v>
      </c>
      <c r="BD159" s="1" t="s">
        <v>43</v>
      </c>
      <c r="BE159" s="1" t="s">
        <v>98</v>
      </c>
      <c r="BF159" s="1" t="b">
        <v>0</v>
      </c>
      <c r="BG159" s="1" t="str">
        <f>VLOOKUP(AM159,Group!$C:$H,5,0)</f>
        <v>Top 25</v>
      </c>
      <c r="BH159" s="1" t="str">
        <f>VLOOKUP(P159,others!$C:$G,5,0)</f>
        <v>MT - India</v>
      </c>
    </row>
    <row r="160" spans="1:60" x14ac:dyDescent="0.25">
      <c r="A160" s="14">
        <v>46092.700659722221</v>
      </c>
      <c r="B160" s="14">
        <v>46092.929826388892</v>
      </c>
      <c r="C160" s="14">
        <v>46100.761018518519</v>
      </c>
      <c r="D160" s="14">
        <v>46100.990185185183</v>
      </c>
      <c r="E160" s="14">
        <v>46097.457187499997</v>
      </c>
      <c r="F160" s="14">
        <v>46100.990185185183</v>
      </c>
      <c r="G160" t="s">
        <v>470</v>
      </c>
      <c r="H160">
        <v>481</v>
      </c>
      <c r="I160">
        <v>5087.5167000000001</v>
      </c>
      <c r="J160" t="s">
        <v>104</v>
      </c>
      <c r="K160">
        <v>12828332</v>
      </c>
      <c r="L160" t="s">
        <v>1272</v>
      </c>
      <c r="M160" t="s">
        <v>101</v>
      </c>
      <c r="N160" t="s">
        <v>88</v>
      </c>
      <c r="O160" t="s">
        <v>1351</v>
      </c>
      <c r="P160" t="s">
        <v>1096</v>
      </c>
      <c r="Q160" t="s">
        <v>24</v>
      </c>
      <c r="R160" t="s">
        <v>25</v>
      </c>
      <c r="S160">
        <v>32.92</v>
      </c>
      <c r="T160">
        <v>100</v>
      </c>
      <c r="V160">
        <v>0</v>
      </c>
      <c r="X160" t="s">
        <v>469</v>
      </c>
      <c r="AA160">
        <v>1440</v>
      </c>
      <c r="AB160" t="s">
        <v>26</v>
      </c>
      <c r="AC160">
        <v>122</v>
      </c>
      <c r="AD160" t="s">
        <v>27</v>
      </c>
      <c r="AE160" t="s">
        <v>28</v>
      </c>
      <c r="AF160">
        <v>0</v>
      </c>
      <c r="AK160" s="12">
        <f t="shared" si="24"/>
        <v>46100</v>
      </c>
      <c r="AL160" s="1" t="str">
        <f t="shared" si="25"/>
        <v>Week12</v>
      </c>
      <c r="AM160" s="1" t="s">
        <v>102</v>
      </c>
      <c r="AN160" s="1" t="str">
        <f t="shared" si="26"/>
        <v>Go</v>
      </c>
      <c r="AO160" s="2">
        <f t="shared" si="27"/>
        <v>100</v>
      </c>
      <c r="AP160" s="1">
        <f t="shared" si="28"/>
        <v>0</v>
      </c>
      <c r="AQ160" s="1">
        <f t="shared" si="29"/>
        <v>0</v>
      </c>
      <c r="AR160" s="1" t="s">
        <v>95</v>
      </c>
      <c r="AS160" s="1" t="s">
        <v>93</v>
      </c>
      <c r="AT160" s="1" t="s">
        <v>93</v>
      </c>
      <c r="AU160" s="1" t="str">
        <f t="shared" si="30"/>
        <v/>
      </c>
      <c r="AV160" s="1" t="str">
        <f t="shared" si="31"/>
        <v>12828332Tejas Patel</v>
      </c>
      <c r="AW160" s="1" t="str">
        <f t="shared" si="32"/>
        <v/>
      </c>
      <c r="AX160" s="1" t="str">
        <f t="shared" si="33"/>
        <v/>
      </c>
      <c r="AY160" s="1" t="s">
        <v>24</v>
      </c>
      <c r="AZ160" s="1" t="b">
        <v>0</v>
      </c>
      <c r="BA160" s="1" t="str">
        <f t="shared" si="34"/>
        <v/>
      </c>
      <c r="BB160" s="1">
        <f t="shared" si="35"/>
        <v>0</v>
      </c>
      <c r="BC160" s="1" t="s">
        <v>1096</v>
      </c>
      <c r="BD160" s="1" t="s">
        <v>43</v>
      </c>
      <c r="BE160" s="1" t="s">
        <v>98</v>
      </c>
      <c r="BF160" s="1" t="b">
        <v>0</v>
      </c>
      <c r="BG160" s="1" t="str">
        <f>VLOOKUP(AM160,Group!$C:$H,5,0)</f>
        <v>Top 25</v>
      </c>
      <c r="BH160" s="1" t="str">
        <f>VLOOKUP(P160,others!$C:$G,5,0)</f>
        <v>QA</v>
      </c>
    </row>
    <row r="161" spans="1:60" x14ac:dyDescent="0.25">
      <c r="A161" s="14">
        <v>46092.700995370367</v>
      </c>
      <c r="B161" s="14">
        <v>46092.930162037039</v>
      </c>
      <c r="C161" s="14">
        <v>46100.763854166667</v>
      </c>
      <c r="D161" s="14">
        <v>46100.993020833332</v>
      </c>
      <c r="E161" s="14">
        <v>46098.456180555557</v>
      </c>
      <c r="F161" s="14">
        <v>46100.993020833332</v>
      </c>
      <c r="G161" t="s">
        <v>470</v>
      </c>
      <c r="H161">
        <v>232</v>
      </c>
      <c r="I161">
        <v>3653.05</v>
      </c>
      <c r="J161" t="s">
        <v>104</v>
      </c>
      <c r="K161">
        <v>12828338</v>
      </c>
      <c r="L161" t="s">
        <v>1272</v>
      </c>
      <c r="M161" t="s">
        <v>101</v>
      </c>
      <c r="N161" t="s">
        <v>88</v>
      </c>
      <c r="O161" t="s">
        <v>1351</v>
      </c>
      <c r="P161" t="s">
        <v>1096</v>
      </c>
      <c r="Q161" t="s">
        <v>24</v>
      </c>
      <c r="R161" t="s">
        <v>25</v>
      </c>
      <c r="S161">
        <v>38.549999999999997</v>
      </c>
      <c r="T161">
        <v>100</v>
      </c>
      <c r="U161" t="s">
        <v>100</v>
      </c>
      <c r="V161">
        <v>2</v>
      </c>
      <c r="X161" t="s">
        <v>469</v>
      </c>
      <c r="AA161">
        <v>1440</v>
      </c>
      <c r="AB161" t="s">
        <v>26</v>
      </c>
      <c r="AC161">
        <v>146</v>
      </c>
      <c r="AD161" t="s">
        <v>27</v>
      </c>
      <c r="AE161" t="s">
        <v>28</v>
      </c>
      <c r="AF161">
        <v>0</v>
      </c>
      <c r="AK161" s="12">
        <f t="shared" si="24"/>
        <v>46100</v>
      </c>
      <c r="AL161" s="1" t="str">
        <f t="shared" si="25"/>
        <v>Week12</v>
      </c>
      <c r="AM161" s="1" t="s">
        <v>102</v>
      </c>
      <c r="AN161" s="1" t="str">
        <f t="shared" si="26"/>
        <v>Go</v>
      </c>
      <c r="AO161" s="2">
        <f t="shared" si="27"/>
        <v>100</v>
      </c>
      <c r="AP161" s="1">
        <f t="shared" si="28"/>
        <v>0</v>
      </c>
      <c r="AQ161" s="1">
        <f t="shared" si="29"/>
        <v>0</v>
      </c>
      <c r="AR161" s="1" t="s">
        <v>95</v>
      </c>
      <c r="AS161" s="1" t="s">
        <v>93</v>
      </c>
      <c r="AT161" s="1" t="s">
        <v>93</v>
      </c>
      <c r="AU161" s="1" t="str">
        <f t="shared" si="30"/>
        <v>Minor</v>
      </c>
      <c r="AV161" s="1" t="str">
        <f t="shared" si="31"/>
        <v>12828338Tejas Patel</v>
      </c>
      <c r="AW161" s="1" t="str">
        <f t="shared" si="32"/>
        <v>Minor</v>
      </c>
      <c r="AX161" s="1">
        <f t="shared" si="33"/>
        <v>0</v>
      </c>
      <c r="AY161" s="1" t="s">
        <v>24</v>
      </c>
      <c r="AZ161" s="1" t="b">
        <v>0</v>
      </c>
      <c r="BA161" s="1">
        <f t="shared" si="34"/>
        <v>1</v>
      </c>
      <c r="BB161" s="1">
        <f t="shared" si="35"/>
        <v>2</v>
      </c>
      <c r="BC161" s="1" t="s">
        <v>1096</v>
      </c>
      <c r="BD161" s="1" t="s">
        <v>43</v>
      </c>
      <c r="BE161" s="1" t="s">
        <v>98</v>
      </c>
      <c r="BF161" s="1" t="b">
        <v>0</v>
      </c>
      <c r="BG161" s="1" t="str">
        <f>VLOOKUP(AM161,Group!$C:$H,5,0)</f>
        <v>Top 25</v>
      </c>
      <c r="BH161" s="1" t="str">
        <f>VLOOKUP(P161,others!$C:$G,5,0)</f>
        <v>QA</v>
      </c>
    </row>
    <row r="162" spans="1:60" x14ac:dyDescent="0.25">
      <c r="A162" s="14">
        <v>46092.701342592591</v>
      </c>
      <c r="B162" s="14">
        <v>46092.930509259262</v>
      </c>
      <c r="C162" s="14">
        <v>46100.768101851849</v>
      </c>
      <c r="D162" s="14">
        <v>46100.99726851852</v>
      </c>
      <c r="E162" s="14">
        <v>46098.456296296295</v>
      </c>
      <c r="F162" s="14">
        <v>46100.99726851852</v>
      </c>
      <c r="G162" t="s">
        <v>470</v>
      </c>
      <c r="H162">
        <v>358</v>
      </c>
      <c r="I162">
        <v>3659</v>
      </c>
      <c r="J162" t="s">
        <v>104</v>
      </c>
      <c r="K162">
        <v>12828335</v>
      </c>
      <c r="L162" t="s">
        <v>1272</v>
      </c>
      <c r="M162" t="s">
        <v>101</v>
      </c>
      <c r="N162" t="s">
        <v>88</v>
      </c>
      <c r="O162" t="s">
        <v>1351</v>
      </c>
      <c r="P162" t="s">
        <v>1096</v>
      </c>
      <c r="Q162" t="s">
        <v>24</v>
      </c>
      <c r="R162" t="s">
        <v>1241</v>
      </c>
      <c r="S162">
        <v>51.82</v>
      </c>
      <c r="T162">
        <v>98</v>
      </c>
      <c r="U162" t="s">
        <v>471</v>
      </c>
      <c r="V162">
        <v>1</v>
      </c>
      <c r="X162" t="s">
        <v>469</v>
      </c>
      <c r="AA162">
        <v>1440</v>
      </c>
      <c r="AB162" t="s">
        <v>26</v>
      </c>
      <c r="AC162">
        <v>175</v>
      </c>
      <c r="AD162" t="s">
        <v>27</v>
      </c>
      <c r="AE162" t="s">
        <v>28</v>
      </c>
      <c r="AF162">
        <v>0</v>
      </c>
      <c r="AK162" s="12">
        <f t="shared" si="24"/>
        <v>46100</v>
      </c>
      <c r="AL162" s="1" t="str">
        <f t="shared" si="25"/>
        <v>Week12</v>
      </c>
      <c r="AM162" s="1" t="s">
        <v>102</v>
      </c>
      <c r="AN162" s="1" t="str">
        <f t="shared" si="26"/>
        <v>NoGo</v>
      </c>
      <c r="AO162" s="2">
        <f t="shared" si="27"/>
        <v>96.140486298726358</v>
      </c>
      <c r="AP162" s="1">
        <f t="shared" si="28"/>
        <v>1</v>
      </c>
      <c r="AQ162" s="1">
        <f t="shared" si="29"/>
        <v>2</v>
      </c>
      <c r="AR162" s="1" t="s">
        <v>95</v>
      </c>
      <c r="AS162" s="1" t="s">
        <v>93</v>
      </c>
      <c r="AT162" s="1" t="s">
        <v>93</v>
      </c>
      <c r="AU162" s="1" t="str">
        <f t="shared" si="30"/>
        <v>Major</v>
      </c>
      <c r="AV162" s="1" t="str">
        <f t="shared" si="31"/>
        <v>12828335Tejas Patel</v>
      </c>
      <c r="AW162" s="1" t="str">
        <f t="shared" si="32"/>
        <v>Major</v>
      </c>
      <c r="AX162" s="1">
        <f t="shared" si="33"/>
        <v>1</v>
      </c>
      <c r="AY162" s="1" t="s">
        <v>24</v>
      </c>
      <c r="AZ162" s="1" t="b">
        <v>1</v>
      </c>
      <c r="BA162" s="1">
        <f t="shared" si="34"/>
        <v>1</v>
      </c>
      <c r="BB162" s="1">
        <f t="shared" si="35"/>
        <v>1</v>
      </c>
      <c r="BC162" s="1" t="s">
        <v>1096</v>
      </c>
      <c r="BD162" s="1" t="s">
        <v>43</v>
      </c>
      <c r="BE162" s="1" t="s">
        <v>98</v>
      </c>
      <c r="BF162" s="1" t="b">
        <v>1</v>
      </c>
      <c r="BG162" s="1" t="str">
        <f>VLOOKUP(AM162,Group!$C:$H,5,0)</f>
        <v>Top 25</v>
      </c>
      <c r="BH162" s="1" t="str">
        <f>VLOOKUP(P162,others!$C:$G,5,0)</f>
        <v>QA</v>
      </c>
    </row>
    <row r="163" spans="1:60" x14ac:dyDescent="0.25">
      <c r="A163" s="14">
        <v>46092.701342592591</v>
      </c>
      <c r="B163" s="14">
        <v>46092.930509259262</v>
      </c>
      <c r="C163" s="14">
        <v>46100.768101851849</v>
      </c>
      <c r="D163" s="14">
        <v>46100.99726851852</v>
      </c>
      <c r="E163" s="14">
        <v>46098.456296296295</v>
      </c>
      <c r="F163" s="14">
        <v>46100.99726851852</v>
      </c>
      <c r="G163" t="s">
        <v>470</v>
      </c>
      <c r="H163">
        <v>358</v>
      </c>
      <c r="I163">
        <v>3659</v>
      </c>
      <c r="J163" t="s">
        <v>104</v>
      </c>
      <c r="K163">
        <v>12828335</v>
      </c>
      <c r="L163" t="s">
        <v>1272</v>
      </c>
      <c r="M163" t="s">
        <v>101</v>
      </c>
      <c r="N163" t="s">
        <v>88</v>
      </c>
      <c r="O163" t="s">
        <v>1351</v>
      </c>
      <c r="P163" t="s">
        <v>1096</v>
      </c>
      <c r="Q163" t="s">
        <v>24</v>
      </c>
      <c r="R163" t="s">
        <v>1241</v>
      </c>
      <c r="S163">
        <v>51.82</v>
      </c>
      <c r="T163">
        <v>98</v>
      </c>
      <c r="U163" t="s">
        <v>1243</v>
      </c>
      <c r="V163">
        <v>1</v>
      </c>
      <c r="X163" t="s">
        <v>469</v>
      </c>
      <c r="AA163">
        <v>1440</v>
      </c>
      <c r="AB163" t="s">
        <v>26</v>
      </c>
      <c r="AC163">
        <v>175</v>
      </c>
      <c r="AD163" t="s">
        <v>27</v>
      </c>
      <c r="AE163" t="s">
        <v>28</v>
      </c>
      <c r="AF163">
        <v>0</v>
      </c>
      <c r="AK163" s="12">
        <f t="shared" si="24"/>
        <v>46100</v>
      </c>
      <c r="AL163" s="1" t="str">
        <f t="shared" si="25"/>
        <v>Week12</v>
      </c>
      <c r="AM163" s="1" t="s">
        <v>102</v>
      </c>
      <c r="AN163" s="1" t="str">
        <f t="shared" si="26"/>
        <v>NoGo</v>
      </c>
      <c r="AO163" s="2">
        <f t="shared" si="27"/>
        <v>96.140486298726358</v>
      </c>
      <c r="AP163" s="1">
        <f t="shared" si="28"/>
        <v>1</v>
      </c>
      <c r="AQ163" s="1">
        <f t="shared" si="29"/>
        <v>2</v>
      </c>
      <c r="AR163" s="1" t="s">
        <v>95</v>
      </c>
      <c r="AS163" s="1" t="s">
        <v>93</v>
      </c>
      <c r="AT163" s="1" t="s">
        <v>93</v>
      </c>
      <c r="AU163" s="1" t="str">
        <f t="shared" si="30"/>
        <v>Major</v>
      </c>
      <c r="AV163" s="1" t="str">
        <f t="shared" si="31"/>
        <v>12828335Tejas Patel</v>
      </c>
      <c r="AW163" s="1" t="str">
        <f t="shared" si="32"/>
        <v>Major</v>
      </c>
      <c r="AX163" s="1">
        <f t="shared" si="33"/>
        <v>1</v>
      </c>
      <c r="AY163" s="1" t="s">
        <v>24</v>
      </c>
      <c r="AZ163" s="1" t="b">
        <v>1</v>
      </c>
      <c r="BA163" s="1">
        <f t="shared" si="34"/>
        <v>1</v>
      </c>
      <c r="BB163" s="1">
        <f t="shared" si="35"/>
        <v>1</v>
      </c>
      <c r="BC163" s="1" t="s">
        <v>1096</v>
      </c>
      <c r="BD163" s="1" t="s">
        <v>43</v>
      </c>
      <c r="BE163" s="1" t="s">
        <v>98</v>
      </c>
      <c r="BF163" s="1" t="b">
        <v>1</v>
      </c>
      <c r="BG163" s="1" t="str">
        <f>VLOOKUP(AM163,Group!$C:$H,5,0)</f>
        <v>Top 25</v>
      </c>
      <c r="BH163" s="1" t="str">
        <f>VLOOKUP(P163,others!$C:$G,5,0)</f>
        <v>QA</v>
      </c>
    </row>
    <row r="164" spans="1:60" x14ac:dyDescent="0.25">
      <c r="A164" s="14">
        <v>46092.701342592591</v>
      </c>
      <c r="B164" s="14">
        <v>46092.930509259262</v>
      </c>
      <c r="C164" s="14">
        <v>46100.768101851849</v>
      </c>
      <c r="D164" s="14">
        <v>46100.99726851852</v>
      </c>
      <c r="E164" s="14">
        <v>46098.456296296295</v>
      </c>
      <c r="F164" s="14">
        <v>46100.99726851852</v>
      </c>
      <c r="G164" t="s">
        <v>470</v>
      </c>
      <c r="H164">
        <v>358</v>
      </c>
      <c r="I164">
        <v>3659</v>
      </c>
      <c r="J164" t="s">
        <v>104</v>
      </c>
      <c r="K164">
        <v>12828335</v>
      </c>
      <c r="L164" t="s">
        <v>1272</v>
      </c>
      <c r="M164" t="s">
        <v>101</v>
      </c>
      <c r="N164" t="s">
        <v>88</v>
      </c>
      <c r="O164" t="s">
        <v>1351</v>
      </c>
      <c r="P164" t="s">
        <v>1096</v>
      </c>
      <c r="Q164" t="s">
        <v>24</v>
      </c>
      <c r="R164" t="s">
        <v>1241</v>
      </c>
      <c r="S164">
        <v>51.82</v>
      </c>
      <c r="T164">
        <v>98</v>
      </c>
      <c r="U164" t="s">
        <v>100</v>
      </c>
      <c r="V164">
        <v>1</v>
      </c>
      <c r="X164" t="s">
        <v>469</v>
      </c>
      <c r="AA164">
        <v>1440</v>
      </c>
      <c r="AB164" t="s">
        <v>26</v>
      </c>
      <c r="AC164">
        <v>175</v>
      </c>
      <c r="AD164" t="s">
        <v>27</v>
      </c>
      <c r="AE164" t="s">
        <v>28</v>
      </c>
      <c r="AF164">
        <v>0</v>
      </c>
      <c r="AK164" s="12">
        <f t="shared" si="24"/>
        <v>46100</v>
      </c>
      <c r="AL164" s="1" t="str">
        <f t="shared" si="25"/>
        <v>Week12</v>
      </c>
      <c r="AM164" s="1" t="s">
        <v>102</v>
      </c>
      <c r="AN164" s="1" t="str">
        <f t="shared" si="26"/>
        <v>NoGo</v>
      </c>
      <c r="AO164" s="2">
        <f t="shared" si="27"/>
        <v>96.140486298726358</v>
      </c>
      <c r="AP164" s="1">
        <f t="shared" si="28"/>
        <v>0</v>
      </c>
      <c r="AQ164" s="1">
        <f t="shared" si="29"/>
        <v>2</v>
      </c>
      <c r="AR164" s="1" t="s">
        <v>95</v>
      </c>
      <c r="AS164" s="1" t="s">
        <v>93</v>
      </c>
      <c r="AT164" s="1" t="s">
        <v>93</v>
      </c>
      <c r="AU164" s="1" t="str">
        <f t="shared" si="30"/>
        <v>Minor</v>
      </c>
      <c r="AV164" s="1" t="str">
        <f t="shared" si="31"/>
        <v>12828335Tejas Patel</v>
      </c>
      <c r="AW164" s="1" t="str">
        <f t="shared" si="32"/>
        <v>Minor</v>
      </c>
      <c r="AX164" s="1">
        <f t="shared" si="33"/>
        <v>0</v>
      </c>
      <c r="AY164" s="1" t="s">
        <v>24</v>
      </c>
      <c r="AZ164" s="1" t="b">
        <v>0</v>
      </c>
      <c r="BA164" s="1">
        <f t="shared" si="34"/>
        <v>1</v>
      </c>
      <c r="BB164" s="1">
        <f t="shared" si="35"/>
        <v>1</v>
      </c>
      <c r="BC164" s="1" t="s">
        <v>1096</v>
      </c>
      <c r="BD164" s="1" t="s">
        <v>43</v>
      </c>
      <c r="BE164" s="1" t="s">
        <v>98</v>
      </c>
      <c r="BF164" s="1" t="b">
        <v>0</v>
      </c>
      <c r="BG164" s="1" t="str">
        <f>VLOOKUP(AM164,Group!$C:$H,5,0)</f>
        <v>Top 25</v>
      </c>
      <c r="BH164" s="1" t="str">
        <f>VLOOKUP(P164,others!$C:$G,5,0)</f>
        <v>QA</v>
      </c>
    </row>
    <row r="165" spans="1:60" x14ac:dyDescent="0.25">
      <c r="A165" s="14">
        <v>46092.701620370368</v>
      </c>
      <c r="B165" s="14">
        <v>46092.930787037039</v>
      </c>
      <c r="C165" s="14">
        <v>46100.771307870367</v>
      </c>
      <c r="D165" s="14">
        <v>46101.000474537039</v>
      </c>
      <c r="E165" s="14">
        <v>46099.989189814813</v>
      </c>
      <c r="F165" s="14">
        <v>46101.000474537039</v>
      </c>
      <c r="G165" t="s">
        <v>470</v>
      </c>
      <c r="H165">
        <v>267</v>
      </c>
      <c r="I165">
        <v>1456.25</v>
      </c>
      <c r="J165" t="s">
        <v>104</v>
      </c>
      <c r="K165">
        <v>12828339</v>
      </c>
      <c r="L165" t="s">
        <v>1272</v>
      </c>
      <c r="M165" t="s">
        <v>101</v>
      </c>
      <c r="N165" t="s">
        <v>88</v>
      </c>
      <c r="O165" t="s">
        <v>1351</v>
      </c>
      <c r="P165" t="s">
        <v>1096</v>
      </c>
      <c r="Q165" t="s">
        <v>24</v>
      </c>
      <c r="R165" t="s">
        <v>25</v>
      </c>
      <c r="S165">
        <v>45.95</v>
      </c>
      <c r="T165">
        <v>99</v>
      </c>
      <c r="U165" t="s">
        <v>471</v>
      </c>
      <c r="V165">
        <v>1</v>
      </c>
      <c r="X165" t="s">
        <v>469</v>
      </c>
      <c r="AA165">
        <v>1440</v>
      </c>
      <c r="AB165" t="s">
        <v>26</v>
      </c>
      <c r="AC165">
        <v>174</v>
      </c>
      <c r="AD165" t="s">
        <v>27</v>
      </c>
      <c r="AE165" t="s">
        <v>28</v>
      </c>
      <c r="AF165">
        <v>1</v>
      </c>
      <c r="AK165" s="12">
        <f t="shared" si="24"/>
        <v>46101</v>
      </c>
      <c r="AL165" s="1" t="str">
        <f t="shared" si="25"/>
        <v>Week12</v>
      </c>
      <c r="AM165" s="1" t="s">
        <v>102</v>
      </c>
      <c r="AN165" s="1" t="str">
        <f t="shared" si="26"/>
        <v>NoGo</v>
      </c>
      <c r="AO165" s="2">
        <f t="shared" si="27"/>
        <v>97.823721436343845</v>
      </c>
      <c r="AP165" s="1">
        <f t="shared" si="28"/>
        <v>1</v>
      </c>
      <c r="AQ165" s="1">
        <f t="shared" si="29"/>
        <v>1</v>
      </c>
      <c r="AR165" s="1" t="s">
        <v>95</v>
      </c>
      <c r="AS165" s="1" t="s">
        <v>93</v>
      </c>
      <c r="AT165" s="1" t="s">
        <v>93</v>
      </c>
      <c r="AU165" s="1" t="str">
        <f t="shared" si="30"/>
        <v>Major</v>
      </c>
      <c r="AV165" s="1" t="str">
        <f t="shared" si="31"/>
        <v>12828339Tejas Patel</v>
      </c>
      <c r="AW165" s="1" t="str">
        <f t="shared" si="32"/>
        <v>Major</v>
      </c>
      <c r="AX165" s="1">
        <f t="shared" si="33"/>
        <v>1</v>
      </c>
      <c r="AY165" s="1" t="s">
        <v>24</v>
      </c>
      <c r="AZ165" s="1" t="b">
        <v>1</v>
      </c>
      <c r="BA165" s="1">
        <f t="shared" si="34"/>
        <v>1</v>
      </c>
      <c r="BB165" s="1">
        <f t="shared" si="35"/>
        <v>1</v>
      </c>
      <c r="BC165" s="1" t="s">
        <v>1096</v>
      </c>
      <c r="BD165" s="1" t="s">
        <v>43</v>
      </c>
      <c r="BE165" s="1" t="s">
        <v>98</v>
      </c>
      <c r="BF165" s="1" t="b">
        <v>1</v>
      </c>
      <c r="BG165" s="1" t="str">
        <f>VLOOKUP(AM165,Group!$C:$H,5,0)</f>
        <v>Top 25</v>
      </c>
      <c r="BH165" s="1" t="str">
        <f>VLOOKUP(P165,others!$C:$G,5,0)</f>
        <v>QA</v>
      </c>
    </row>
    <row r="166" spans="1:60" x14ac:dyDescent="0.25">
      <c r="A166" s="14">
        <v>46092.701620370368</v>
      </c>
      <c r="B166" s="14">
        <v>46092.930787037039</v>
      </c>
      <c r="C166" s="14">
        <v>46100.771307870367</v>
      </c>
      <c r="D166" s="14">
        <v>46101.000474537039</v>
      </c>
      <c r="E166" s="14">
        <v>46099.989189814813</v>
      </c>
      <c r="F166" s="14">
        <v>46101.000474537039</v>
      </c>
      <c r="G166" t="s">
        <v>470</v>
      </c>
      <c r="H166">
        <v>267</v>
      </c>
      <c r="I166">
        <v>1456.25</v>
      </c>
      <c r="J166" t="s">
        <v>104</v>
      </c>
      <c r="K166">
        <v>12828339</v>
      </c>
      <c r="L166" t="s">
        <v>1272</v>
      </c>
      <c r="M166" t="s">
        <v>101</v>
      </c>
      <c r="N166" t="s">
        <v>88</v>
      </c>
      <c r="O166" t="s">
        <v>1351</v>
      </c>
      <c r="P166" t="s">
        <v>1096</v>
      </c>
      <c r="Q166" t="s">
        <v>24</v>
      </c>
      <c r="R166" t="s">
        <v>25</v>
      </c>
      <c r="S166">
        <v>45.95</v>
      </c>
      <c r="T166">
        <v>99</v>
      </c>
      <c r="U166" t="s">
        <v>100</v>
      </c>
      <c r="V166">
        <v>1</v>
      </c>
      <c r="X166" t="s">
        <v>469</v>
      </c>
      <c r="AA166">
        <v>1440</v>
      </c>
      <c r="AB166" t="s">
        <v>26</v>
      </c>
      <c r="AC166">
        <v>174</v>
      </c>
      <c r="AD166" t="s">
        <v>27</v>
      </c>
      <c r="AE166" t="s">
        <v>28</v>
      </c>
      <c r="AF166">
        <v>1</v>
      </c>
      <c r="AK166" s="12">
        <f t="shared" si="24"/>
        <v>46101</v>
      </c>
      <c r="AL166" s="1" t="str">
        <f t="shared" si="25"/>
        <v>Week12</v>
      </c>
      <c r="AM166" s="1" t="s">
        <v>102</v>
      </c>
      <c r="AN166" s="1" t="str">
        <f t="shared" si="26"/>
        <v>NoGo</v>
      </c>
      <c r="AO166" s="2">
        <f t="shared" si="27"/>
        <v>97.823721436343845</v>
      </c>
      <c r="AP166" s="1">
        <f t="shared" si="28"/>
        <v>0</v>
      </c>
      <c r="AQ166" s="1">
        <f t="shared" si="29"/>
        <v>1</v>
      </c>
      <c r="AR166" s="1" t="s">
        <v>95</v>
      </c>
      <c r="AS166" s="1" t="s">
        <v>93</v>
      </c>
      <c r="AT166" s="1" t="s">
        <v>93</v>
      </c>
      <c r="AU166" s="1" t="str">
        <f t="shared" si="30"/>
        <v>Minor</v>
      </c>
      <c r="AV166" s="1" t="str">
        <f t="shared" si="31"/>
        <v>12828339Tejas Patel</v>
      </c>
      <c r="AW166" s="1" t="str">
        <f t="shared" si="32"/>
        <v>Minor</v>
      </c>
      <c r="AX166" s="1">
        <f t="shared" si="33"/>
        <v>0</v>
      </c>
      <c r="AY166" s="1" t="s">
        <v>24</v>
      </c>
      <c r="AZ166" s="1" t="b">
        <v>0</v>
      </c>
      <c r="BA166" s="1">
        <f t="shared" si="34"/>
        <v>1</v>
      </c>
      <c r="BB166" s="1">
        <f t="shared" si="35"/>
        <v>1</v>
      </c>
      <c r="BC166" s="1" t="s">
        <v>1096</v>
      </c>
      <c r="BD166" s="1" t="s">
        <v>43</v>
      </c>
      <c r="BE166" s="1" t="s">
        <v>98</v>
      </c>
      <c r="BF166" s="1" t="b">
        <v>0</v>
      </c>
      <c r="BG166" s="1" t="str">
        <f>VLOOKUP(AM166,Group!$C:$H,5,0)</f>
        <v>Top 25</v>
      </c>
      <c r="BH166" s="1" t="str">
        <f>VLOOKUP(P166,others!$C:$G,5,0)</f>
        <v>QA</v>
      </c>
    </row>
    <row r="167" spans="1:60" x14ac:dyDescent="0.25">
      <c r="A167" s="14">
        <v>46097.395509259259</v>
      </c>
      <c r="B167" s="14">
        <v>46097.624675925923</v>
      </c>
      <c r="C167" s="14">
        <v>46101.091736111113</v>
      </c>
      <c r="D167" s="14">
        <v>46101.320902777778</v>
      </c>
      <c r="E167" s="14">
        <v>46099.990219907406</v>
      </c>
      <c r="F167" s="14">
        <v>46101.320902777778</v>
      </c>
      <c r="G167" t="s">
        <v>470</v>
      </c>
      <c r="H167">
        <v>393</v>
      </c>
      <c r="I167">
        <v>1916.1832999999999</v>
      </c>
      <c r="J167" t="s">
        <v>104</v>
      </c>
      <c r="K167">
        <v>12829277</v>
      </c>
      <c r="L167" t="s">
        <v>1322</v>
      </c>
      <c r="M167" t="s">
        <v>174</v>
      </c>
      <c r="N167" t="s">
        <v>1323</v>
      </c>
      <c r="O167" t="s">
        <v>1371</v>
      </c>
      <c r="P167" t="s">
        <v>482</v>
      </c>
      <c r="Q167" t="s">
        <v>24</v>
      </c>
      <c r="R167" t="s">
        <v>25</v>
      </c>
      <c r="S167">
        <v>33.35</v>
      </c>
      <c r="T167">
        <v>99</v>
      </c>
      <c r="U167" t="s">
        <v>471</v>
      </c>
      <c r="V167">
        <v>1</v>
      </c>
      <c r="X167" t="s">
        <v>1324</v>
      </c>
      <c r="AA167">
        <v>720</v>
      </c>
      <c r="AB167" t="s">
        <v>1267</v>
      </c>
      <c r="AC167">
        <v>121</v>
      </c>
      <c r="AD167" t="s">
        <v>27</v>
      </c>
      <c r="AE167" t="s">
        <v>28</v>
      </c>
      <c r="AF167">
        <v>1</v>
      </c>
      <c r="AK167" s="12">
        <f t="shared" si="24"/>
        <v>46101</v>
      </c>
      <c r="AL167" s="1" t="str">
        <f t="shared" si="25"/>
        <v>Week12</v>
      </c>
      <c r="AM167" s="1" t="s">
        <v>189</v>
      </c>
      <c r="AN167" s="1" t="str">
        <f t="shared" si="26"/>
        <v>NoGo</v>
      </c>
      <c r="AO167" s="2">
        <f t="shared" si="27"/>
        <v>97.001499250374806</v>
      </c>
      <c r="AP167" s="1">
        <f t="shared" si="28"/>
        <v>1</v>
      </c>
      <c r="AQ167" s="1">
        <f t="shared" si="29"/>
        <v>1</v>
      </c>
      <c r="AR167" s="1" t="s">
        <v>96</v>
      </c>
      <c r="AS167" s="1" t="s">
        <v>93</v>
      </c>
      <c r="AT167" s="1" t="s">
        <v>96</v>
      </c>
      <c r="AU167" s="1" t="str">
        <f t="shared" si="30"/>
        <v>Major</v>
      </c>
      <c r="AV167" s="1" t="str">
        <f t="shared" si="31"/>
        <v>12829277Chintul Sutaria</v>
      </c>
      <c r="AW167" s="1" t="str">
        <f t="shared" si="32"/>
        <v>Major</v>
      </c>
      <c r="AX167" s="1">
        <f t="shared" si="33"/>
        <v>1</v>
      </c>
      <c r="AY167" s="1" t="s">
        <v>24</v>
      </c>
      <c r="AZ167" s="1" t="b">
        <v>1</v>
      </c>
      <c r="BA167" s="1">
        <f t="shared" si="34"/>
        <v>1</v>
      </c>
      <c r="BB167" s="1">
        <f t="shared" si="35"/>
        <v>1</v>
      </c>
      <c r="BC167" s="1" t="s">
        <v>99</v>
      </c>
      <c r="BD167" s="1" t="s">
        <v>1269</v>
      </c>
      <c r="BE167" s="1" t="s">
        <v>98</v>
      </c>
      <c r="BF167" s="1" t="b">
        <v>1</v>
      </c>
      <c r="BG167" s="1" t="str">
        <f>VLOOKUP(AM167,Group!$C:$H,5,0)</f>
        <v>Others</v>
      </c>
      <c r="BH167" s="1" t="str">
        <f>VLOOKUP(P167,others!$C:$G,5,0)</f>
        <v>QA</v>
      </c>
    </row>
    <row r="168" spans="1:60" x14ac:dyDescent="0.25">
      <c r="A168" s="14">
        <v>46097.395509259259</v>
      </c>
      <c r="B168" s="14">
        <v>46097.624675925923</v>
      </c>
      <c r="C168" s="14">
        <v>46101.091736111113</v>
      </c>
      <c r="D168" s="14">
        <v>46101.320902777778</v>
      </c>
      <c r="E168" s="14">
        <v>46099.990219907406</v>
      </c>
      <c r="F168" s="14">
        <v>46101.320902777778</v>
      </c>
      <c r="G168" t="s">
        <v>470</v>
      </c>
      <c r="H168">
        <v>393</v>
      </c>
      <c r="I168">
        <v>1916.1832999999999</v>
      </c>
      <c r="J168" t="s">
        <v>104</v>
      </c>
      <c r="K168">
        <v>12829277</v>
      </c>
      <c r="L168" t="s">
        <v>1322</v>
      </c>
      <c r="M168" t="s">
        <v>174</v>
      </c>
      <c r="N168" t="s">
        <v>1323</v>
      </c>
      <c r="O168" t="s">
        <v>1371</v>
      </c>
      <c r="P168" t="s">
        <v>482</v>
      </c>
      <c r="Q168" t="s">
        <v>24</v>
      </c>
      <c r="R168" t="s">
        <v>25</v>
      </c>
      <c r="S168">
        <v>33.35</v>
      </c>
      <c r="T168">
        <v>99</v>
      </c>
      <c r="U168" t="s">
        <v>100</v>
      </c>
      <c r="V168">
        <v>1</v>
      </c>
      <c r="X168" t="s">
        <v>1324</v>
      </c>
      <c r="AA168">
        <v>720</v>
      </c>
      <c r="AB168" t="s">
        <v>1267</v>
      </c>
      <c r="AC168">
        <v>121</v>
      </c>
      <c r="AD168" t="s">
        <v>27</v>
      </c>
      <c r="AE168" t="s">
        <v>28</v>
      </c>
      <c r="AF168">
        <v>1</v>
      </c>
      <c r="AK168" s="12">
        <f t="shared" si="24"/>
        <v>46101</v>
      </c>
      <c r="AL168" s="1" t="str">
        <f t="shared" si="25"/>
        <v>Week12</v>
      </c>
      <c r="AM168" s="1" t="s">
        <v>189</v>
      </c>
      <c r="AN168" s="1" t="str">
        <f t="shared" si="26"/>
        <v>NoGo</v>
      </c>
      <c r="AO168" s="2">
        <f t="shared" si="27"/>
        <v>97.001499250374806</v>
      </c>
      <c r="AP168" s="1">
        <f t="shared" si="28"/>
        <v>0</v>
      </c>
      <c r="AQ168" s="1">
        <f t="shared" si="29"/>
        <v>1</v>
      </c>
      <c r="AR168" s="1" t="s">
        <v>96</v>
      </c>
      <c r="AS168" s="1" t="s">
        <v>93</v>
      </c>
      <c r="AT168" s="1" t="s">
        <v>96</v>
      </c>
      <c r="AU168" s="1" t="str">
        <f t="shared" si="30"/>
        <v>Minor</v>
      </c>
      <c r="AV168" s="1" t="str">
        <f t="shared" si="31"/>
        <v>12829277Chintul Sutaria</v>
      </c>
      <c r="AW168" s="1" t="str">
        <f t="shared" si="32"/>
        <v>Minor</v>
      </c>
      <c r="AX168" s="1">
        <f t="shared" si="33"/>
        <v>0</v>
      </c>
      <c r="AY168" s="1" t="s">
        <v>24</v>
      </c>
      <c r="AZ168" s="1" t="b">
        <v>0</v>
      </c>
      <c r="BA168" s="1">
        <f t="shared" si="34"/>
        <v>1</v>
      </c>
      <c r="BB168" s="1">
        <f t="shared" si="35"/>
        <v>1</v>
      </c>
      <c r="BC168" s="1" t="s">
        <v>99</v>
      </c>
      <c r="BD168" s="1" t="s">
        <v>1269</v>
      </c>
      <c r="BE168" s="1" t="s">
        <v>98</v>
      </c>
      <c r="BF168" s="1" t="b">
        <v>0</v>
      </c>
      <c r="BG168" s="1" t="str">
        <f>VLOOKUP(AM168,Group!$C:$H,5,0)</f>
        <v>Others</v>
      </c>
      <c r="BH168" s="1" t="str">
        <f>VLOOKUP(P168,others!$C:$G,5,0)</f>
        <v>QA</v>
      </c>
    </row>
    <row r="169" spans="1:60" x14ac:dyDescent="0.25">
      <c r="A169" s="14">
        <v>46093.330104166664</v>
      </c>
      <c r="B169" s="14">
        <v>46093.559270833335</v>
      </c>
      <c r="C169" s="14">
        <v>46101.094606481478</v>
      </c>
      <c r="D169" s="14">
        <v>46101.323773148149</v>
      </c>
      <c r="E169" s="14">
        <v>46098.456597222219</v>
      </c>
      <c r="F169" s="14">
        <v>46101.323773148149</v>
      </c>
      <c r="G169" t="s">
        <v>470</v>
      </c>
      <c r="H169">
        <v>235</v>
      </c>
      <c r="I169">
        <v>4128.7332999999999</v>
      </c>
      <c r="J169" t="s">
        <v>104</v>
      </c>
      <c r="K169">
        <v>12828428</v>
      </c>
      <c r="L169" t="s">
        <v>1378</v>
      </c>
      <c r="M169" t="s">
        <v>106</v>
      </c>
      <c r="N169" t="s">
        <v>97</v>
      </c>
      <c r="O169" t="s">
        <v>455</v>
      </c>
      <c r="P169" t="s">
        <v>99</v>
      </c>
      <c r="Q169" t="s">
        <v>29</v>
      </c>
      <c r="R169" t="s">
        <v>25</v>
      </c>
      <c r="S169">
        <v>39.619999999999997</v>
      </c>
      <c r="T169">
        <v>100</v>
      </c>
      <c r="U169" t="s">
        <v>100</v>
      </c>
      <c r="V169">
        <v>2</v>
      </c>
      <c r="X169" t="s">
        <v>1379</v>
      </c>
      <c r="AA169">
        <v>1440</v>
      </c>
      <c r="AB169" t="s">
        <v>26</v>
      </c>
      <c r="AC169">
        <v>176</v>
      </c>
      <c r="AD169" t="s">
        <v>27</v>
      </c>
      <c r="AE169" t="s">
        <v>28</v>
      </c>
      <c r="AF169">
        <v>0</v>
      </c>
      <c r="AK169" s="12">
        <f t="shared" si="24"/>
        <v>46101</v>
      </c>
      <c r="AL169" s="1" t="str">
        <f t="shared" si="25"/>
        <v>Week12</v>
      </c>
      <c r="AM169" s="1" t="s">
        <v>108</v>
      </c>
      <c r="AN169" s="1" t="str">
        <f t="shared" si="26"/>
        <v>Go</v>
      </c>
      <c r="AO169" s="2">
        <f t="shared" si="27"/>
        <v>100</v>
      </c>
      <c r="AP169" s="1">
        <f t="shared" si="28"/>
        <v>0</v>
      </c>
      <c r="AQ169" s="1">
        <f t="shared" si="29"/>
        <v>0</v>
      </c>
      <c r="AR169" s="1" t="s">
        <v>93</v>
      </c>
      <c r="AS169" s="1" t="s">
        <v>96</v>
      </c>
      <c r="AT169" s="1" t="s">
        <v>96</v>
      </c>
      <c r="AU169" s="1" t="str">
        <f t="shared" si="30"/>
        <v>Minor</v>
      </c>
      <c r="AV169" s="1" t="str">
        <f t="shared" si="31"/>
        <v>12828428Gopal Rajith</v>
      </c>
      <c r="AW169" s="1" t="str">
        <f t="shared" si="32"/>
        <v>Minor</v>
      </c>
      <c r="AX169" s="1">
        <f t="shared" si="33"/>
        <v>0</v>
      </c>
      <c r="AY169" s="1" t="s">
        <v>29</v>
      </c>
      <c r="AZ169" s="1" t="b">
        <v>0</v>
      </c>
      <c r="BA169" s="1">
        <f t="shared" si="34"/>
        <v>1</v>
      </c>
      <c r="BB169" s="1">
        <f t="shared" si="35"/>
        <v>2</v>
      </c>
      <c r="BC169" s="1" t="s">
        <v>99</v>
      </c>
      <c r="BD169" s="1" t="s">
        <v>43</v>
      </c>
      <c r="BE169" s="1" t="s">
        <v>98</v>
      </c>
      <c r="BF169" s="1" t="b">
        <v>0</v>
      </c>
      <c r="BG169" s="1" t="str">
        <f>VLOOKUP(AM169,Group!$C:$H,5,0)</f>
        <v>Top 25</v>
      </c>
      <c r="BH169" s="1" t="str">
        <f>VLOOKUP(P169,others!$C:$G,5,0)</f>
        <v>MTx-India</v>
      </c>
    </row>
    <row r="170" spans="1:60" x14ac:dyDescent="0.25">
      <c r="A170" s="14">
        <v>46093.33734953704</v>
      </c>
      <c r="B170" s="14">
        <v>46093.566516203704</v>
      </c>
      <c r="C170" s="14">
        <v>46101.097094907411</v>
      </c>
      <c r="D170" s="14">
        <v>46101.326261574075</v>
      </c>
      <c r="E170" s="14">
        <v>46099.023321759261</v>
      </c>
      <c r="F170" s="14">
        <v>46101.326261574075</v>
      </c>
      <c r="G170" t="s">
        <v>470</v>
      </c>
      <c r="H170">
        <v>206</v>
      </c>
      <c r="I170">
        <v>3316.2332999999999</v>
      </c>
      <c r="J170" t="s">
        <v>104</v>
      </c>
      <c r="K170">
        <v>12828434</v>
      </c>
      <c r="L170" t="s">
        <v>1378</v>
      </c>
      <c r="M170" t="s">
        <v>106</v>
      </c>
      <c r="N170" t="s">
        <v>97</v>
      </c>
      <c r="O170" t="s">
        <v>455</v>
      </c>
      <c r="P170" t="s">
        <v>99</v>
      </c>
      <c r="Q170" t="s">
        <v>29</v>
      </c>
      <c r="R170" t="s">
        <v>25</v>
      </c>
      <c r="S170">
        <v>29.54</v>
      </c>
      <c r="T170">
        <v>100</v>
      </c>
      <c r="V170">
        <v>0</v>
      </c>
      <c r="X170" t="s">
        <v>1379</v>
      </c>
      <c r="AA170">
        <v>1440</v>
      </c>
      <c r="AB170" t="s">
        <v>26</v>
      </c>
      <c r="AC170">
        <v>120</v>
      </c>
      <c r="AD170" t="s">
        <v>27</v>
      </c>
      <c r="AE170" t="s">
        <v>28</v>
      </c>
      <c r="AF170">
        <v>0</v>
      </c>
      <c r="AK170" s="12">
        <f t="shared" si="24"/>
        <v>46101</v>
      </c>
      <c r="AL170" s="1" t="str">
        <f t="shared" si="25"/>
        <v>Week12</v>
      </c>
      <c r="AM170" s="1" t="s">
        <v>108</v>
      </c>
      <c r="AN170" s="1" t="str">
        <f t="shared" si="26"/>
        <v>Go</v>
      </c>
      <c r="AO170" s="2">
        <f t="shared" si="27"/>
        <v>100</v>
      </c>
      <c r="AP170" s="1">
        <f t="shared" si="28"/>
        <v>0</v>
      </c>
      <c r="AQ170" s="1">
        <f t="shared" si="29"/>
        <v>0</v>
      </c>
      <c r="AR170" s="1" t="s">
        <v>93</v>
      </c>
      <c r="AS170" s="1" t="s">
        <v>96</v>
      </c>
      <c r="AT170" s="1" t="s">
        <v>96</v>
      </c>
      <c r="AU170" s="1" t="str">
        <f t="shared" si="30"/>
        <v/>
      </c>
      <c r="AV170" s="1" t="str">
        <f t="shared" si="31"/>
        <v>12828434Gopal Rajith</v>
      </c>
      <c r="AW170" s="1" t="str">
        <f t="shared" si="32"/>
        <v/>
      </c>
      <c r="AX170" s="1" t="str">
        <f t="shared" si="33"/>
        <v/>
      </c>
      <c r="AY170" s="1" t="s">
        <v>29</v>
      </c>
      <c r="AZ170" s="1" t="b">
        <v>0</v>
      </c>
      <c r="BA170" s="1" t="str">
        <f t="shared" si="34"/>
        <v/>
      </c>
      <c r="BB170" s="1">
        <f t="shared" si="35"/>
        <v>0</v>
      </c>
      <c r="BC170" s="1" t="s">
        <v>99</v>
      </c>
      <c r="BD170" s="1" t="s">
        <v>43</v>
      </c>
      <c r="BE170" s="1" t="s">
        <v>98</v>
      </c>
      <c r="BF170" s="1" t="b">
        <v>0</v>
      </c>
      <c r="BG170" s="1" t="str">
        <f>VLOOKUP(AM170,Group!$C:$H,5,0)</f>
        <v>Top 25</v>
      </c>
      <c r="BH170" s="1" t="str">
        <f>VLOOKUP(P170,others!$C:$G,5,0)</f>
        <v>MTx-India</v>
      </c>
    </row>
    <row r="171" spans="1:60" x14ac:dyDescent="0.25">
      <c r="A171" s="14">
        <v>46093.339085648149</v>
      </c>
      <c r="B171" s="14">
        <v>46093.568252314813</v>
      </c>
      <c r="C171" s="14">
        <v>46101.100219907406</v>
      </c>
      <c r="D171" s="14">
        <v>46101.329386574071</v>
      </c>
      <c r="E171" s="14">
        <v>46098.456666666665</v>
      </c>
      <c r="F171" s="14">
        <v>46101.329386574071</v>
      </c>
      <c r="G171" t="s">
        <v>470</v>
      </c>
      <c r="H171">
        <v>196</v>
      </c>
      <c r="I171">
        <v>4136.7166999999999</v>
      </c>
      <c r="J171" t="s">
        <v>104</v>
      </c>
      <c r="K171">
        <v>12828433</v>
      </c>
      <c r="L171" t="s">
        <v>1378</v>
      </c>
      <c r="M171" t="s">
        <v>106</v>
      </c>
      <c r="N171" t="s">
        <v>97</v>
      </c>
      <c r="O171" t="s">
        <v>455</v>
      </c>
      <c r="P171" t="s">
        <v>99</v>
      </c>
      <c r="Q171" t="s">
        <v>29</v>
      </c>
      <c r="R171" t="s">
        <v>25</v>
      </c>
      <c r="S171">
        <v>31.31</v>
      </c>
      <c r="T171">
        <v>100</v>
      </c>
      <c r="V171">
        <v>0</v>
      </c>
      <c r="X171" t="s">
        <v>1379</v>
      </c>
      <c r="AA171">
        <v>1440</v>
      </c>
      <c r="AB171" t="s">
        <v>26</v>
      </c>
      <c r="AC171">
        <v>120</v>
      </c>
      <c r="AD171" t="s">
        <v>27</v>
      </c>
      <c r="AE171" t="s">
        <v>28</v>
      </c>
      <c r="AF171">
        <v>0</v>
      </c>
      <c r="AK171" s="12">
        <f t="shared" si="24"/>
        <v>46101</v>
      </c>
      <c r="AL171" s="1" t="str">
        <f t="shared" si="25"/>
        <v>Week12</v>
      </c>
      <c r="AM171" s="1" t="s">
        <v>108</v>
      </c>
      <c r="AN171" s="1" t="str">
        <f t="shared" si="26"/>
        <v>Go</v>
      </c>
      <c r="AO171" s="2">
        <f t="shared" si="27"/>
        <v>100</v>
      </c>
      <c r="AP171" s="1">
        <f t="shared" si="28"/>
        <v>0</v>
      </c>
      <c r="AQ171" s="1">
        <f t="shared" si="29"/>
        <v>0</v>
      </c>
      <c r="AR171" s="1" t="s">
        <v>93</v>
      </c>
      <c r="AS171" s="1" t="s">
        <v>96</v>
      </c>
      <c r="AT171" s="1" t="s">
        <v>96</v>
      </c>
      <c r="AU171" s="1" t="str">
        <f t="shared" si="30"/>
        <v/>
      </c>
      <c r="AV171" s="1" t="str">
        <f t="shared" si="31"/>
        <v>12828433Gopal Rajith</v>
      </c>
      <c r="AW171" s="1" t="str">
        <f t="shared" si="32"/>
        <v/>
      </c>
      <c r="AX171" s="1" t="str">
        <f t="shared" si="33"/>
        <v/>
      </c>
      <c r="AY171" s="1" t="s">
        <v>29</v>
      </c>
      <c r="AZ171" s="1" t="b">
        <v>0</v>
      </c>
      <c r="BA171" s="1" t="str">
        <f t="shared" si="34"/>
        <v/>
      </c>
      <c r="BB171" s="1">
        <f t="shared" si="35"/>
        <v>0</v>
      </c>
      <c r="BC171" s="1" t="s">
        <v>99</v>
      </c>
      <c r="BD171" s="1" t="s">
        <v>43</v>
      </c>
      <c r="BE171" s="1" t="s">
        <v>98</v>
      </c>
      <c r="BF171" s="1" t="b">
        <v>0</v>
      </c>
      <c r="BG171" s="1" t="str">
        <f>VLOOKUP(AM171,Group!$C:$H,5,0)</f>
        <v>Top 25</v>
      </c>
      <c r="BH171" s="1" t="str">
        <f>VLOOKUP(P171,others!$C:$G,5,0)</f>
        <v>MTx-India</v>
      </c>
    </row>
    <row r="172" spans="1:60" x14ac:dyDescent="0.25">
      <c r="A172" s="14">
        <v>46092.350069444445</v>
      </c>
      <c r="B172" s="14">
        <v>46092.579236111109</v>
      </c>
      <c r="C172" s="14">
        <v>46101.10460648148</v>
      </c>
      <c r="D172" s="14">
        <v>46101.333773148152</v>
      </c>
      <c r="E172" s="14">
        <v>46099.989062499997</v>
      </c>
      <c r="F172" s="14">
        <v>46101.333773148152</v>
      </c>
      <c r="G172" t="s">
        <v>470</v>
      </c>
      <c r="H172">
        <v>868</v>
      </c>
      <c r="I172">
        <v>1936.3833</v>
      </c>
      <c r="J172" t="s">
        <v>104</v>
      </c>
      <c r="K172">
        <v>12828049</v>
      </c>
      <c r="L172" t="s">
        <v>1260</v>
      </c>
      <c r="M172" t="s">
        <v>101</v>
      </c>
      <c r="N172" t="s">
        <v>88</v>
      </c>
      <c r="O172" t="s">
        <v>1351</v>
      </c>
      <c r="P172" t="s">
        <v>1096</v>
      </c>
      <c r="Q172" t="s">
        <v>24</v>
      </c>
      <c r="R172" t="s">
        <v>25</v>
      </c>
      <c r="S172">
        <v>41.89</v>
      </c>
      <c r="T172">
        <v>100</v>
      </c>
      <c r="U172" t="s">
        <v>100</v>
      </c>
      <c r="V172">
        <v>3</v>
      </c>
      <c r="X172" t="s">
        <v>469</v>
      </c>
      <c r="AA172">
        <v>1440</v>
      </c>
      <c r="AB172" t="s">
        <v>26</v>
      </c>
      <c r="AC172">
        <v>262</v>
      </c>
      <c r="AD172" t="s">
        <v>27</v>
      </c>
      <c r="AE172" t="s">
        <v>28</v>
      </c>
      <c r="AF172">
        <v>0</v>
      </c>
      <c r="AK172" s="12">
        <f t="shared" si="24"/>
        <v>46101</v>
      </c>
      <c r="AL172" s="1" t="str">
        <f t="shared" si="25"/>
        <v>Week12</v>
      </c>
      <c r="AM172" s="1" t="s">
        <v>102</v>
      </c>
      <c r="AN172" s="1" t="str">
        <f t="shared" si="26"/>
        <v>Go</v>
      </c>
      <c r="AO172" s="2">
        <f t="shared" si="27"/>
        <v>100</v>
      </c>
      <c r="AP172" s="1">
        <f t="shared" si="28"/>
        <v>0</v>
      </c>
      <c r="AQ172" s="1">
        <f t="shared" si="29"/>
        <v>0</v>
      </c>
      <c r="AR172" s="1" t="s">
        <v>95</v>
      </c>
      <c r="AS172" s="1" t="s">
        <v>93</v>
      </c>
      <c r="AT172" s="1" t="s">
        <v>93</v>
      </c>
      <c r="AU172" s="1" t="str">
        <f t="shared" si="30"/>
        <v>Minor</v>
      </c>
      <c r="AV172" s="1" t="str">
        <f t="shared" si="31"/>
        <v>12828049Tejas Patel</v>
      </c>
      <c r="AW172" s="1" t="str">
        <f t="shared" si="32"/>
        <v>Minor</v>
      </c>
      <c r="AX172" s="1">
        <f t="shared" si="33"/>
        <v>0</v>
      </c>
      <c r="AY172" s="1" t="s">
        <v>24</v>
      </c>
      <c r="AZ172" s="1" t="b">
        <v>0</v>
      </c>
      <c r="BA172" s="1">
        <f t="shared" si="34"/>
        <v>1</v>
      </c>
      <c r="BB172" s="1">
        <f t="shared" si="35"/>
        <v>3</v>
      </c>
      <c r="BC172" s="1" t="s">
        <v>1096</v>
      </c>
      <c r="BD172" s="1" t="s">
        <v>43</v>
      </c>
      <c r="BE172" s="1" t="s">
        <v>98</v>
      </c>
      <c r="BF172" s="1" t="b">
        <v>0</v>
      </c>
      <c r="BG172" s="1" t="str">
        <f>VLOOKUP(AM172,Group!$C:$H,5,0)</f>
        <v>Top 25</v>
      </c>
      <c r="BH172" s="1" t="str">
        <f>VLOOKUP(P172,others!$C:$G,5,0)</f>
        <v>QA</v>
      </c>
    </row>
    <row r="173" spans="1:60" x14ac:dyDescent="0.25">
      <c r="A173" s="14">
        <v>46097.613993055558</v>
      </c>
      <c r="B173" s="14">
        <v>46097.843159722222</v>
      </c>
      <c r="C173" s="14">
        <v>46101.153969907406</v>
      </c>
      <c r="D173" s="14">
        <v>46101.383136574077</v>
      </c>
      <c r="E173" s="14">
        <v>46101.326458333337</v>
      </c>
      <c r="F173" s="14">
        <v>46101.383136574077</v>
      </c>
      <c r="G173" t="s">
        <v>470</v>
      </c>
      <c r="H173">
        <v>3613</v>
      </c>
      <c r="I173">
        <v>81.616699999999994</v>
      </c>
      <c r="J173" t="s">
        <v>104</v>
      </c>
      <c r="K173">
        <v>12829352</v>
      </c>
      <c r="L173" t="s">
        <v>1375</v>
      </c>
      <c r="M173" t="s">
        <v>173</v>
      </c>
      <c r="N173" t="s">
        <v>88</v>
      </c>
      <c r="O173" t="s">
        <v>456</v>
      </c>
      <c r="P173" t="s">
        <v>457</v>
      </c>
      <c r="Q173" t="s">
        <v>24</v>
      </c>
      <c r="R173" t="s">
        <v>25</v>
      </c>
      <c r="S173">
        <v>123.42</v>
      </c>
      <c r="T173">
        <v>99</v>
      </c>
      <c r="U173" t="s">
        <v>471</v>
      </c>
      <c r="V173">
        <v>1</v>
      </c>
      <c r="X173" t="s">
        <v>1376</v>
      </c>
      <c r="AA173">
        <v>1440</v>
      </c>
      <c r="AB173" t="s">
        <v>26</v>
      </c>
      <c r="AC173">
        <v>949</v>
      </c>
      <c r="AD173" t="s">
        <v>27</v>
      </c>
      <c r="AE173" t="s">
        <v>28</v>
      </c>
      <c r="AF173">
        <v>0</v>
      </c>
      <c r="AK173" s="12">
        <f t="shared" si="24"/>
        <v>46101</v>
      </c>
      <c r="AL173" s="1" t="str">
        <f t="shared" si="25"/>
        <v>Week12</v>
      </c>
      <c r="AM173" s="1" t="s">
        <v>188</v>
      </c>
      <c r="AN173" s="1" t="str">
        <f t="shared" si="26"/>
        <v>Go</v>
      </c>
      <c r="AO173" s="2">
        <f t="shared" si="27"/>
        <v>99.189758548047323</v>
      </c>
      <c r="AP173" s="1">
        <f t="shared" si="28"/>
        <v>1</v>
      </c>
      <c r="AQ173" s="1">
        <f t="shared" si="29"/>
        <v>1</v>
      </c>
      <c r="AR173" s="1" t="s">
        <v>95</v>
      </c>
      <c r="AS173" s="1" t="s">
        <v>93</v>
      </c>
      <c r="AT173" s="1" t="s">
        <v>93</v>
      </c>
      <c r="AU173" s="1" t="str">
        <f t="shared" si="30"/>
        <v>Major</v>
      </c>
      <c r="AV173" s="1" t="str">
        <f t="shared" si="31"/>
        <v>12829352Shiny Iype</v>
      </c>
      <c r="AW173" s="1" t="str">
        <f t="shared" si="32"/>
        <v>Major</v>
      </c>
      <c r="AX173" s="1">
        <f t="shared" si="33"/>
        <v>1</v>
      </c>
      <c r="AY173" s="1" t="s">
        <v>24</v>
      </c>
      <c r="AZ173" s="1" t="b">
        <v>1</v>
      </c>
      <c r="BA173" s="1">
        <f t="shared" si="34"/>
        <v>1</v>
      </c>
      <c r="BB173" s="1">
        <f t="shared" si="35"/>
        <v>1</v>
      </c>
      <c r="BC173" s="1" t="s">
        <v>457</v>
      </c>
      <c r="BD173" s="1" t="s">
        <v>43</v>
      </c>
      <c r="BE173" s="1" t="s">
        <v>1377</v>
      </c>
      <c r="BF173" s="1" t="b">
        <v>1</v>
      </c>
      <c r="BG173" s="1" t="str">
        <f>VLOOKUP(AM173,Group!$C:$H,5,0)</f>
        <v>Others</v>
      </c>
      <c r="BH173" s="1" t="str">
        <f>VLOOKUP(P173,others!$C:$G,5,0)</f>
        <v>MTX - India</v>
      </c>
    </row>
    <row r="174" spans="1:60" x14ac:dyDescent="0.25">
      <c r="A174" s="14">
        <v>46097.613993055558</v>
      </c>
      <c r="B174" s="14">
        <v>46097.843159722222</v>
      </c>
      <c r="C174" s="14">
        <v>46101.153969907406</v>
      </c>
      <c r="D174" s="14">
        <v>46101.383136574077</v>
      </c>
      <c r="E174" s="14">
        <v>46101.326458333337</v>
      </c>
      <c r="F174" s="14">
        <v>46101.383136574077</v>
      </c>
      <c r="G174" t="s">
        <v>470</v>
      </c>
      <c r="H174">
        <v>3613</v>
      </c>
      <c r="I174">
        <v>81.616699999999994</v>
      </c>
      <c r="J174" t="s">
        <v>104</v>
      </c>
      <c r="K174">
        <v>12829352</v>
      </c>
      <c r="L174" t="s">
        <v>1375</v>
      </c>
      <c r="M174" t="s">
        <v>173</v>
      </c>
      <c r="N174" t="s">
        <v>88</v>
      </c>
      <c r="O174" t="s">
        <v>456</v>
      </c>
      <c r="P174" t="s">
        <v>457</v>
      </c>
      <c r="Q174" t="s">
        <v>24</v>
      </c>
      <c r="R174" t="s">
        <v>25</v>
      </c>
      <c r="S174">
        <v>123.42</v>
      </c>
      <c r="T174">
        <v>99</v>
      </c>
      <c r="U174" t="s">
        <v>100</v>
      </c>
      <c r="V174">
        <v>4</v>
      </c>
      <c r="X174" t="s">
        <v>1376</v>
      </c>
      <c r="AA174">
        <v>1440</v>
      </c>
      <c r="AB174" t="s">
        <v>26</v>
      </c>
      <c r="AC174">
        <v>949</v>
      </c>
      <c r="AD174" t="s">
        <v>27</v>
      </c>
      <c r="AE174" t="s">
        <v>28</v>
      </c>
      <c r="AF174">
        <v>0</v>
      </c>
      <c r="AK174" s="12">
        <f t="shared" si="24"/>
        <v>46101</v>
      </c>
      <c r="AL174" s="1" t="str">
        <f t="shared" si="25"/>
        <v>Week12</v>
      </c>
      <c r="AM174" s="1" t="s">
        <v>188</v>
      </c>
      <c r="AN174" s="1" t="str">
        <f t="shared" si="26"/>
        <v>Go</v>
      </c>
      <c r="AO174" s="2">
        <f t="shared" si="27"/>
        <v>99.189758548047323</v>
      </c>
      <c r="AP174" s="1">
        <f t="shared" si="28"/>
        <v>0</v>
      </c>
      <c r="AQ174" s="1">
        <f t="shared" si="29"/>
        <v>1</v>
      </c>
      <c r="AR174" s="1" t="s">
        <v>95</v>
      </c>
      <c r="AS174" s="1" t="s">
        <v>93</v>
      </c>
      <c r="AT174" s="1" t="s">
        <v>93</v>
      </c>
      <c r="AU174" s="1" t="str">
        <f t="shared" si="30"/>
        <v>Minor</v>
      </c>
      <c r="AV174" s="1" t="str">
        <f t="shared" si="31"/>
        <v>12829352Shiny Iype</v>
      </c>
      <c r="AW174" s="1" t="str">
        <f t="shared" si="32"/>
        <v>Minor</v>
      </c>
      <c r="AX174" s="1">
        <f t="shared" si="33"/>
        <v>0</v>
      </c>
      <c r="AY174" s="1" t="s">
        <v>24</v>
      </c>
      <c r="AZ174" s="1" t="b">
        <v>0</v>
      </c>
      <c r="BA174" s="1">
        <f t="shared" si="34"/>
        <v>1</v>
      </c>
      <c r="BB174" s="1">
        <f t="shared" si="35"/>
        <v>4</v>
      </c>
      <c r="BC174" s="1" t="s">
        <v>457</v>
      </c>
      <c r="BD174" s="1" t="s">
        <v>43</v>
      </c>
      <c r="BE174" s="1" t="s">
        <v>1377</v>
      </c>
      <c r="BF174" s="1" t="b">
        <v>0</v>
      </c>
      <c r="BG174" s="1" t="str">
        <f>VLOOKUP(AM174,Group!$C:$H,5,0)</f>
        <v>Others</v>
      </c>
      <c r="BH174" s="1" t="str">
        <f>VLOOKUP(P174,others!$C:$G,5,0)</f>
        <v>MTX - India</v>
      </c>
    </row>
    <row r="175" spans="1:60" x14ac:dyDescent="0.25">
      <c r="A175" s="14">
        <v>46098.527199074073</v>
      </c>
      <c r="B175" s="14">
        <v>46098.756365740737</v>
      </c>
      <c r="C175" s="14">
        <v>46101.332777777781</v>
      </c>
      <c r="D175" s="14">
        <v>46101.561944444446</v>
      </c>
      <c r="E175" s="14">
        <v>46101.326631944445</v>
      </c>
      <c r="F175" s="14">
        <v>46101.561944444446</v>
      </c>
      <c r="G175" t="s">
        <v>470</v>
      </c>
      <c r="H175">
        <v>10103</v>
      </c>
      <c r="I175">
        <v>338.85</v>
      </c>
      <c r="J175" t="s">
        <v>104</v>
      </c>
      <c r="K175">
        <v>12829708</v>
      </c>
      <c r="L175" t="s">
        <v>1380</v>
      </c>
      <c r="M175" t="s">
        <v>116</v>
      </c>
      <c r="N175" t="s">
        <v>88</v>
      </c>
      <c r="O175" t="s">
        <v>1371</v>
      </c>
      <c r="P175" t="s">
        <v>482</v>
      </c>
      <c r="Q175" t="s">
        <v>24</v>
      </c>
      <c r="R175" t="s">
        <v>25</v>
      </c>
      <c r="S175">
        <v>160.4</v>
      </c>
      <c r="T175">
        <v>100</v>
      </c>
      <c r="U175" t="s">
        <v>100</v>
      </c>
      <c r="V175">
        <v>2</v>
      </c>
      <c r="X175" t="s">
        <v>1251</v>
      </c>
      <c r="AA175">
        <v>1440</v>
      </c>
      <c r="AB175" t="s">
        <v>26</v>
      </c>
      <c r="AC175">
        <v>541</v>
      </c>
      <c r="AD175" t="s">
        <v>27</v>
      </c>
      <c r="AE175" t="s">
        <v>28</v>
      </c>
      <c r="AF175">
        <v>0</v>
      </c>
      <c r="AK175" s="12">
        <f t="shared" si="24"/>
        <v>46101</v>
      </c>
      <c r="AL175" s="1" t="str">
        <f t="shared" si="25"/>
        <v>Week12</v>
      </c>
      <c r="AM175" s="1" t="s">
        <v>119</v>
      </c>
      <c r="AN175" s="1" t="str">
        <f t="shared" si="26"/>
        <v>Go</v>
      </c>
      <c r="AO175" s="2">
        <f t="shared" si="27"/>
        <v>100</v>
      </c>
      <c r="AP175" s="1">
        <f t="shared" si="28"/>
        <v>0</v>
      </c>
      <c r="AQ175" s="1">
        <f t="shared" si="29"/>
        <v>0</v>
      </c>
      <c r="AR175" s="1" t="s">
        <v>95</v>
      </c>
      <c r="AS175" s="1" t="s">
        <v>93</v>
      </c>
      <c r="AT175" s="1" t="s">
        <v>95</v>
      </c>
      <c r="AU175" s="1" t="str">
        <f t="shared" si="30"/>
        <v>Minor</v>
      </c>
      <c r="AV175" s="1" t="str">
        <f t="shared" si="31"/>
        <v>12829708Chintul Sutaria</v>
      </c>
      <c r="AW175" s="1" t="str">
        <f t="shared" si="32"/>
        <v>Minor</v>
      </c>
      <c r="AX175" s="1">
        <f t="shared" si="33"/>
        <v>0</v>
      </c>
      <c r="AY175" s="1" t="s">
        <v>24</v>
      </c>
      <c r="AZ175" s="1" t="b">
        <v>0</v>
      </c>
      <c r="BA175" s="1">
        <f t="shared" si="34"/>
        <v>1</v>
      </c>
      <c r="BB175" s="1">
        <f t="shared" si="35"/>
        <v>2</v>
      </c>
      <c r="BC175" s="1" t="s">
        <v>127</v>
      </c>
      <c r="BD175" s="1" t="s">
        <v>1269</v>
      </c>
      <c r="BE175" s="1" t="s">
        <v>98</v>
      </c>
      <c r="BF175" s="1" t="b">
        <v>0</v>
      </c>
      <c r="BG175" s="1" t="str">
        <f>VLOOKUP(AM175,Group!$C:$H,5,0)</f>
        <v>Top 25</v>
      </c>
      <c r="BH175" s="1" t="str">
        <f>VLOOKUP(P175,others!$C:$G,5,0)</f>
        <v>QA</v>
      </c>
    </row>
    <row r="176" spans="1:60" x14ac:dyDescent="0.25">
      <c r="A176" s="14">
        <v>46097.484664351854</v>
      </c>
      <c r="B176" s="14">
        <v>46097.713831018518</v>
      </c>
      <c r="C176" s="14">
        <v>46101.34516203704</v>
      </c>
      <c r="D176" s="14">
        <v>46101.574328703704</v>
      </c>
      <c r="E176" s="14">
        <v>46101.326550925929</v>
      </c>
      <c r="F176" s="14">
        <v>46101.574328703704</v>
      </c>
      <c r="G176" t="s">
        <v>470</v>
      </c>
      <c r="H176">
        <v>846</v>
      </c>
      <c r="I176">
        <v>356.8</v>
      </c>
      <c r="J176" t="s">
        <v>104</v>
      </c>
      <c r="K176">
        <v>12829325</v>
      </c>
      <c r="L176" t="s">
        <v>1247</v>
      </c>
      <c r="M176" t="s">
        <v>155</v>
      </c>
      <c r="N176" t="s">
        <v>88</v>
      </c>
      <c r="O176" t="s">
        <v>1371</v>
      </c>
      <c r="P176" t="s">
        <v>482</v>
      </c>
      <c r="Q176" t="s">
        <v>24</v>
      </c>
      <c r="R176" t="s">
        <v>25</v>
      </c>
      <c r="S176">
        <v>68.349999999999994</v>
      </c>
      <c r="T176">
        <v>99</v>
      </c>
      <c r="U176" t="s">
        <v>1243</v>
      </c>
      <c r="V176">
        <v>1</v>
      </c>
      <c r="X176" t="s">
        <v>1245</v>
      </c>
      <c r="AA176">
        <v>1440</v>
      </c>
      <c r="AB176" t="s">
        <v>26</v>
      </c>
      <c r="AC176">
        <v>499</v>
      </c>
      <c r="AD176" t="s">
        <v>27</v>
      </c>
      <c r="AE176" t="s">
        <v>28</v>
      </c>
      <c r="AF176">
        <v>0</v>
      </c>
      <c r="AK176" s="12">
        <f t="shared" si="24"/>
        <v>46101</v>
      </c>
      <c r="AL176" s="1" t="str">
        <f t="shared" si="25"/>
        <v>Week12</v>
      </c>
      <c r="AM176" s="1" t="s">
        <v>159</v>
      </c>
      <c r="AN176" s="1" t="str">
        <f t="shared" si="26"/>
        <v>Go</v>
      </c>
      <c r="AO176" s="2">
        <f t="shared" si="27"/>
        <v>98.536942209217258</v>
      </c>
      <c r="AP176" s="1">
        <f t="shared" si="28"/>
        <v>1</v>
      </c>
      <c r="AQ176" s="1">
        <f t="shared" si="29"/>
        <v>1</v>
      </c>
      <c r="AR176" s="1" t="s">
        <v>95</v>
      </c>
      <c r="AS176" s="1" t="s">
        <v>93</v>
      </c>
      <c r="AT176" s="1" t="s">
        <v>93</v>
      </c>
      <c r="AU176" s="1" t="str">
        <f t="shared" si="30"/>
        <v>Major</v>
      </c>
      <c r="AV176" s="1" t="str">
        <f t="shared" si="31"/>
        <v>12829325Chintul Sutaria</v>
      </c>
      <c r="AW176" s="1" t="str">
        <f t="shared" si="32"/>
        <v>Major</v>
      </c>
      <c r="AX176" s="1">
        <f t="shared" si="33"/>
        <v>1</v>
      </c>
      <c r="AY176" s="1" t="s">
        <v>24</v>
      </c>
      <c r="AZ176" s="1" t="b">
        <v>0</v>
      </c>
      <c r="BA176" s="1">
        <f t="shared" si="34"/>
        <v>1</v>
      </c>
      <c r="BB176" s="1">
        <f t="shared" si="35"/>
        <v>1</v>
      </c>
      <c r="BC176" s="1" t="s">
        <v>482</v>
      </c>
      <c r="BD176" s="1" t="s">
        <v>43</v>
      </c>
      <c r="BE176" s="1" t="s">
        <v>98</v>
      </c>
      <c r="BF176" s="1" t="b">
        <v>0</v>
      </c>
      <c r="BG176" s="1" t="str">
        <f>VLOOKUP(AM176,Group!$C:$H,5,0)</f>
        <v>Others</v>
      </c>
      <c r="BH176" s="1" t="str">
        <f>VLOOKUP(P176,others!$C:$G,5,0)</f>
        <v>QA</v>
      </c>
    </row>
    <row r="177" spans="1:60" x14ac:dyDescent="0.25">
      <c r="A177" s="14">
        <v>46096.853564814817</v>
      </c>
      <c r="B177" s="14">
        <v>46097.082731481481</v>
      </c>
      <c r="C177" s="14">
        <v>46101.35701388889</v>
      </c>
      <c r="D177" s="14">
        <v>46101.586180555554</v>
      </c>
      <c r="E177" s="14">
        <v>46099.989861111113</v>
      </c>
      <c r="F177" s="14">
        <v>46101.586180555554</v>
      </c>
      <c r="G177" t="s">
        <v>470</v>
      </c>
      <c r="H177">
        <v>2407</v>
      </c>
      <c r="I177">
        <v>2298.6999999999998</v>
      </c>
      <c r="J177" t="s">
        <v>104</v>
      </c>
      <c r="K177">
        <v>12829230</v>
      </c>
      <c r="L177" t="s">
        <v>151</v>
      </c>
      <c r="M177" t="s">
        <v>151</v>
      </c>
      <c r="N177" t="s">
        <v>88</v>
      </c>
      <c r="O177" t="s">
        <v>456</v>
      </c>
      <c r="P177" t="s">
        <v>457</v>
      </c>
      <c r="Q177" t="s">
        <v>24</v>
      </c>
      <c r="R177" t="s">
        <v>1241</v>
      </c>
      <c r="S177">
        <v>59.82</v>
      </c>
      <c r="T177">
        <v>98</v>
      </c>
      <c r="U177" t="s">
        <v>1243</v>
      </c>
      <c r="V177">
        <v>1</v>
      </c>
      <c r="X177" t="s">
        <v>1283</v>
      </c>
      <c r="AA177">
        <v>1440</v>
      </c>
      <c r="AB177" t="s">
        <v>26</v>
      </c>
      <c r="AC177">
        <v>440</v>
      </c>
      <c r="AD177" t="s">
        <v>27</v>
      </c>
      <c r="AE177" t="s">
        <v>28</v>
      </c>
      <c r="AF177">
        <v>0</v>
      </c>
      <c r="AK177" s="12">
        <f t="shared" si="24"/>
        <v>46101</v>
      </c>
      <c r="AL177" s="1" t="str">
        <f t="shared" si="25"/>
        <v>Week12</v>
      </c>
      <c r="AM177" s="1" t="s">
        <v>140</v>
      </c>
      <c r="AN177" s="1" t="str">
        <f t="shared" si="26"/>
        <v>NoGo</v>
      </c>
      <c r="AO177" s="2">
        <f t="shared" si="27"/>
        <v>96.656636576395854</v>
      </c>
      <c r="AP177" s="1">
        <f t="shared" si="28"/>
        <v>1</v>
      </c>
      <c r="AQ177" s="1">
        <f t="shared" si="29"/>
        <v>2</v>
      </c>
      <c r="AR177" s="1" t="s">
        <v>93</v>
      </c>
      <c r="AS177" s="1" t="s">
        <v>93</v>
      </c>
      <c r="AT177" s="1" t="s">
        <v>93</v>
      </c>
      <c r="AU177" s="1" t="str">
        <f t="shared" si="30"/>
        <v>Major</v>
      </c>
      <c r="AV177" s="1" t="str">
        <f t="shared" si="31"/>
        <v>12829230Shiny Iype</v>
      </c>
      <c r="AW177" s="1" t="str">
        <f t="shared" si="32"/>
        <v>Major</v>
      </c>
      <c r="AX177" s="1">
        <f t="shared" si="33"/>
        <v>1</v>
      </c>
      <c r="AY177" s="1" t="s">
        <v>24</v>
      </c>
      <c r="AZ177" s="1" t="b">
        <v>1</v>
      </c>
      <c r="BA177" s="1">
        <f t="shared" si="34"/>
        <v>1</v>
      </c>
      <c r="BB177" s="1">
        <f t="shared" si="35"/>
        <v>1</v>
      </c>
      <c r="BC177" s="1" t="s">
        <v>457</v>
      </c>
      <c r="BD177" s="1" t="s">
        <v>43</v>
      </c>
      <c r="BE177" s="1" t="s">
        <v>98</v>
      </c>
      <c r="BF177" s="1" t="b">
        <v>1</v>
      </c>
      <c r="BG177" s="1" t="str">
        <f>VLOOKUP(AM177,Group!$C:$H,5,0)</f>
        <v>Others</v>
      </c>
      <c r="BH177" s="1" t="str">
        <f>VLOOKUP(P177,others!$C:$G,5,0)</f>
        <v>MTX - India</v>
      </c>
    </row>
    <row r="178" spans="1:60" x14ac:dyDescent="0.25">
      <c r="A178" s="14">
        <v>46096.853564814817</v>
      </c>
      <c r="B178" s="14">
        <v>46097.082731481481</v>
      </c>
      <c r="C178" s="14">
        <v>46101.35701388889</v>
      </c>
      <c r="D178" s="14">
        <v>46101.586180555554</v>
      </c>
      <c r="E178" s="14">
        <v>46099.989861111113</v>
      </c>
      <c r="F178" s="14">
        <v>46101.586180555554</v>
      </c>
      <c r="G178" t="s">
        <v>470</v>
      </c>
      <c r="H178">
        <v>2407</v>
      </c>
      <c r="I178">
        <v>2298.6999999999998</v>
      </c>
      <c r="J178" t="s">
        <v>104</v>
      </c>
      <c r="K178">
        <v>12829230</v>
      </c>
      <c r="L178" t="s">
        <v>151</v>
      </c>
      <c r="M178" t="s">
        <v>151</v>
      </c>
      <c r="N178" t="s">
        <v>88</v>
      </c>
      <c r="O178" t="s">
        <v>456</v>
      </c>
      <c r="P178" t="s">
        <v>457</v>
      </c>
      <c r="Q178" t="s">
        <v>24</v>
      </c>
      <c r="R178" t="s">
        <v>1241</v>
      </c>
      <c r="S178">
        <v>59.82</v>
      </c>
      <c r="T178">
        <v>98</v>
      </c>
      <c r="U178" t="s">
        <v>472</v>
      </c>
      <c r="V178">
        <v>1</v>
      </c>
      <c r="X178" t="s">
        <v>1283</v>
      </c>
      <c r="AA178">
        <v>1440</v>
      </c>
      <c r="AB178" t="s">
        <v>26</v>
      </c>
      <c r="AC178">
        <v>440</v>
      </c>
      <c r="AD178" t="s">
        <v>27</v>
      </c>
      <c r="AE178" t="s">
        <v>28</v>
      </c>
      <c r="AF178">
        <v>0</v>
      </c>
      <c r="AK178" s="12">
        <f t="shared" si="24"/>
        <v>46101</v>
      </c>
      <c r="AL178" s="1" t="str">
        <f t="shared" si="25"/>
        <v>Week12</v>
      </c>
      <c r="AM178" s="1" t="s">
        <v>140</v>
      </c>
      <c r="AN178" s="1" t="str">
        <f t="shared" si="26"/>
        <v>NoGo</v>
      </c>
      <c r="AO178" s="2">
        <f t="shared" si="27"/>
        <v>96.656636576395854</v>
      </c>
      <c r="AP178" s="1">
        <f t="shared" si="28"/>
        <v>1</v>
      </c>
      <c r="AQ178" s="1">
        <f t="shared" si="29"/>
        <v>2</v>
      </c>
      <c r="AR178" s="1" t="s">
        <v>93</v>
      </c>
      <c r="AS178" s="1" t="s">
        <v>93</v>
      </c>
      <c r="AT178" s="1" t="s">
        <v>93</v>
      </c>
      <c r="AU178" s="1" t="str">
        <f t="shared" si="30"/>
        <v>Major</v>
      </c>
      <c r="AV178" s="1" t="str">
        <f t="shared" si="31"/>
        <v>12829230Shiny Iype</v>
      </c>
      <c r="AW178" s="1" t="str">
        <f t="shared" si="32"/>
        <v>Major</v>
      </c>
      <c r="AX178" s="1">
        <f t="shared" si="33"/>
        <v>1</v>
      </c>
      <c r="AY178" s="1" t="s">
        <v>24</v>
      </c>
      <c r="AZ178" s="1" t="b">
        <v>1</v>
      </c>
      <c r="BA178" s="1">
        <f t="shared" si="34"/>
        <v>1</v>
      </c>
      <c r="BB178" s="1">
        <f t="shared" si="35"/>
        <v>1</v>
      </c>
      <c r="BC178" s="1" t="s">
        <v>457</v>
      </c>
      <c r="BD178" s="1" t="s">
        <v>43</v>
      </c>
      <c r="BE178" s="1" t="s">
        <v>98</v>
      </c>
      <c r="BF178" s="1" t="b">
        <v>1</v>
      </c>
      <c r="BG178" s="1" t="str">
        <f>VLOOKUP(AM178,Group!$C:$H,5,0)</f>
        <v>Others</v>
      </c>
      <c r="BH178" s="1" t="str">
        <f>VLOOKUP(P178,others!$C:$G,5,0)</f>
        <v>MTX - India</v>
      </c>
    </row>
    <row r="179" spans="1:60" x14ac:dyDescent="0.25">
      <c r="A179" s="14">
        <v>46096.853564814817</v>
      </c>
      <c r="B179" s="14">
        <v>46097.082731481481</v>
      </c>
      <c r="C179" s="14">
        <v>46101.35701388889</v>
      </c>
      <c r="D179" s="14">
        <v>46101.586180555554</v>
      </c>
      <c r="E179" s="14">
        <v>46099.989861111113</v>
      </c>
      <c r="F179" s="14">
        <v>46101.586180555554</v>
      </c>
      <c r="G179" t="s">
        <v>470</v>
      </c>
      <c r="H179">
        <v>2407</v>
      </c>
      <c r="I179">
        <v>2298.6999999999998</v>
      </c>
      <c r="J179" t="s">
        <v>104</v>
      </c>
      <c r="K179">
        <v>12829230</v>
      </c>
      <c r="L179" t="s">
        <v>151</v>
      </c>
      <c r="M179" t="s">
        <v>151</v>
      </c>
      <c r="N179" t="s">
        <v>88</v>
      </c>
      <c r="O179" t="s">
        <v>456</v>
      </c>
      <c r="P179" t="s">
        <v>457</v>
      </c>
      <c r="Q179" t="s">
        <v>24</v>
      </c>
      <c r="R179" t="s">
        <v>1241</v>
      </c>
      <c r="S179">
        <v>59.82</v>
      </c>
      <c r="T179">
        <v>98</v>
      </c>
      <c r="U179" t="s">
        <v>100</v>
      </c>
      <c r="V179">
        <v>3</v>
      </c>
      <c r="X179" t="s">
        <v>1283</v>
      </c>
      <c r="AA179">
        <v>1440</v>
      </c>
      <c r="AB179" t="s">
        <v>26</v>
      </c>
      <c r="AC179">
        <v>440</v>
      </c>
      <c r="AD179" t="s">
        <v>27</v>
      </c>
      <c r="AE179" t="s">
        <v>28</v>
      </c>
      <c r="AF179">
        <v>0</v>
      </c>
      <c r="AK179" s="12">
        <f t="shared" si="24"/>
        <v>46101</v>
      </c>
      <c r="AL179" s="1" t="str">
        <f t="shared" si="25"/>
        <v>Week12</v>
      </c>
      <c r="AM179" s="1" t="s">
        <v>140</v>
      </c>
      <c r="AN179" s="1" t="str">
        <f t="shared" si="26"/>
        <v>NoGo</v>
      </c>
      <c r="AO179" s="2">
        <f t="shared" si="27"/>
        <v>96.656636576395854</v>
      </c>
      <c r="AP179" s="1">
        <f t="shared" si="28"/>
        <v>0</v>
      </c>
      <c r="AQ179" s="1">
        <f t="shared" si="29"/>
        <v>2</v>
      </c>
      <c r="AR179" s="1" t="s">
        <v>93</v>
      </c>
      <c r="AS179" s="1" t="s">
        <v>93</v>
      </c>
      <c r="AT179" s="1" t="s">
        <v>93</v>
      </c>
      <c r="AU179" s="1" t="str">
        <f t="shared" si="30"/>
        <v>Minor</v>
      </c>
      <c r="AV179" s="1" t="str">
        <f t="shared" si="31"/>
        <v>12829230Shiny Iype</v>
      </c>
      <c r="AW179" s="1" t="str">
        <f t="shared" si="32"/>
        <v>Minor</v>
      </c>
      <c r="AX179" s="1">
        <f t="shared" si="33"/>
        <v>0</v>
      </c>
      <c r="AY179" s="1" t="s">
        <v>24</v>
      </c>
      <c r="AZ179" s="1" t="b">
        <v>0</v>
      </c>
      <c r="BA179" s="1">
        <f t="shared" si="34"/>
        <v>1</v>
      </c>
      <c r="BB179" s="1">
        <f t="shared" si="35"/>
        <v>3</v>
      </c>
      <c r="BC179" s="1" t="s">
        <v>457</v>
      </c>
      <c r="BD179" s="1" t="s">
        <v>43</v>
      </c>
      <c r="BE179" s="1" t="s">
        <v>98</v>
      </c>
      <c r="BF179" s="1" t="b">
        <v>0</v>
      </c>
      <c r="BG179" s="1" t="str">
        <f>VLOOKUP(AM179,Group!$C:$H,5,0)</f>
        <v>Others</v>
      </c>
      <c r="BH179" s="1" t="str">
        <f>VLOOKUP(P179,others!$C:$G,5,0)</f>
        <v>MTX - India</v>
      </c>
    </row>
    <row r="180" spans="1:60" x14ac:dyDescent="0.25">
      <c r="A180" s="14">
        <v>46099.529768518521</v>
      </c>
      <c r="B180" s="14">
        <v>46099.758935185186</v>
      </c>
      <c r="C180" s="14">
        <v>46103.370729166665</v>
      </c>
      <c r="D180" s="14">
        <v>46103.599895833337</v>
      </c>
      <c r="E180" s="14">
        <v>46103.409814814811</v>
      </c>
      <c r="F180" s="14">
        <v>46103.599895833337</v>
      </c>
      <c r="G180" t="s">
        <v>470</v>
      </c>
      <c r="H180">
        <v>195</v>
      </c>
      <c r="I180">
        <v>273.7167</v>
      </c>
      <c r="J180" t="s">
        <v>104</v>
      </c>
      <c r="K180">
        <v>12830174</v>
      </c>
      <c r="L180" t="s">
        <v>1378</v>
      </c>
      <c r="M180" t="s">
        <v>106</v>
      </c>
      <c r="N180" t="s">
        <v>97</v>
      </c>
      <c r="O180" t="s">
        <v>455</v>
      </c>
      <c r="P180" t="s">
        <v>99</v>
      </c>
      <c r="Q180" t="s">
        <v>29</v>
      </c>
      <c r="R180" t="s">
        <v>25</v>
      </c>
      <c r="S180">
        <v>10.98</v>
      </c>
      <c r="T180">
        <v>100</v>
      </c>
      <c r="U180" t="s">
        <v>100</v>
      </c>
      <c r="V180">
        <v>1</v>
      </c>
      <c r="X180" t="s">
        <v>1347</v>
      </c>
      <c r="AA180">
        <v>360</v>
      </c>
      <c r="AB180" t="s">
        <v>26</v>
      </c>
      <c r="AC180">
        <v>60</v>
      </c>
      <c r="AD180" t="s">
        <v>27</v>
      </c>
      <c r="AE180" t="s">
        <v>28</v>
      </c>
      <c r="AF180">
        <v>0</v>
      </c>
      <c r="AK180" s="12">
        <f t="shared" si="24"/>
        <v>46103</v>
      </c>
      <c r="AL180" s="1" t="str">
        <f t="shared" si="25"/>
        <v>Week13</v>
      </c>
      <c r="AM180" s="1" t="s">
        <v>108</v>
      </c>
      <c r="AN180" s="1" t="str">
        <f t="shared" si="26"/>
        <v>Go</v>
      </c>
      <c r="AO180" s="2">
        <f t="shared" si="27"/>
        <v>100</v>
      </c>
      <c r="AP180" s="1">
        <f t="shared" si="28"/>
        <v>0</v>
      </c>
      <c r="AQ180" s="1">
        <f t="shared" si="29"/>
        <v>0</v>
      </c>
      <c r="AR180" s="1" t="s">
        <v>93</v>
      </c>
      <c r="AS180" s="1" t="s">
        <v>96</v>
      </c>
      <c r="AT180" s="1" t="s">
        <v>96</v>
      </c>
      <c r="AU180" s="1" t="str">
        <f t="shared" si="30"/>
        <v>Minor</v>
      </c>
      <c r="AV180" s="1" t="str">
        <f t="shared" si="31"/>
        <v>12830174Gopal Rajith</v>
      </c>
      <c r="AW180" s="1" t="str">
        <f t="shared" si="32"/>
        <v>Minor</v>
      </c>
      <c r="AX180" s="1">
        <f t="shared" si="33"/>
        <v>0</v>
      </c>
      <c r="AY180" s="1" t="s">
        <v>29</v>
      </c>
      <c r="AZ180" s="1" t="b">
        <v>0</v>
      </c>
      <c r="BA180" s="1">
        <f t="shared" si="34"/>
        <v>1</v>
      </c>
      <c r="BB180" s="1">
        <f t="shared" si="35"/>
        <v>1</v>
      </c>
      <c r="BC180" s="1" t="s">
        <v>99</v>
      </c>
      <c r="BD180" s="1" t="s">
        <v>43</v>
      </c>
      <c r="BE180" s="1" t="s">
        <v>98</v>
      </c>
      <c r="BF180" s="1" t="b">
        <v>0</v>
      </c>
      <c r="BG180" s="1" t="str">
        <f>VLOOKUP(AM180,Group!$C:$H,5,0)</f>
        <v>Top 25</v>
      </c>
      <c r="BH180" s="1" t="str">
        <f>VLOOKUP(P180,others!$C:$G,5,0)</f>
        <v>MTx-India</v>
      </c>
    </row>
    <row r="181" spans="1:60" x14ac:dyDescent="0.25">
      <c r="A181" s="14">
        <v>46098.717858796299</v>
      </c>
      <c r="B181" s="14">
        <v>46098.947025462963</v>
      </c>
      <c r="C181" s="14">
        <v>46103.375196759262</v>
      </c>
      <c r="D181" s="14">
        <v>46103.604363425926</v>
      </c>
      <c r="E181" s="14">
        <v>46103.409884259258</v>
      </c>
      <c r="F181" s="14">
        <v>46103.604363425926</v>
      </c>
      <c r="G181" t="s">
        <v>470</v>
      </c>
      <c r="H181">
        <v>358</v>
      </c>
      <c r="I181">
        <v>280.05</v>
      </c>
      <c r="J181" t="s">
        <v>104</v>
      </c>
      <c r="K181">
        <v>12829981</v>
      </c>
      <c r="L181" t="s">
        <v>1248</v>
      </c>
      <c r="M181" t="s">
        <v>101</v>
      </c>
      <c r="N181" t="s">
        <v>88</v>
      </c>
      <c r="O181" t="s">
        <v>456</v>
      </c>
      <c r="P181" t="s">
        <v>457</v>
      </c>
      <c r="Q181" t="s">
        <v>24</v>
      </c>
      <c r="R181" t="s">
        <v>1241</v>
      </c>
      <c r="S181">
        <v>42.11</v>
      </c>
      <c r="T181">
        <v>97</v>
      </c>
      <c r="U181" t="s">
        <v>471</v>
      </c>
      <c r="V181">
        <v>2</v>
      </c>
      <c r="X181" t="s">
        <v>469</v>
      </c>
      <c r="AA181">
        <v>1440</v>
      </c>
      <c r="AB181" t="s">
        <v>26</v>
      </c>
      <c r="AC181">
        <v>162</v>
      </c>
      <c r="AD181" t="s">
        <v>27</v>
      </c>
      <c r="AE181" t="s">
        <v>28</v>
      </c>
      <c r="AF181">
        <v>0</v>
      </c>
      <c r="AK181" s="12">
        <f t="shared" si="24"/>
        <v>46103</v>
      </c>
      <c r="AL181" s="1" t="str">
        <f t="shared" si="25"/>
        <v>Week13</v>
      </c>
      <c r="AM181" s="1" t="s">
        <v>102</v>
      </c>
      <c r="AN181" s="1" t="str">
        <f t="shared" si="26"/>
        <v>NoGo</v>
      </c>
      <c r="AO181" s="2">
        <f t="shared" si="27"/>
        <v>92.875801472334359</v>
      </c>
      <c r="AP181" s="1">
        <f t="shared" si="28"/>
        <v>2</v>
      </c>
      <c r="AQ181" s="1">
        <f t="shared" si="29"/>
        <v>3</v>
      </c>
      <c r="AR181" s="1" t="s">
        <v>95</v>
      </c>
      <c r="AS181" s="1" t="s">
        <v>93</v>
      </c>
      <c r="AT181" s="1" t="s">
        <v>93</v>
      </c>
      <c r="AU181" s="1" t="str">
        <f t="shared" si="30"/>
        <v>Major</v>
      </c>
      <c r="AV181" s="1" t="str">
        <f t="shared" si="31"/>
        <v>12829981Shiny Iype</v>
      </c>
      <c r="AW181" s="1" t="str">
        <f t="shared" si="32"/>
        <v>Major</v>
      </c>
      <c r="AX181" s="1">
        <f t="shared" si="33"/>
        <v>1</v>
      </c>
      <c r="AY181" s="1" t="s">
        <v>24</v>
      </c>
      <c r="AZ181" s="1" t="b">
        <v>1</v>
      </c>
      <c r="BA181" s="1">
        <f t="shared" si="34"/>
        <v>1</v>
      </c>
      <c r="BB181" s="1">
        <f t="shared" si="35"/>
        <v>2</v>
      </c>
      <c r="BC181" s="1" t="s">
        <v>457</v>
      </c>
      <c r="BD181" s="1" t="s">
        <v>43</v>
      </c>
      <c r="BE181" s="1" t="s">
        <v>98</v>
      </c>
      <c r="BF181" s="1" t="b">
        <v>1</v>
      </c>
      <c r="BG181" s="1" t="str">
        <f>VLOOKUP(AM181,Group!$C:$H,5,0)</f>
        <v>Top 25</v>
      </c>
      <c r="BH181" s="1" t="str">
        <f>VLOOKUP(P181,others!$C:$G,5,0)</f>
        <v>MTX - India</v>
      </c>
    </row>
    <row r="182" spans="1:60" x14ac:dyDescent="0.25">
      <c r="A182" s="14">
        <v>46098.717858796299</v>
      </c>
      <c r="B182" s="14">
        <v>46098.947025462963</v>
      </c>
      <c r="C182" s="14">
        <v>46103.375196759262</v>
      </c>
      <c r="D182" s="14">
        <v>46103.604363425926</v>
      </c>
      <c r="E182" s="14">
        <v>46103.409884259258</v>
      </c>
      <c r="F182" s="14">
        <v>46103.604363425926</v>
      </c>
      <c r="G182" t="s">
        <v>470</v>
      </c>
      <c r="H182">
        <v>358</v>
      </c>
      <c r="I182">
        <v>280.05</v>
      </c>
      <c r="J182" t="s">
        <v>104</v>
      </c>
      <c r="K182">
        <v>12829981</v>
      </c>
      <c r="L182" t="s">
        <v>1248</v>
      </c>
      <c r="M182" t="s">
        <v>101</v>
      </c>
      <c r="N182" t="s">
        <v>88</v>
      </c>
      <c r="O182" t="s">
        <v>456</v>
      </c>
      <c r="P182" t="s">
        <v>457</v>
      </c>
      <c r="Q182" t="s">
        <v>24</v>
      </c>
      <c r="R182" t="s">
        <v>1241</v>
      </c>
      <c r="S182">
        <v>42.11</v>
      </c>
      <c r="T182">
        <v>97</v>
      </c>
      <c r="U182" t="s">
        <v>1243</v>
      </c>
      <c r="V182">
        <v>1</v>
      </c>
      <c r="X182" t="s">
        <v>469</v>
      </c>
      <c r="AA182">
        <v>1440</v>
      </c>
      <c r="AB182" t="s">
        <v>26</v>
      </c>
      <c r="AC182">
        <v>162</v>
      </c>
      <c r="AD182" t="s">
        <v>27</v>
      </c>
      <c r="AE182" t="s">
        <v>28</v>
      </c>
      <c r="AF182">
        <v>0</v>
      </c>
      <c r="AK182" s="12">
        <f t="shared" si="24"/>
        <v>46103</v>
      </c>
      <c r="AL182" s="1" t="str">
        <f t="shared" si="25"/>
        <v>Week13</v>
      </c>
      <c r="AM182" s="1" t="s">
        <v>102</v>
      </c>
      <c r="AN182" s="1" t="str">
        <f t="shared" si="26"/>
        <v>NoGo</v>
      </c>
      <c r="AO182" s="2">
        <f t="shared" si="27"/>
        <v>92.875801472334359</v>
      </c>
      <c r="AP182" s="1">
        <f t="shared" si="28"/>
        <v>1</v>
      </c>
      <c r="AQ182" s="1">
        <f t="shared" si="29"/>
        <v>3</v>
      </c>
      <c r="AR182" s="1" t="s">
        <v>95</v>
      </c>
      <c r="AS182" s="1" t="s">
        <v>93</v>
      </c>
      <c r="AT182" s="1" t="s">
        <v>93</v>
      </c>
      <c r="AU182" s="1" t="str">
        <f t="shared" si="30"/>
        <v>Major</v>
      </c>
      <c r="AV182" s="1" t="str">
        <f t="shared" si="31"/>
        <v>12829981Shiny Iype</v>
      </c>
      <c r="AW182" s="1" t="str">
        <f t="shared" si="32"/>
        <v>Major</v>
      </c>
      <c r="AX182" s="1">
        <f t="shared" si="33"/>
        <v>1</v>
      </c>
      <c r="AY182" s="1" t="s">
        <v>24</v>
      </c>
      <c r="AZ182" s="1" t="b">
        <v>1</v>
      </c>
      <c r="BA182" s="1">
        <f t="shared" si="34"/>
        <v>1</v>
      </c>
      <c r="BB182" s="1">
        <f t="shared" si="35"/>
        <v>1</v>
      </c>
      <c r="BC182" s="1" t="s">
        <v>457</v>
      </c>
      <c r="BD182" s="1" t="s">
        <v>43</v>
      </c>
      <c r="BE182" s="1" t="s">
        <v>98</v>
      </c>
      <c r="BF182" s="1" t="b">
        <v>1</v>
      </c>
      <c r="BG182" s="1" t="str">
        <f>VLOOKUP(AM182,Group!$C:$H,5,0)</f>
        <v>Top 25</v>
      </c>
      <c r="BH182" s="1" t="str">
        <f>VLOOKUP(P182,others!$C:$G,5,0)</f>
        <v>MTX - India</v>
      </c>
    </row>
    <row r="183" spans="1:60" x14ac:dyDescent="0.25">
      <c r="A183" s="14">
        <v>46098.717858796299</v>
      </c>
      <c r="B183" s="14">
        <v>46098.947025462963</v>
      </c>
      <c r="C183" s="14">
        <v>46103.375196759262</v>
      </c>
      <c r="D183" s="14">
        <v>46103.604363425926</v>
      </c>
      <c r="E183" s="14">
        <v>46103.409884259258</v>
      </c>
      <c r="F183" s="14">
        <v>46103.604363425926</v>
      </c>
      <c r="G183" t="s">
        <v>470</v>
      </c>
      <c r="H183">
        <v>358</v>
      </c>
      <c r="I183">
        <v>280.05</v>
      </c>
      <c r="J183" t="s">
        <v>104</v>
      </c>
      <c r="K183">
        <v>12829981</v>
      </c>
      <c r="L183" t="s">
        <v>1248</v>
      </c>
      <c r="M183" t="s">
        <v>101</v>
      </c>
      <c r="N183" t="s">
        <v>88</v>
      </c>
      <c r="O183" t="s">
        <v>456</v>
      </c>
      <c r="P183" t="s">
        <v>457</v>
      </c>
      <c r="Q183" t="s">
        <v>24</v>
      </c>
      <c r="R183" t="s">
        <v>1241</v>
      </c>
      <c r="S183">
        <v>42.11</v>
      </c>
      <c r="T183">
        <v>97</v>
      </c>
      <c r="U183" t="s">
        <v>100</v>
      </c>
      <c r="V183">
        <v>4</v>
      </c>
      <c r="X183" t="s">
        <v>469</v>
      </c>
      <c r="AA183">
        <v>1440</v>
      </c>
      <c r="AB183" t="s">
        <v>26</v>
      </c>
      <c r="AC183">
        <v>162</v>
      </c>
      <c r="AD183" t="s">
        <v>27</v>
      </c>
      <c r="AE183" t="s">
        <v>28</v>
      </c>
      <c r="AF183">
        <v>0</v>
      </c>
      <c r="AK183" s="12">
        <f t="shared" si="24"/>
        <v>46103</v>
      </c>
      <c r="AL183" s="1" t="str">
        <f t="shared" si="25"/>
        <v>Week13</v>
      </c>
      <c r="AM183" s="1" t="s">
        <v>102</v>
      </c>
      <c r="AN183" s="1" t="str">
        <f t="shared" si="26"/>
        <v>NoGo</v>
      </c>
      <c r="AO183" s="2">
        <f t="shared" si="27"/>
        <v>92.875801472334359</v>
      </c>
      <c r="AP183" s="1">
        <f t="shared" si="28"/>
        <v>0</v>
      </c>
      <c r="AQ183" s="1">
        <f t="shared" si="29"/>
        <v>3</v>
      </c>
      <c r="AR183" s="1" t="s">
        <v>95</v>
      </c>
      <c r="AS183" s="1" t="s">
        <v>93</v>
      </c>
      <c r="AT183" s="1" t="s">
        <v>93</v>
      </c>
      <c r="AU183" s="1" t="str">
        <f t="shared" si="30"/>
        <v>Minor</v>
      </c>
      <c r="AV183" s="1" t="str">
        <f t="shared" si="31"/>
        <v>12829981Shiny Iype</v>
      </c>
      <c r="AW183" s="1" t="str">
        <f t="shared" si="32"/>
        <v>Minor</v>
      </c>
      <c r="AX183" s="1">
        <f t="shared" si="33"/>
        <v>0</v>
      </c>
      <c r="AY183" s="1" t="s">
        <v>24</v>
      </c>
      <c r="AZ183" s="1" t="b">
        <v>0</v>
      </c>
      <c r="BA183" s="1">
        <f t="shared" si="34"/>
        <v>1</v>
      </c>
      <c r="BB183" s="1">
        <f t="shared" si="35"/>
        <v>4</v>
      </c>
      <c r="BC183" s="1" t="s">
        <v>457</v>
      </c>
      <c r="BD183" s="1" t="s">
        <v>43</v>
      </c>
      <c r="BE183" s="1" t="s">
        <v>98</v>
      </c>
      <c r="BF183" s="1" t="b">
        <v>0</v>
      </c>
      <c r="BG183" s="1" t="str">
        <f>VLOOKUP(AM183,Group!$C:$H,5,0)</f>
        <v>Top 25</v>
      </c>
      <c r="BH183" s="1" t="str">
        <f>VLOOKUP(P183,others!$C:$G,5,0)</f>
        <v>MTX - India</v>
      </c>
    </row>
    <row r="184" spans="1:60" x14ac:dyDescent="0.25">
      <c r="A184" s="14">
        <v>46098.718425925923</v>
      </c>
      <c r="B184" s="14">
        <v>46098.947592592594</v>
      </c>
      <c r="C184" s="14">
        <v>46103.378599537034</v>
      </c>
      <c r="D184" s="14">
        <v>46103.607766203706</v>
      </c>
      <c r="E184" s="14">
        <v>46101.334421296298</v>
      </c>
      <c r="F184" s="14">
        <v>46103.607766203706</v>
      </c>
      <c r="G184" t="s">
        <v>470</v>
      </c>
      <c r="H184">
        <v>269</v>
      </c>
      <c r="I184">
        <v>3273.6167</v>
      </c>
      <c r="J184" t="s">
        <v>104</v>
      </c>
      <c r="K184">
        <v>12829982</v>
      </c>
      <c r="L184" t="s">
        <v>1248</v>
      </c>
      <c r="M184" t="s">
        <v>101</v>
      </c>
      <c r="N184" t="s">
        <v>88</v>
      </c>
      <c r="O184" t="s">
        <v>456</v>
      </c>
      <c r="P184" t="s">
        <v>457</v>
      </c>
      <c r="Q184" t="s">
        <v>24</v>
      </c>
      <c r="R184" t="s">
        <v>25</v>
      </c>
      <c r="S184">
        <v>31.34</v>
      </c>
      <c r="T184">
        <v>99</v>
      </c>
      <c r="U184" t="s">
        <v>471</v>
      </c>
      <c r="V184">
        <v>1</v>
      </c>
      <c r="X184" t="s">
        <v>469</v>
      </c>
      <c r="AA184">
        <v>1440</v>
      </c>
      <c r="AB184" t="s">
        <v>26</v>
      </c>
      <c r="AC184">
        <v>121</v>
      </c>
      <c r="AD184" t="s">
        <v>27</v>
      </c>
      <c r="AE184" t="s">
        <v>28</v>
      </c>
      <c r="AF184">
        <v>0</v>
      </c>
      <c r="AK184" s="12">
        <f t="shared" si="24"/>
        <v>46103</v>
      </c>
      <c r="AL184" s="1" t="str">
        <f t="shared" si="25"/>
        <v>Week13</v>
      </c>
      <c r="AM184" s="1" t="s">
        <v>102</v>
      </c>
      <c r="AN184" s="1" t="str">
        <f t="shared" si="26"/>
        <v>NoGo</v>
      </c>
      <c r="AO184" s="2">
        <f t="shared" si="27"/>
        <v>96.809189534141666</v>
      </c>
      <c r="AP184" s="1">
        <f t="shared" si="28"/>
        <v>1</v>
      </c>
      <c r="AQ184" s="1">
        <f t="shared" si="29"/>
        <v>1</v>
      </c>
      <c r="AR184" s="1" t="s">
        <v>95</v>
      </c>
      <c r="AS184" s="1" t="s">
        <v>93</v>
      </c>
      <c r="AT184" s="1" t="s">
        <v>93</v>
      </c>
      <c r="AU184" s="1" t="str">
        <f t="shared" si="30"/>
        <v>Major</v>
      </c>
      <c r="AV184" s="1" t="str">
        <f t="shared" si="31"/>
        <v>12829982Shiny Iype</v>
      </c>
      <c r="AW184" s="1" t="str">
        <f t="shared" si="32"/>
        <v>Major</v>
      </c>
      <c r="AX184" s="1">
        <f t="shared" si="33"/>
        <v>1</v>
      </c>
      <c r="AY184" s="1" t="s">
        <v>24</v>
      </c>
      <c r="AZ184" s="1" t="b">
        <v>1</v>
      </c>
      <c r="BA184" s="1">
        <f t="shared" si="34"/>
        <v>1</v>
      </c>
      <c r="BB184" s="1">
        <f t="shared" si="35"/>
        <v>1</v>
      </c>
      <c r="BC184" s="1" t="s">
        <v>457</v>
      </c>
      <c r="BD184" s="1" t="s">
        <v>43</v>
      </c>
      <c r="BE184" s="1" t="s">
        <v>98</v>
      </c>
      <c r="BF184" s="1" t="b">
        <v>1</v>
      </c>
      <c r="BG184" s="1" t="str">
        <f>VLOOKUP(AM184,Group!$C:$H,5,0)</f>
        <v>Top 25</v>
      </c>
      <c r="BH184" s="1" t="str">
        <f>VLOOKUP(P184,others!$C:$G,5,0)</f>
        <v>MTX - India</v>
      </c>
    </row>
    <row r="185" spans="1:60" x14ac:dyDescent="0.25">
      <c r="A185" s="14">
        <v>46098.718425925923</v>
      </c>
      <c r="B185" s="14">
        <v>46098.947592592594</v>
      </c>
      <c r="C185" s="14">
        <v>46103.378599537034</v>
      </c>
      <c r="D185" s="14">
        <v>46103.607766203706</v>
      </c>
      <c r="E185" s="14">
        <v>46101.334421296298</v>
      </c>
      <c r="F185" s="14">
        <v>46103.607766203706</v>
      </c>
      <c r="G185" t="s">
        <v>470</v>
      </c>
      <c r="H185">
        <v>269</v>
      </c>
      <c r="I185">
        <v>3273.6167</v>
      </c>
      <c r="J185" t="s">
        <v>104</v>
      </c>
      <c r="K185">
        <v>12829982</v>
      </c>
      <c r="L185" t="s">
        <v>1248</v>
      </c>
      <c r="M185" t="s">
        <v>101</v>
      </c>
      <c r="N185" t="s">
        <v>88</v>
      </c>
      <c r="O185" t="s">
        <v>456</v>
      </c>
      <c r="P185" t="s">
        <v>457</v>
      </c>
      <c r="Q185" t="s">
        <v>24</v>
      </c>
      <c r="R185" t="s">
        <v>25</v>
      </c>
      <c r="S185">
        <v>31.34</v>
      </c>
      <c r="T185">
        <v>99</v>
      </c>
      <c r="U185" t="s">
        <v>100</v>
      </c>
      <c r="V185">
        <v>5</v>
      </c>
      <c r="X185" t="s">
        <v>469</v>
      </c>
      <c r="AA185">
        <v>1440</v>
      </c>
      <c r="AB185" t="s">
        <v>26</v>
      </c>
      <c r="AC185">
        <v>121</v>
      </c>
      <c r="AD185" t="s">
        <v>27</v>
      </c>
      <c r="AE185" t="s">
        <v>28</v>
      </c>
      <c r="AF185">
        <v>0</v>
      </c>
      <c r="AK185" s="12">
        <f t="shared" si="24"/>
        <v>46103</v>
      </c>
      <c r="AL185" s="1" t="str">
        <f t="shared" si="25"/>
        <v>Week13</v>
      </c>
      <c r="AM185" s="1" t="s">
        <v>102</v>
      </c>
      <c r="AN185" s="1" t="str">
        <f t="shared" si="26"/>
        <v>NoGo</v>
      </c>
      <c r="AO185" s="2">
        <f t="shared" si="27"/>
        <v>96.809189534141666</v>
      </c>
      <c r="AP185" s="1">
        <f t="shared" si="28"/>
        <v>0</v>
      </c>
      <c r="AQ185" s="1">
        <f t="shared" si="29"/>
        <v>1</v>
      </c>
      <c r="AR185" s="1" t="s">
        <v>95</v>
      </c>
      <c r="AS185" s="1" t="s">
        <v>93</v>
      </c>
      <c r="AT185" s="1" t="s">
        <v>93</v>
      </c>
      <c r="AU185" s="1" t="str">
        <f t="shared" si="30"/>
        <v>Minor</v>
      </c>
      <c r="AV185" s="1" t="str">
        <f t="shared" si="31"/>
        <v>12829982Shiny Iype</v>
      </c>
      <c r="AW185" s="1" t="str">
        <f t="shared" si="32"/>
        <v>Minor</v>
      </c>
      <c r="AX185" s="1">
        <f t="shared" si="33"/>
        <v>0</v>
      </c>
      <c r="AY185" s="1" t="s">
        <v>24</v>
      </c>
      <c r="AZ185" s="1" t="b">
        <v>0</v>
      </c>
      <c r="BA185" s="1">
        <f t="shared" si="34"/>
        <v>1</v>
      </c>
      <c r="BB185" s="1">
        <f t="shared" si="35"/>
        <v>5</v>
      </c>
      <c r="BC185" s="1" t="s">
        <v>457</v>
      </c>
      <c r="BD185" s="1" t="s">
        <v>43</v>
      </c>
      <c r="BE185" s="1" t="s">
        <v>98</v>
      </c>
      <c r="BF185" s="1" t="b">
        <v>0</v>
      </c>
      <c r="BG185" s="1" t="str">
        <f>VLOOKUP(AM185,Group!$C:$H,5,0)</f>
        <v>Top 25</v>
      </c>
      <c r="BH185" s="1" t="str">
        <f>VLOOKUP(P185,others!$C:$G,5,0)</f>
        <v>MTX - India</v>
      </c>
    </row>
    <row r="186" spans="1:60" x14ac:dyDescent="0.25">
      <c r="A186" s="14">
        <v>46098.652268518519</v>
      </c>
      <c r="B186" s="14">
        <v>46098.881435185183</v>
      </c>
      <c r="C186" s="14">
        <v>46103.402557870373</v>
      </c>
      <c r="D186" s="14">
        <v>46103.631724537037</v>
      </c>
      <c r="E186" s="14">
        <v>46101.334120370368</v>
      </c>
      <c r="F186" s="14">
        <v>46103.631724537037</v>
      </c>
      <c r="G186" t="s">
        <v>470</v>
      </c>
      <c r="H186">
        <v>398</v>
      </c>
      <c r="I186">
        <v>3308.55</v>
      </c>
      <c r="J186" t="s">
        <v>104</v>
      </c>
      <c r="K186">
        <v>12829761</v>
      </c>
      <c r="L186" t="s">
        <v>1276</v>
      </c>
      <c r="M186" t="s">
        <v>123</v>
      </c>
      <c r="N186" t="s">
        <v>97</v>
      </c>
      <c r="O186" t="s">
        <v>456</v>
      </c>
      <c r="P186" t="s">
        <v>457</v>
      </c>
      <c r="Q186" t="s">
        <v>24</v>
      </c>
      <c r="R186" t="s">
        <v>1241</v>
      </c>
      <c r="S186">
        <v>39.89</v>
      </c>
      <c r="T186">
        <v>98</v>
      </c>
      <c r="U186" t="s">
        <v>471</v>
      </c>
      <c r="V186">
        <v>1</v>
      </c>
      <c r="X186" t="s">
        <v>1270</v>
      </c>
      <c r="AA186">
        <v>720</v>
      </c>
      <c r="AB186" t="s">
        <v>26</v>
      </c>
      <c r="AC186">
        <v>182</v>
      </c>
      <c r="AD186" t="s">
        <v>27</v>
      </c>
      <c r="AE186" t="s">
        <v>28</v>
      </c>
      <c r="AF186">
        <v>0</v>
      </c>
      <c r="AK186" s="12">
        <f t="shared" si="24"/>
        <v>46103</v>
      </c>
      <c r="AL186" s="1" t="str">
        <f t="shared" si="25"/>
        <v>Week13</v>
      </c>
      <c r="AM186" s="1" t="s">
        <v>133</v>
      </c>
      <c r="AN186" s="1" t="str">
        <f t="shared" si="26"/>
        <v>NoGo</v>
      </c>
      <c r="AO186" s="2">
        <f t="shared" si="27"/>
        <v>94.986212083228878</v>
      </c>
      <c r="AP186" s="1">
        <f t="shared" si="28"/>
        <v>1</v>
      </c>
      <c r="AQ186" s="1">
        <f t="shared" si="29"/>
        <v>2</v>
      </c>
      <c r="AR186" s="1" t="s">
        <v>93</v>
      </c>
      <c r="AS186" s="1" t="s">
        <v>93</v>
      </c>
      <c r="AT186" s="1" t="s">
        <v>93</v>
      </c>
      <c r="AU186" s="1" t="str">
        <f t="shared" si="30"/>
        <v>Major</v>
      </c>
      <c r="AV186" s="1" t="str">
        <f t="shared" si="31"/>
        <v>12829761Shiny Iype</v>
      </c>
      <c r="AW186" s="1" t="str">
        <f t="shared" si="32"/>
        <v>Major</v>
      </c>
      <c r="AX186" s="1">
        <f t="shared" si="33"/>
        <v>1</v>
      </c>
      <c r="AY186" s="1" t="s">
        <v>24</v>
      </c>
      <c r="AZ186" s="1" t="b">
        <v>1</v>
      </c>
      <c r="BA186" s="1">
        <f t="shared" si="34"/>
        <v>1</v>
      </c>
      <c r="BB186" s="1">
        <f t="shared" si="35"/>
        <v>1</v>
      </c>
      <c r="BC186" s="1" t="s">
        <v>457</v>
      </c>
      <c r="BD186" s="1" t="s">
        <v>43</v>
      </c>
      <c r="BE186" s="1" t="s">
        <v>1262</v>
      </c>
      <c r="BF186" s="1" t="b">
        <v>1</v>
      </c>
      <c r="BG186" s="1" t="str">
        <f>VLOOKUP(AM186,Group!$C:$H,5,0)</f>
        <v>Others</v>
      </c>
      <c r="BH186" s="1" t="str">
        <f>VLOOKUP(P186,others!$C:$G,5,0)</f>
        <v>MTX - India</v>
      </c>
    </row>
    <row r="187" spans="1:60" x14ac:dyDescent="0.25">
      <c r="A187" s="14">
        <v>46098.652268518519</v>
      </c>
      <c r="B187" s="14">
        <v>46098.881435185183</v>
      </c>
      <c r="C187" s="14">
        <v>46103.402557870373</v>
      </c>
      <c r="D187" s="14">
        <v>46103.631724537037</v>
      </c>
      <c r="E187" s="14">
        <v>46101.334120370368</v>
      </c>
      <c r="F187" s="14">
        <v>46103.631724537037</v>
      </c>
      <c r="G187" t="s">
        <v>470</v>
      </c>
      <c r="H187">
        <v>398</v>
      </c>
      <c r="I187">
        <v>3308.55</v>
      </c>
      <c r="J187" t="s">
        <v>104</v>
      </c>
      <c r="K187">
        <v>12829761</v>
      </c>
      <c r="L187" t="s">
        <v>1276</v>
      </c>
      <c r="M187" t="s">
        <v>123</v>
      </c>
      <c r="N187" t="s">
        <v>97</v>
      </c>
      <c r="O187" t="s">
        <v>456</v>
      </c>
      <c r="P187" t="s">
        <v>457</v>
      </c>
      <c r="Q187" t="s">
        <v>24</v>
      </c>
      <c r="R187" t="s">
        <v>1241</v>
      </c>
      <c r="S187">
        <v>39.89</v>
      </c>
      <c r="T187">
        <v>98</v>
      </c>
      <c r="U187" t="s">
        <v>472</v>
      </c>
      <c r="V187">
        <v>1</v>
      </c>
      <c r="X187" t="s">
        <v>1270</v>
      </c>
      <c r="AA187">
        <v>720</v>
      </c>
      <c r="AB187" t="s">
        <v>26</v>
      </c>
      <c r="AC187">
        <v>182</v>
      </c>
      <c r="AD187" t="s">
        <v>27</v>
      </c>
      <c r="AE187" t="s">
        <v>28</v>
      </c>
      <c r="AF187">
        <v>0</v>
      </c>
      <c r="AK187" s="12">
        <f t="shared" si="24"/>
        <v>46103</v>
      </c>
      <c r="AL187" s="1" t="str">
        <f t="shared" si="25"/>
        <v>Week13</v>
      </c>
      <c r="AM187" s="1" t="s">
        <v>133</v>
      </c>
      <c r="AN187" s="1" t="str">
        <f t="shared" si="26"/>
        <v>NoGo</v>
      </c>
      <c r="AO187" s="2">
        <f t="shared" si="27"/>
        <v>94.986212083228878</v>
      </c>
      <c r="AP187" s="1">
        <f t="shared" si="28"/>
        <v>1</v>
      </c>
      <c r="AQ187" s="1">
        <f t="shared" si="29"/>
        <v>2</v>
      </c>
      <c r="AR187" s="1" t="s">
        <v>93</v>
      </c>
      <c r="AS187" s="1" t="s">
        <v>93</v>
      </c>
      <c r="AT187" s="1" t="s">
        <v>93</v>
      </c>
      <c r="AU187" s="1" t="str">
        <f t="shared" si="30"/>
        <v>Major</v>
      </c>
      <c r="AV187" s="1" t="str">
        <f t="shared" si="31"/>
        <v>12829761Shiny Iype</v>
      </c>
      <c r="AW187" s="1" t="str">
        <f t="shared" si="32"/>
        <v>Major</v>
      </c>
      <c r="AX187" s="1">
        <f t="shared" si="33"/>
        <v>1</v>
      </c>
      <c r="AY187" s="1" t="s">
        <v>24</v>
      </c>
      <c r="AZ187" s="1" t="b">
        <v>1</v>
      </c>
      <c r="BA187" s="1">
        <f t="shared" si="34"/>
        <v>1</v>
      </c>
      <c r="BB187" s="1">
        <f t="shared" si="35"/>
        <v>1</v>
      </c>
      <c r="BC187" s="1" t="s">
        <v>457</v>
      </c>
      <c r="BD187" s="1" t="s">
        <v>43</v>
      </c>
      <c r="BE187" s="1" t="s">
        <v>1262</v>
      </c>
      <c r="BF187" s="1" t="b">
        <v>1</v>
      </c>
      <c r="BG187" s="1" t="str">
        <f>VLOOKUP(AM187,Group!$C:$H,5,0)</f>
        <v>Others</v>
      </c>
      <c r="BH187" s="1" t="str">
        <f>VLOOKUP(P187,others!$C:$G,5,0)</f>
        <v>MTX - India</v>
      </c>
    </row>
    <row r="188" spans="1:60" x14ac:dyDescent="0.25">
      <c r="A188" s="14">
        <v>46098.652268518519</v>
      </c>
      <c r="B188" s="14">
        <v>46098.881435185183</v>
      </c>
      <c r="C188" s="14">
        <v>46103.402557870373</v>
      </c>
      <c r="D188" s="14">
        <v>46103.631724537037</v>
      </c>
      <c r="E188" s="14">
        <v>46101.334120370368</v>
      </c>
      <c r="F188" s="14">
        <v>46103.631724537037</v>
      </c>
      <c r="G188" t="s">
        <v>470</v>
      </c>
      <c r="H188">
        <v>398</v>
      </c>
      <c r="I188">
        <v>3308.55</v>
      </c>
      <c r="J188" t="s">
        <v>104</v>
      </c>
      <c r="K188">
        <v>12829761</v>
      </c>
      <c r="L188" t="s">
        <v>1276</v>
      </c>
      <c r="M188" t="s">
        <v>123</v>
      </c>
      <c r="N188" t="s">
        <v>97</v>
      </c>
      <c r="O188" t="s">
        <v>456</v>
      </c>
      <c r="P188" t="s">
        <v>457</v>
      </c>
      <c r="Q188" t="s">
        <v>24</v>
      </c>
      <c r="R188" t="s">
        <v>1241</v>
      </c>
      <c r="S188">
        <v>39.89</v>
      </c>
      <c r="T188">
        <v>98</v>
      </c>
      <c r="U188" t="s">
        <v>100</v>
      </c>
      <c r="V188">
        <v>4</v>
      </c>
      <c r="X188" t="s">
        <v>1270</v>
      </c>
      <c r="AA188">
        <v>720</v>
      </c>
      <c r="AB188" t="s">
        <v>26</v>
      </c>
      <c r="AC188">
        <v>182</v>
      </c>
      <c r="AD188" t="s">
        <v>27</v>
      </c>
      <c r="AE188" t="s">
        <v>28</v>
      </c>
      <c r="AF188">
        <v>0</v>
      </c>
      <c r="AK188" s="12">
        <f t="shared" si="24"/>
        <v>46103</v>
      </c>
      <c r="AL188" s="1" t="str">
        <f t="shared" si="25"/>
        <v>Week13</v>
      </c>
      <c r="AM188" s="1" t="s">
        <v>133</v>
      </c>
      <c r="AN188" s="1" t="str">
        <f t="shared" si="26"/>
        <v>NoGo</v>
      </c>
      <c r="AO188" s="2">
        <f t="shared" si="27"/>
        <v>94.986212083228878</v>
      </c>
      <c r="AP188" s="1">
        <f t="shared" si="28"/>
        <v>0</v>
      </c>
      <c r="AQ188" s="1">
        <f t="shared" si="29"/>
        <v>2</v>
      </c>
      <c r="AR188" s="1" t="s">
        <v>93</v>
      </c>
      <c r="AS188" s="1" t="s">
        <v>93</v>
      </c>
      <c r="AT188" s="1" t="s">
        <v>93</v>
      </c>
      <c r="AU188" s="1" t="str">
        <f t="shared" si="30"/>
        <v>Minor</v>
      </c>
      <c r="AV188" s="1" t="str">
        <f t="shared" si="31"/>
        <v>12829761Shiny Iype</v>
      </c>
      <c r="AW188" s="1" t="str">
        <f t="shared" si="32"/>
        <v>Minor</v>
      </c>
      <c r="AX188" s="1">
        <f t="shared" si="33"/>
        <v>0</v>
      </c>
      <c r="AY188" s="1" t="s">
        <v>24</v>
      </c>
      <c r="AZ188" s="1" t="b">
        <v>0</v>
      </c>
      <c r="BA188" s="1">
        <f t="shared" si="34"/>
        <v>1</v>
      </c>
      <c r="BB188" s="1">
        <f t="shared" si="35"/>
        <v>4</v>
      </c>
      <c r="BC188" s="1" t="s">
        <v>457</v>
      </c>
      <c r="BD188" s="1" t="s">
        <v>43</v>
      </c>
      <c r="BE188" s="1" t="s">
        <v>1262</v>
      </c>
      <c r="BF188" s="1" t="b">
        <v>0</v>
      </c>
      <c r="BG188" s="1" t="str">
        <f>VLOOKUP(AM188,Group!$C:$H,5,0)</f>
        <v>Others</v>
      </c>
      <c r="BH188" s="1" t="str">
        <f>VLOOKUP(P188,others!$C:$G,5,0)</f>
        <v>MTX - India</v>
      </c>
    </row>
    <row r="189" spans="1:60" x14ac:dyDescent="0.25">
      <c r="A189" s="14">
        <v>46098.64949074074</v>
      </c>
      <c r="B189" s="14">
        <v>46098.878657407404</v>
      </c>
      <c r="C189" s="14">
        <v>46103.406319444446</v>
      </c>
      <c r="D189" s="14">
        <v>46103.63548611111</v>
      </c>
      <c r="E189" s="14">
        <v>46101.334050925929</v>
      </c>
      <c r="F189" s="14">
        <v>46103.63548611111</v>
      </c>
      <c r="G189" t="s">
        <v>470</v>
      </c>
      <c r="H189">
        <v>919</v>
      </c>
      <c r="I189">
        <v>3314.0666999999999</v>
      </c>
      <c r="J189" t="s">
        <v>104</v>
      </c>
      <c r="K189">
        <v>12829759</v>
      </c>
      <c r="L189" t="s">
        <v>1276</v>
      </c>
      <c r="M189" t="s">
        <v>123</v>
      </c>
      <c r="N189" t="s">
        <v>97</v>
      </c>
      <c r="O189" t="s">
        <v>456</v>
      </c>
      <c r="P189" t="s">
        <v>457</v>
      </c>
      <c r="Q189" t="s">
        <v>24</v>
      </c>
      <c r="R189" t="s">
        <v>25</v>
      </c>
      <c r="S189">
        <v>34.42</v>
      </c>
      <c r="T189">
        <v>100</v>
      </c>
      <c r="U189" t="s">
        <v>100</v>
      </c>
      <c r="V189">
        <v>1</v>
      </c>
      <c r="X189" t="s">
        <v>1270</v>
      </c>
      <c r="AA189">
        <v>720</v>
      </c>
      <c r="AB189" t="s">
        <v>26</v>
      </c>
      <c r="AC189">
        <v>165</v>
      </c>
      <c r="AD189" t="s">
        <v>27</v>
      </c>
      <c r="AE189" t="s">
        <v>28</v>
      </c>
      <c r="AF189">
        <v>0</v>
      </c>
      <c r="AK189" s="12">
        <f t="shared" si="24"/>
        <v>46103</v>
      </c>
      <c r="AL189" s="1" t="str">
        <f t="shared" si="25"/>
        <v>Week13</v>
      </c>
      <c r="AM189" s="1" t="s">
        <v>133</v>
      </c>
      <c r="AN189" s="1" t="str">
        <f t="shared" si="26"/>
        <v>Go</v>
      </c>
      <c r="AO189" s="2">
        <f t="shared" si="27"/>
        <v>100</v>
      </c>
      <c r="AP189" s="1">
        <f t="shared" si="28"/>
        <v>0</v>
      </c>
      <c r="AQ189" s="1">
        <f t="shared" si="29"/>
        <v>0</v>
      </c>
      <c r="AR189" s="1" t="s">
        <v>93</v>
      </c>
      <c r="AS189" s="1" t="s">
        <v>93</v>
      </c>
      <c r="AT189" s="1" t="s">
        <v>93</v>
      </c>
      <c r="AU189" s="1" t="str">
        <f t="shared" si="30"/>
        <v>Minor</v>
      </c>
      <c r="AV189" s="1" t="str">
        <f t="shared" si="31"/>
        <v>12829759Shiny Iype</v>
      </c>
      <c r="AW189" s="1" t="str">
        <f t="shared" si="32"/>
        <v>Minor</v>
      </c>
      <c r="AX189" s="1">
        <f t="shared" si="33"/>
        <v>0</v>
      </c>
      <c r="AY189" s="1" t="s">
        <v>24</v>
      </c>
      <c r="AZ189" s="1" t="b">
        <v>0</v>
      </c>
      <c r="BA189" s="1">
        <f t="shared" si="34"/>
        <v>1</v>
      </c>
      <c r="BB189" s="1">
        <f t="shared" si="35"/>
        <v>1</v>
      </c>
      <c r="BC189" s="1" t="s">
        <v>457</v>
      </c>
      <c r="BD189" s="1" t="s">
        <v>43</v>
      </c>
      <c r="BE189" s="1" t="s">
        <v>98</v>
      </c>
      <c r="BF189" s="1" t="b">
        <v>0</v>
      </c>
      <c r="BG189" s="1" t="str">
        <f>VLOOKUP(AM189,Group!$C:$H,5,0)</f>
        <v>Others</v>
      </c>
      <c r="BH189" s="1" t="str">
        <f>VLOOKUP(P189,others!$C:$G,5,0)</f>
        <v>MTX - India</v>
      </c>
    </row>
    <row r="190" spans="1:60" x14ac:dyDescent="0.25">
      <c r="A190" s="14">
        <v>46096.843310185184</v>
      </c>
      <c r="B190" s="14">
        <v>46097.072476851848</v>
      </c>
      <c r="C190" s="14">
        <v>46103.726238425923</v>
      </c>
      <c r="D190" s="14">
        <v>46103.955405092594</v>
      </c>
      <c r="E190" s="14">
        <v>46099.989791666667</v>
      </c>
      <c r="F190" s="14">
        <v>46103.955405092594</v>
      </c>
      <c r="G190" t="s">
        <v>470</v>
      </c>
      <c r="H190">
        <v>912</v>
      </c>
      <c r="I190">
        <v>5710.4832999999999</v>
      </c>
      <c r="J190" t="s">
        <v>104</v>
      </c>
      <c r="K190">
        <v>12829227</v>
      </c>
      <c r="L190" t="s">
        <v>151</v>
      </c>
      <c r="M190" t="s">
        <v>151</v>
      </c>
      <c r="N190" t="s">
        <v>88</v>
      </c>
      <c r="O190" t="s">
        <v>456</v>
      </c>
      <c r="P190" t="s">
        <v>457</v>
      </c>
      <c r="Q190" t="s">
        <v>24</v>
      </c>
      <c r="R190" t="s">
        <v>25</v>
      </c>
      <c r="S190">
        <v>36.75</v>
      </c>
      <c r="T190">
        <v>99</v>
      </c>
      <c r="U190" t="s">
        <v>472</v>
      </c>
      <c r="V190">
        <v>1</v>
      </c>
      <c r="X190" t="s">
        <v>1283</v>
      </c>
      <c r="AA190">
        <v>1440</v>
      </c>
      <c r="AB190" t="s">
        <v>26</v>
      </c>
      <c r="AC190">
        <v>200</v>
      </c>
      <c r="AD190" t="s">
        <v>27</v>
      </c>
      <c r="AE190" t="s">
        <v>28</v>
      </c>
      <c r="AF190">
        <v>0</v>
      </c>
      <c r="AK190" s="12">
        <f t="shared" si="24"/>
        <v>46103</v>
      </c>
      <c r="AL190" s="1" t="str">
        <f t="shared" si="25"/>
        <v>Week13</v>
      </c>
      <c r="AM190" s="1" t="s">
        <v>140</v>
      </c>
      <c r="AN190" s="1" t="str">
        <f t="shared" si="26"/>
        <v>NoGo</v>
      </c>
      <c r="AO190" s="2">
        <f t="shared" si="27"/>
        <v>97.278911564625844</v>
      </c>
      <c r="AP190" s="1">
        <f t="shared" si="28"/>
        <v>1</v>
      </c>
      <c r="AQ190" s="1">
        <f t="shared" si="29"/>
        <v>1</v>
      </c>
      <c r="AR190" s="1" t="s">
        <v>93</v>
      </c>
      <c r="AS190" s="1" t="s">
        <v>93</v>
      </c>
      <c r="AT190" s="1" t="s">
        <v>93</v>
      </c>
      <c r="AU190" s="1" t="str">
        <f t="shared" si="30"/>
        <v>Major</v>
      </c>
      <c r="AV190" s="1" t="str">
        <f t="shared" si="31"/>
        <v>12829227Shiny Iype</v>
      </c>
      <c r="AW190" s="1" t="str">
        <f t="shared" si="32"/>
        <v>Major</v>
      </c>
      <c r="AX190" s="1">
        <f t="shared" si="33"/>
        <v>1</v>
      </c>
      <c r="AY190" s="1" t="s">
        <v>24</v>
      </c>
      <c r="AZ190" s="1" t="b">
        <v>1</v>
      </c>
      <c r="BA190" s="1">
        <f t="shared" si="34"/>
        <v>1</v>
      </c>
      <c r="BB190" s="1">
        <f t="shared" si="35"/>
        <v>1</v>
      </c>
      <c r="BC190" s="1" t="s">
        <v>457</v>
      </c>
      <c r="BD190" s="1" t="s">
        <v>43</v>
      </c>
      <c r="BE190" s="1" t="s">
        <v>98</v>
      </c>
      <c r="BF190" s="1" t="b">
        <v>1</v>
      </c>
      <c r="BG190" s="1" t="str">
        <f>VLOOKUP(AM190,Group!$C:$H,5,0)</f>
        <v>Others</v>
      </c>
      <c r="BH190" s="1" t="str">
        <f>VLOOKUP(P190,others!$C:$G,5,0)</f>
        <v>MTX - India</v>
      </c>
    </row>
    <row r="191" spans="1:60" x14ac:dyDescent="0.25">
      <c r="A191" s="14">
        <v>46096.843310185184</v>
      </c>
      <c r="B191" s="14">
        <v>46097.072476851848</v>
      </c>
      <c r="C191" s="14">
        <v>46103.726238425923</v>
      </c>
      <c r="D191" s="14">
        <v>46103.955405092594</v>
      </c>
      <c r="E191" s="14">
        <v>46099.989791666667</v>
      </c>
      <c r="F191" s="14">
        <v>46103.955405092594</v>
      </c>
      <c r="G191" t="s">
        <v>470</v>
      </c>
      <c r="H191">
        <v>912</v>
      </c>
      <c r="I191">
        <v>5710.4832999999999</v>
      </c>
      <c r="J191" t="s">
        <v>104</v>
      </c>
      <c r="K191">
        <v>12829227</v>
      </c>
      <c r="L191" t="s">
        <v>151</v>
      </c>
      <c r="M191" t="s">
        <v>151</v>
      </c>
      <c r="N191" t="s">
        <v>88</v>
      </c>
      <c r="O191" t="s">
        <v>456</v>
      </c>
      <c r="P191" t="s">
        <v>457</v>
      </c>
      <c r="Q191" t="s">
        <v>24</v>
      </c>
      <c r="R191" t="s">
        <v>25</v>
      </c>
      <c r="S191">
        <v>36.75</v>
      </c>
      <c r="T191">
        <v>99</v>
      </c>
      <c r="U191" t="s">
        <v>100</v>
      </c>
      <c r="V191">
        <v>1</v>
      </c>
      <c r="X191" t="s">
        <v>1283</v>
      </c>
      <c r="AA191">
        <v>1440</v>
      </c>
      <c r="AB191" t="s">
        <v>26</v>
      </c>
      <c r="AC191">
        <v>200</v>
      </c>
      <c r="AD191" t="s">
        <v>27</v>
      </c>
      <c r="AE191" t="s">
        <v>28</v>
      </c>
      <c r="AF191">
        <v>0</v>
      </c>
      <c r="AK191" s="12">
        <f t="shared" si="24"/>
        <v>46103</v>
      </c>
      <c r="AL191" s="1" t="str">
        <f t="shared" si="25"/>
        <v>Week13</v>
      </c>
      <c r="AM191" s="1" t="s">
        <v>140</v>
      </c>
      <c r="AN191" s="1" t="str">
        <f t="shared" si="26"/>
        <v>NoGo</v>
      </c>
      <c r="AO191" s="2">
        <f t="shared" si="27"/>
        <v>97.278911564625844</v>
      </c>
      <c r="AP191" s="1">
        <f t="shared" si="28"/>
        <v>0</v>
      </c>
      <c r="AQ191" s="1">
        <f t="shared" si="29"/>
        <v>1</v>
      </c>
      <c r="AR191" s="1" t="s">
        <v>93</v>
      </c>
      <c r="AS191" s="1" t="s">
        <v>93</v>
      </c>
      <c r="AT191" s="1" t="s">
        <v>93</v>
      </c>
      <c r="AU191" s="1" t="str">
        <f t="shared" si="30"/>
        <v>Minor</v>
      </c>
      <c r="AV191" s="1" t="str">
        <f t="shared" si="31"/>
        <v>12829227Shiny Iype</v>
      </c>
      <c r="AW191" s="1" t="str">
        <f t="shared" si="32"/>
        <v>Minor</v>
      </c>
      <c r="AX191" s="1">
        <f t="shared" si="33"/>
        <v>0</v>
      </c>
      <c r="AY191" s="1" t="s">
        <v>24</v>
      </c>
      <c r="AZ191" s="1" t="b">
        <v>0</v>
      </c>
      <c r="BA191" s="1">
        <f t="shared" si="34"/>
        <v>1</v>
      </c>
      <c r="BB191" s="1">
        <f t="shared" si="35"/>
        <v>1</v>
      </c>
      <c r="BC191" s="1" t="s">
        <v>457</v>
      </c>
      <c r="BD191" s="1" t="s">
        <v>43</v>
      </c>
      <c r="BE191" s="1" t="s">
        <v>98</v>
      </c>
      <c r="BF191" s="1" t="b">
        <v>0</v>
      </c>
      <c r="BG191" s="1" t="str">
        <f>VLOOKUP(AM191,Group!$C:$H,5,0)</f>
        <v>Others</v>
      </c>
      <c r="BH191" s="1" t="str">
        <f>VLOOKUP(P191,others!$C:$G,5,0)</f>
        <v>MTX - India</v>
      </c>
    </row>
    <row r="192" spans="1:60" x14ac:dyDescent="0.25">
      <c r="A192" s="14">
        <v>46096.865046296298</v>
      </c>
      <c r="B192" s="14">
        <v>46097.094212962962</v>
      </c>
      <c r="C192" s="14">
        <v>46103.730879629627</v>
      </c>
      <c r="D192" s="14">
        <v>46103.960046296299</v>
      </c>
      <c r="E192" s="14">
        <v>46099.990162037036</v>
      </c>
      <c r="F192" s="14">
        <v>46103.960046296299</v>
      </c>
      <c r="G192" t="s">
        <v>470</v>
      </c>
      <c r="H192">
        <v>377</v>
      </c>
      <c r="I192">
        <v>5716.6333000000004</v>
      </c>
      <c r="J192" t="s">
        <v>104</v>
      </c>
      <c r="K192">
        <v>12829233</v>
      </c>
      <c r="L192" t="s">
        <v>151</v>
      </c>
      <c r="M192" t="s">
        <v>151</v>
      </c>
      <c r="N192" t="s">
        <v>88</v>
      </c>
      <c r="O192" t="s">
        <v>456</v>
      </c>
      <c r="P192" t="s">
        <v>457</v>
      </c>
      <c r="Q192" t="s">
        <v>24</v>
      </c>
      <c r="R192" t="s">
        <v>1241</v>
      </c>
      <c r="S192">
        <v>37.78</v>
      </c>
      <c r="T192">
        <v>98</v>
      </c>
      <c r="U192" t="s">
        <v>471</v>
      </c>
      <c r="V192">
        <v>2</v>
      </c>
      <c r="X192" t="s">
        <v>1283</v>
      </c>
      <c r="AA192">
        <v>1440</v>
      </c>
      <c r="AB192" t="s">
        <v>26</v>
      </c>
      <c r="AC192">
        <v>186</v>
      </c>
      <c r="AD192" t="s">
        <v>27</v>
      </c>
      <c r="AE192" t="s">
        <v>28</v>
      </c>
      <c r="AF192">
        <v>0</v>
      </c>
      <c r="AK192" s="12">
        <f t="shared" si="24"/>
        <v>46103</v>
      </c>
      <c r="AL192" s="1" t="str">
        <f t="shared" si="25"/>
        <v>Week13</v>
      </c>
      <c r="AM192" s="1" t="s">
        <v>140</v>
      </c>
      <c r="AN192" s="1" t="str">
        <f t="shared" si="26"/>
        <v>NoGo</v>
      </c>
      <c r="AO192" s="2">
        <f t="shared" si="27"/>
        <v>94.706193753308625</v>
      </c>
      <c r="AP192" s="1">
        <f t="shared" si="28"/>
        <v>2</v>
      </c>
      <c r="AQ192" s="1">
        <f t="shared" si="29"/>
        <v>2</v>
      </c>
      <c r="AR192" s="1" t="s">
        <v>93</v>
      </c>
      <c r="AS192" s="1" t="s">
        <v>93</v>
      </c>
      <c r="AT192" s="1" t="s">
        <v>93</v>
      </c>
      <c r="AU192" s="1" t="str">
        <f t="shared" si="30"/>
        <v>Major</v>
      </c>
      <c r="AV192" s="1" t="str">
        <f t="shared" si="31"/>
        <v>12829233Shiny Iype</v>
      </c>
      <c r="AW192" s="1" t="str">
        <f t="shared" si="32"/>
        <v>Major</v>
      </c>
      <c r="AX192" s="1">
        <f t="shared" si="33"/>
        <v>1</v>
      </c>
      <c r="AY192" s="1" t="s">
        <v>24</v>
      </c>
      <c r="AZ192" s="1" t="b">
        <v>1</v>
      </c>
      <c r="BA192" s="1">
        <f t="shared" si="34"/>
        <v>1</v>
      </c>
      <c r="BB192" s="1">
        <f t="shared" si="35"/>
        <v>2</v>
      </c>
      <c r="BC192" s="1" t="s">
        <v>457</v>
      </c>
      <c r="BD192" s="1" t="s">
        <v>43</v>
      </c>
      <c r="BE192" s="1" t="s">
        <v>98</v>
      </c>
      <c r="BF192" s="1" t="b">
        <v>1</v>
      </c>
      <c r="BG192" s="1" t="str">
        <f>VLOOKUP(AM192,Group!$C:$H,5,0)</f>
        <v>Others</v>
      </c>
      <c r="BH192" s="1" t="str">
        <f>VLOOKUP(P192,others!$C:$G,5,0)</f>
        <v>MTX - India</v>
      </c>
    </row>
    <row r="193" spans="1:60" x14ac:dyDescent="0.25">
      <c r="A193" s="14">
        <v>46096.865046296298</v>
      </c>
      <c r="B193" s="14">
        <v>46097.094212962962</v>
      </c>
      <c r="C193" s="14">
        <v>46103.730879629627</v>
      </c>
      <c r="D193" s="14">
        <v>46103.960046296299</v>
      </c>
      <c r="E193" s="14">
        <v>46099.990162037036</v>
      </c>
      <c r="F193" s="14">
        <v>46103.960046296299</v>
      </c>
      <c r="G193" t="s">
        <v>470</v>
      </c>
      <c r="H193">
        <v>377</v>
      </c>
      <c r="I193">
        <v>5716.6333000000004</v>
      </c>
      <c r="J193" t="s">
        <v>104</v>
      </c>
      <c r="K193">
        <v>12829233</v>
      </c>
      <c r="L193" t="s">
        <v>151</v>
      </c>
      <c r="M193" t="s">
        <v>151</v>
      </c>
      <c r="N193" t="s">
        <v>88</v>
      </c>
      <c r="O193" t="s">
        <v>456</v>
      </c>
      <c r="P193" t="s">
        <v>457</v>
      </c>
      <c r="Q193" t="s">
        <v>24</v>
      </c>
      <c r="R193" t="s">
        <v>1241</v>
      </c>
      <c r="S193">
        <v>37.78</v>
      </c>
      <c r="T193">
        <v>98</v>
      </c>
      <c r="U193" t="s">
        <v>100</v>
      </c>
      <c r="V193">
        <v>1</v>
      </c>
      <c r="X193" t="s">
        <v>1283</v>
      </c>
      <c r="AA193">
        <v>1440</v>
      </c>
      <c r="AB193" t="s">
        <v>26</v>
      </c>
      <c r="AC193">
        <v>186</v>
      </c>
      <c r="AD193" t="s">
        <v>27</v>
      </c>
      <c r="AE193" t="s">
        <v>28</v>
      </c>
      <c r="AF193">
        <v>0</v>
      </c>
      <c r="AK193" s="12">
        <f t="shared" si="24"/>
        <v>46103</v>
      </c>
      <c r="AL193" s="1" t="str">
        <f t="shared" si="25"/>
        <v>Week13</v>
      </c>
      <c r="AM193" s="1" t="s">
        <v>140</v>
      </c>
      <c r="AN193" s="1" t="str">
        <f t="shared" si="26"/>
        <v>NoGo</v>
      </c>
      <c r="AO193" s="2">
        <f t="shared" si="27"/>
        <v>94.706193753308625</v>
      </c>
      <c r="AP193" s="1">
        <f t="shared" si="28"/>
        <v>0</v>
      </c>
      <c r="AQ193" s="1">
        <f t="shared" si="29"/>
        <v>2</v>
      </c>
      <c r="AR193" s="1" t="s">
        <v>93</v>
      </c>
      <c r="AS193" s="1" t="s">
        <v>93</v>
      </c>
      <c r="AT193" s="1" t="s">
        <v>93</v>
      </c>
      <c r="AU193" s="1" t="str">
        <f t="shared" si="30"/>
        <v>Minor</v>
      </c>
      <c r="AV193" s="1" t="str">
        <f t="shared" si="31"/>
        <v>12829233Shiny Iype</v>
      </c>
      <c r="AW193" s="1" t="str">
        <f t="shared" si="32"/>
        <v>Minor</v>
      </c>
      <c r="AX193" s="1">
        <f t="shared" si="33"/>
        <v>0</v>
      </c>
      <c r="AY193" s="1" t="s">
        <v>24</v>
      </c>
      <c r="AZ193" s="1" t="b">
        <v>0</v>
      </c>
      <c r="BA193" s="1">
        <f t="shared" si="34"/>
        <v>1</v>
      </c>
      <c r="BB193" s="1">
        <f t="shared" si="35"/>
        <v>1</v>
      </c>
      <c r="BC193" s="1" t="s">
        <v>457</v>
      </c>
      <c r="BD193" s="1" t="s">
        <v>43</v>
      </c>
      <c r="BE193" s="1" t="s">
        <v>98</v>
      </c>
      <c r="BF193" s="1" t="b">
        <v>0</v>
      </c>
      <c r="BG193" s="1" t="str">
        <f>VLOOKUP(AM193,Group!$C:$H,5,0)</f>
        <v>Others</v>
      </c>
      <c r="BH193" s="1" t="str">
        <f>VLOOKUP(P193,others!$C:$G,5,0)</f>
        <v>MTX - India</v>
      </c>
    </row>
    <row r="194" spans="1:60" x14ac:dyDescent="0.25">
      <c r="A194" s="14">
        <v>46099.492442129631</v>
      </c>
      <c r="B194" s="14">
        <v>46099.721608796295</v>
      </c>
      <c r="C194" s="14">
        <v>46103.73300925926</v>
      </c>
      <c r="D194" s="14">
        <v>46103.962175925924</v>
      </c>
      <c r="E194" s="14">
        <v>46103.410300925927</v>
      </c>
      <c r="F194" s="14">
        <v>46103.962175925924</v>
      </c>
      <c r="G194" t="s">
        <v>470</v>
      </c>
      <c r="H194">
        <v>166</v>
      </c>
      <c r="I194">
        <v>794.7</v>
      </c>
      <c r="J194" t="s">
        <v>104</v>
      </c>
      <c r="K194">
        <v>12830153</v>
      </c>
      <c r="L194" t="s">
        <v>1334</v>
      </c>
      <c r="M194" t="s">
        <v>136</v>
      </c>
      <c r="N194" t="s">
        <v>88</v>
      </c>
      <c r="O194" t="s">
        <v>465</v>
      </c>
      <c r="P194" t="s">
        <v>153</v>
      </c>
      <c r="Q194" t="s">
        <v>1328</v>
      </c>
      <c r="R194" t="s">
        <v>25</v>
      </c>
      <c r="S194">
        <v>35.97</v>
      </c>
      <c r="T194">
        <v>100</v>
      </c>
      <c r="U194" t="s">
        <v>100</v>
      </c>
      <c r="V194">
        <v>1</v>
      </c>
      <c r="X194" t="s">
        <v>1335</v>
      </c>
      <c r="AA194">
        <v>1440</v>
      </c>
      <c r="AB194" t="s">
        <v>26</v>
      </c>
      <c r="AC194">
        <v>148</v>
      </c>
      <c r="AD194" t="s">
        <v>27</v>
      </c>
      <c r="AE194" t="s">
        <v>28</v>
      </c>
      <c r="AF194">
        <v>0</v>
      </c>
      <c r="AK194" s="12">
        <f t="shared" ref="AK194:AK257" si="36">INT(D194)</f>
        <v>46103</v>
      </c>
      <c r="AL194" s="1" t="str">
        <f t="shared" ref="AL194:AL257" si="37">"Week"&amp;WEEKNUM(D194)</f>
        <v>Week13</v>
      </c>
      <c r="AM194" s="1" t="s">
        <v>138</v>
      </c>
      <c r="AN194" s="1" t="str">
        <f t="shared" ref="AN194:AN257" si="38">IF(AO194&gt;98.5,"Go","NoGo")</f>
        <v>Go</v>
      </c>
      <c r="AO194" s="2">
        <f t="shared" ref="AO194:AO257" si="39">100-(AQ194/S194*100)</f>
        <v>100</v>
      </c>
      <c r="AP194" s="1">
        <f t="shared" ref="AP194:AP257" si="40">IFERROR(AX194*V194,0)</f>
        <v>0</v>
      </c>
      <c r="AQ194" s="1">
        <f t="shared" ref="AQ194:AQ257" si="41">100-T194</f>
        <v>0</v>
      </c>
      <c r="AR194" s="1" t="s">
        <v>96</v>
      </c>
      <c r="AS194" s="1" t="s">
        <v>96</v>
      </c>
      <c r="AT194" s="1" t="s">
        <v>96</v>
      </c>
      <c r="AU194" s="1" t="str">
        <f t="shared" ref="AU194:AU257" si="42">IF(AX194="","",IF(AX194=1,"Major",IF(AX194=3,"Critical",IF(AX194=0,"Minor",""))))</f>
        <v>Minor</v>
      </c>
      <c r="AV194" s="1" t="str">
        <f t="shared" ref="AV194:AV257" si="43">K194&amp;P194</f>
        <v>12830153Sivasankari A</v>
      </c>
      <c r="AW194" s="1" t="str">
        <f t="shared" ref="AW194:AW257" si="44">IF(U194="","",LEFT(U194,FIND("-",U194,1)-1))</f>
        <v>Minor</v>
      </c>
      <c r="AX194" s="1">
        <f t="shared" ref="AX194:AX257" si="45">IF(AW194="Minor",0,IF(AW194="Major",1,IF(AW194="Critical",3,"")))</f>
        <v>0</v>
      </c>
      <c r="AY194" s="1" t="s">
        <v>29</v>
      </c>
      <c r="AZ194" s="1" t="b">
        <v>0</v>
      </c>
      <c r="BA194" s="1">
        <f t="shared" ref="BA194:BA257" si="46">IF(U194="","",COUNTIF(U194,U194:U194))</f>
        <v>1</v>
      </c>
      <c r="BB194" s="1">
        <f t="shared" ref="BB194:BB257" si="47">V194</f>
        <v>1</v>
      </c>
      <c r="BC194" s="1" t="s">
        <v>153</v>
      </c>
      <c r="BD194" s="1" t="s">
        <v>43</v>
      </c>
      <c r="BE194" s="1" t="s">
        <v>98</v>
      </c>
      <c r="BF194" s="1" t="b">
        <v>0</v>
      </c>
      <c r="BG194" s="1" t="str">
        <f>VLOOKUP(AM194,Group!$C:$H,5,0)</f>
        <v>Top 25</v>
      </c>
      <c r="BH194" s="1" t="str">
        <f>VLOOKUP(P194,others!$C:$G,5,0)</f>
        <v>VR QA - India</v>
      </c>
    </row>
    <row r="195" spans="1:60" x14ac:dyDescent="0.25">
      <c r="A195" s="14">
        <v>46099.490231481483</v>
      </c>
      <c r="B195" s="14">
        <v>46099.719398148147</v>
      </c>
      <c r="C195" s="14">
        <v>46103.736388888887</v>
      </c>
      <c r="D195" s="14">
        <v>46103.965555555558</v>
      </c>
      <c r="E195" s="14">
        <v>46103.410231481481</v>
      </c>
      <c r="F195" s="14">
        <v>46103.965555555558</v>
      </c>
      <c r="G195" t="s">
        <v>470</v>
      </c>
      <c r="H195">
        <v>280</v>
      </c>
      <c r="I195">
        <v>799.66669999999999</v>
      </c>
      <c r="J195" t="s">
        <v>104</v>
      </c>
      <c r="K195">
        <v>12830151</v>
      </c>
      <c r="L195" t="s">
        <v>1334</v>
      </c>
      <c r="M195" t="s">
        <v>136</v>
      </c>
      <c r="N195" t="s">
        <v>88</v>
      </c>
      <c r="O195" t="s">
        <v>465</v>
      </c>
      <c r="P195" t="s">
        <v>153</v>
      </c>
      <c r="Q195" t="s">
        <v>1328</v>
      </c>
      <c r="R195" t="s">
        <v>25</v>
      </c>
      <c r="S195">
        <v>117.43</v>
      </c>
      <c r="T195">
        <v>100</v>
      </c>
      <c r="V195">
        <v>0</v>
      </c>
      <c r="X195" t="s">
        <v>1335</v>
      </c>
      <c r="AA195">
        <v>1440</v>
      </c>
      <c r="AB195" t="s">
        <v>26</v>
      </c>
      <c r="AC195">
        <v>290</v>
      </c>
      <c r="AD195" t="s">
        <v>27</v>
      </c>
      <c r="AE195" t="s">
        <v>28</v>
      </c>
      <c r="AF195">
        <v>0</v>
      </c>
      <c r="AK195" s="12">
        <f t="shared" si="36"/>
        <v>46103</v>
      </c>
      <c r="AL195" s="1" t="str">
        <f t="shared" si="37"/>
        <v>Week13</v>
      </c>
      <c r="AM195" s="1" t="s">
        <v>138</v>
      </c>
      <c r="AN195" s="1" t="str">
        <f t="shared" si="38"/>
        <v>Go</v>
      </c>
      <c r="AO195" s="2">
        <f t="shared" si="39"/>
        <v>100</v>
      </c>
      <c r="AP195" s="1">
        <f t="shared" si="40"/>
        <v>0</v>
      </c>
      <c r="AQ195" s="1">
        <f t="shared" si="41"/>
        <v>0</v>
      </c>
      <c r="AR195" s="1" t="s">
        <v>96</v>
      </c>
      <c r="AS195" s="1" t="s">
        <v>96</v>
      </c>
      <c r="AT195" s="1" t="s">
        <v>96</v>
      </c>
      <c r="AU195" s="1" t="str">
        <f t="shared" si="42"/>
        <v/>
      </c>
      <c r="AV195" s="1" t="str">
        <f t="shared" si="43"/>
        <v>12830151Sivasankari A</v>
      </c>
      <c r="AW195" s="1" t="str">
        <f t="shared" si="44"/>
        <v/>
      </c>
      <c r="AX195" s="1" t="str">
        <f t="shared" si="45"/>
        <v/>
      </c>
      <c r="AY195" s="1" t="s">
        <v>29</v>
      </c>
      <c r="AZ195" s="1" t="b">
        <v>0</v>
      </c>
      <c r="BA195" s="1" t="str">
        <f t="shared" si="46"/>
        <v/>
      </c>
      <c r="BB195" s="1">
        <f t="shared" si="47"/>
        <v>0</v>
      </c>
      <c r="BC195" s="1" t="s">
        <v>153</v>
      </c>
      <c r="BD195" s="1" t="s">
        <v>43</v>
      </c>
      <c r="BE195" s="1" t="s">
        <v>98</v>
      </c>
      <c r="BF195" s="1" t="b">
        <v>0</v>
      </c>
      <c r="BG195" s="1" t="str">
        <f>VLOOKUP(AM195,Group!$C:$H,5,0)</f>
        <v>Top 25</v>
      </c>
      <c r="BH195" s="1" t="str">
        <f>VLOOKUP(P195,others!$C:$G,5,0)</f>
        <v>VR QA - India</v>
      </c>
    </row>
    <row r="196" spans="1:60" x14ac:dyDescent="0.25">
      <c r="A196" s="14">
        <v>46098.681770833333</v>
      </c>
      <c r="B196" s="14">
        <v>46098.910937499997</v>
      </c>
      <c r="C196" s="14">
        <v>46103.746979166666</v>
      </c>
      <c r="D196" s="14">
        <v>46103.976145833331</v>
      </c>
      <c r="E196" s="14">
        <v>46102.377372685187</v>
      </c>
      <c r="F196" s="14">
        <v>46103.976145833331</v>
      </c>
      <c r="G196" t="s">
        <v>470</v>
      </c>
      <c r="H196">
        <v>6066</v>
      </c>
      <c r="I196">
        <v>2302.2332999999999</v>
      </c>
      <c r="J196" t="s">
        <v>104</v>
      </c>
      <c r="K196">
        <v>12829807</v>
      </c>
      <c r="L196" t="s">
        <v>1327</v>
      </c>
      <c r="M196" t="s">
        <v>136</v>
      </c>
      <c r="N196" t="s">
        <v>88</v>
      </c>
      <c r="O196" t="s">
        <v>465</v>
      </c>
      <c r="P196" t="s">
        <v>153</v>
      </c>
      <c r="Q196" t="s">
        <v>1328</v>
      </c>
      <c r="R196" t="s">
        <v>1241</v>
      </c>
      <c r="S196">
        <v>117.25</v>
      </c>
      <c r="T196">
        <v>98</v>
      </c>
      <c r="U196" t="s">
        <v>471</v>
      </c>
      <c r="V196">
        <v>2</v>
      </c>
      <c r="X196" t="s">
        <v>1329</v>
      </c>
      <c r="AA196">
        <v>1440</v>
      </c>
      <c r="AB196" t="s">
        <v>26</v>
      </c>
      <c r="AC196">
        <v>701</v>
      </c>
      <c r="AD196" t="s">
        <v>27</v>
      </c>
      <c r="AE196" t="s">
        <v>28</v>
      </c>
      <c r="AF196">
        <v>0</v>
      </c>
      <c r="AK196" s="12">
        <f t="shared" si="36"/>
        <v>46103</v>
      </c>
      <c r="AL196" s="1" t="str">
        <f t="shared" si="37"/>
        <v>Week13</v>
      </c>
      <c r="AM196" s="1" t="s">
        <v>138</v>
      </c>
      <c r="AN196" s="1" t="str">
        <f t="shared" si="38"/>
        <v>NoGo</v>
      </c>
      <c r="AO196" s="2">
        <f t="shared" si="39"/>
        <v>98.294243070362469</v>
      </c>
      <c r="AP196" s="1">
        <f t="shared" si="40"/>
        <v>2</v>
      </c>
      <c r="AQ196" s="1">
        <f t="shared" si="41"/>
        <v>2</v>
      </c>
      <c r="AR196" s="1" t="s">
        <v>96</v>
      </c>
      <c r="AS196" s="1" t="s">
        <v>96</v>
      </c>
      <c r="AT196" s="1" t="s">
        <v>96</v>
      </c>
      <c r="AU196" s="1" t="str">
        <f t="shared" si="42"/>
        <v>Major</v>
      </c>
      <c r="AV196" s="1" t="str">
        <f t="shared" si="43"/>
        <v>12829807Sivasankari A</v>
      </c>
      <c r="AW196" s="1" t="str">
        <f t="shared" si="44"/>
        <v>Major</v>
      </c>
      <c r="AX196" s="1">
        <f t="shared" si="45"/>
        <v>1</v>
      </c>
      <c r="AY196" s="1" t="s">
        <v>29</v>
      </c>
      <c r="AZ196" s="1" t="b">
        <v>0</v>
      </c>
      <c r="BA196" s="1">
        <f t="shared" si="46"/>
        <v>1</v>
      </c>
      <c r="BB196" s="1">
        <f t="shared" si="47"/>
        <v>2</v>
      </c>
      <c r="BC196" s="1" t="s">
        <v>153</v>
      </c>
      <c r="BD196" s="1" t="s">
        <v>43</v>
      </c>
      <c r="BE196" s="1" t="s">
        <v>98</v>
      </c>
      <c r="BF196" s="1" t="b">
        <v>0</v>
      </c>
      <c r="BG196" s="1" t="str">
        <f>VLOOKUP(AM196,Group!$C:$H,5,0)</f>
        <v>Top 25</v>
      </c>
      <c r="BH196" s="1" t="str">
        <f>VLOOKUP(P196,others!$C:$G,5,0)</f>
        <v>VR QA - India</v>
      </c>
    </row>
    <row r="197" spans="1:60" x14ac:dyDescent="0.25">
      <c r="A197" s="14">
        <v>46097.400231481479</v>
      </c>
      <c r="B197" s="14">
        <v>46097.62939814815</v>
      </c>
      <c r="C197" s="14">
        <v>46103.772685185184</v>
      </c>
      <c r="D197" s="14">
        <v>46104.001851851855</v>
      </c>
      <c r="E197" s="14">
        <v>46099.990300925929</v>
      </c>
      <c r="F197" s="14">
        <v>46104.001851851855</v>
      </c>
      <c r="G197" t="s">
        <v>470</v>
      </c>
      <c r="H197">
        <v>331</v>
      </c>
      <c r="I197">
        <v>5776.6333000000004</v>
      </c>
      <c r="J197" t="s">
        <v>104</v>
      </c>
      <c r="K197">
        <v>12829280</v>
      </c>
      <c r="L197" t="s">
        <v>1322</v>
      </c>
      <c r="M197" t="s">
        <v>174</v>
      </c>
      <c r="N197" t="s">
        <v>1323</v>
      </c>
      <c r="O197" t="s">
        <v>1371</v>
      </c>
      <c r="P197" t="s">
        <v>482</v>
      </c>
      <c r="Q197" t="s">
        <v>24</v>
      </c>
      <c r="R197" t="s">
        <v>25</v>
      </c>
      <c r="S197">
        <v>38.119999999999997</v>
      </c>
      <c r="T197">
        <v>100</v>
      </c>
      <c r="U197" t="s">
        <v>100</v>
      </c>
      <c r="V197">
        <v>1</v>
      </c>
      <c r="X197" t="s">
        <v>1324</v>
      </c>
      <c r="AA197">
        <v>720</v>
      </c>
      <c r="AB197" t="s">
        <v>1267</v>
      </c>
      <c r="AC197">
        <v>142</v>
      </c>
      <c r="AD197" t="s">
        <v>27</v>
      </c>
      <c r="AE197" t="s">
        <v>28</v>
      </c>
      <c r="AF197">
        <v>0</v>
      </c>
      <c r="AK197" s="12">
        <f t="shared" si="36"/>
        <v>46104</v>
      </c>
      <c r="AL197" s="1" t="str">
        <f t="shared" si="37"/>
        <v>Week13</v>
      </c>
      <c r="AM197" s="1" t="s">
        <v>189</v>
      </c>
      <c r="AN197" s="1" t="str">
        <f t="shared" si="38"/>
        <v>Go</v>
      </c>
      <c r="AO197" s="2">
        <f t="shared" si="39"/>
        <v>100</v>
      </c>
      <c r="AP197" s="1">
        <f t="shared" si="40"/>
        <v>0</v>
      </c>
      <c r="AQ197" s="1">
        <f t="shared" si="41"/>
        <v>0</v>
      </c>
      <c r="AR197" s="1" t="s">
        <v>96</v>
      </c>
      <c r="AS197" s="1" t="s">
        <v>93</v>
      </c>
      <c r="AT197" s="1" t="s">
        <v>96</v>
      </c>
      <c r="AU197" s="1" t="str">
        <f t="shared" si="42"/>
        <v>Minor</v>
      </c>
      <c r="AV197" s="1" t="str">
        <f t="shared" si="43"/>
        <v>12829280Chintul Sutaria</v>
      </c>
      <c r="AW197" s="1" t="str">
        <f t="shared" si="44"/>
        <v>Minor</v>
      </c>
      <c r="AX197" s="1">
        <f t="shared" si="45"/>
        <v>0</v>
      </c>
      <c r="AY197" s="1" t="s">
        <v>24</v>
      </c>
      <c r="AZ197" s="1" t="b">
        <v>0</v>
      </c>
      <c r="BA197" s="1">
        <f t="shared" si="46"/>
        <v>1</v>
      </c>
      <c r="BB197" s="1">
        <f t="shared" si="47"/>
        <v>1</v>
      </c>
      <c r="BC197" s="1" t="s">
        <v>99</v>
      </c>
      <c r="BD197" s="1" t="s">
        <v>1269</v>
      </c>
      <c r="BE197" s="1" t="s">
        <v>98</v>
      </c>
      <c r="BF197" s="1" t="b">
        <v>0</v>
      </c>
      <c r="BG197" s="1" t="str">
        <f>VLOOKUP(AM197,Group!$C:$H,5,0)</f>
        <v>Others</v>
      </c>
      <c r="BH197" s="1" t="str">
        <f>VLOOKUP(P197,others!$C:$G,5,0)</f>
        <v>QA</v>
      </c>
    </row>
    <row r="198" spans="1:60" x14ac:dyDescent="0.25">
      <c r="A198" s="14">
        <v>46097.422893518517</v>
      </c>
      <c r="B198" s="14">
        <v>46097.652060185188</v>
      </c>
      <c r="C198" s="14">
        <v>46104.375543981485</v>
      </c>
      <c r="D198" s="14">
        <v>46104.604710648149</v>
      </c>
      <c r="E198" s="14">
        <v>46099.989722222221</v>
      </c>
      <c r="F198" s="14">
        <v>46104.604710648149</v>
      </c>
      <c r="G198" t="s">
        <v>470</v>
      </c>
      <c r="H198">
        <v>9180</v>
      </c>
      <c r="I198">
        <v>6645.5833000000002</v>
      </c>
      <c r="J198" t="s">
        <v>104</v>
      </c>
      <c r="K198">
        <v>12829289</v>
      </c>
      <c r="L198" t="s">
        <v>1322</v>
      </c>
      <c r="M198" t="s">
        <v>174</v>
      </c>
      <c r="N198" t="s">
        <v>1323</v>
      </c>
      <c r="O198" t="s">
        <v>1371</v>
      </c>
      <c r="P198" t="s">
        <v>482</v>
      </c>
      <c r="Q198" t="s">
        <v>24</v>
      </c>
      <c r="R198" t="s">
        <v>25</v>
      </c>
      <c r="S198">
        <v>64.08</v>
      </c>
      <c r="T198">
        <v>99</v>
      </c>
      <c r="U198" t="s">
        <v>1243</v>
      </c>
      <c r="V198">
        <v>1</v>
      </c>
      <c r="X198" t="s">
        <v>1381</v>
      </c>
      <c r="AA198">
        <v>480</v>
      </c>
      <c r="AB198" t="s">
        <v>1267</v>
      </c>
      <c r="AC198">
        <v>257</v>
      </c>
      <c r="AD198" t="s">
        <v>27</v>
      </c>
      <c r="AE198" t="s">
        <v>28</v>
      </c>
      <c r="AF198">
        <v>0</v>
      </c>
      <c r="AK198" s="12">
        <f t="shared" si="36"/>
        <v>46104</v>
      </c>
      <c r="AL198" s="1" t="str">
        <f t="shared" si="37"/>
        <v>Week13</v>
      </c>
      <c r="AM198" s="1" t="s">
        <v>189</v>
      </c>
      <c r="AN198" s="1" t="str">
        <f t="shared" si="38"/>
        <v>NoGo</v>
      </c>
      <c r="AO198" s="2">
        <f t="shared" si="39"/>
        <v>98.439450686641692</v>
      </c>
      <c r="AP198" s="1">
        <f t="shared" si="40"/>
        <v>1</v>
      </c>
      <c r="AQ198" s="1">
        <f t="shared" si="41"/>
        <v>1</v>
      </c>
      <c r="AR198" s="1" t="s">
        <v>96</v>
      </c>
      <c r="AS198" s="1" t="s">
        <v>93</v>
      </c>
      <c r="AT198" s="1" t="s">
        <v>96</v>
      </c>
      <c r="AU198" s="1" t="str">
        <f t="shared" si="42"/>
        <v>Major</v>
      </c>
      <c r="AV198" s="1" t="str">
        <f t="shared" si="43"/>
        <v>12829289Chintul Sutaria</v>
      </c>
      <c r="AW198" s="1" t="str">
        <f t="shared" si="44"/>
        <v>Major</v>
      </c>
      <c r="AX198" s="1">
        <f t="shared" si="45"/>
        <v>1</v>
      </c>
      <c r="AY198" s="1" t="s">
        <v>24</v>
      </c>
      <c r="AZ198" s="1" t="b">
        <v>1</v>
      </c>
      <c r="BA198" s="1">
        <f t="shared" si="46"/>
        <v>1</v>
      </c>
      <c r="BB198" s="1">
        <f t="shared" si="47"/>
        <v>1</v>
      </c>
      <c r="BC198" s="1" t="s">
        <v>99</v>
      </c>
      <c r="BD198" s="1" t="s">
        <v>1269</v>
      </c>
      <c r="BE198" s="1" t="s">
        <v>98</v>
      </c>
      <c r="BF198" s="1" t="b">
        <v>1</v>
      </c>
      <c r="BG198" s="1" t="str">
        <f>VLOOKUP(AM198,Group!$C:$H,5,0)</f>
        <v>Others</v>
      </c>
      <c r="BH198" s="1" t="str">
        <f>VLOOKUP(P198,others!$C:$G,5,0)</f>
        <v>QA</v>
      </c>
    </row>
    <row r="199" spans="1:60" x14ac:dyDescent="0.25">
      <c r="A199" s="14">
        <v>46097.422893518517</v>
      </c>
      <c r="B199" s="14">
        <v>46097.652060185188</v>
      </c>
      <c r="C199" s="14">
        <v>46104.375543981485</v>
      </c>
      <c r="D199" s="14">
        <v>46104.604710648149</v>
      </c>
      <c r="E199" s="14">
        <v>46099.989722222221</v>
      </c>
      <c r="F199" s="14">
        <v>46104.604710648149</v>
      </c>
      <c r="G199" t="s">
        <v>470</v>
      </c>
      <c r="H199">
        <v>9180</v>
      </c>
      <c r="I199">
        <v>6645.5833000000002</v>
      </c>
      <c r="J199" t="s">
        <v>104</v>
      </c>
      <c r="K199">
        <v>12829289</v>
      </c>
      <c r="L199" t="s">
        <v>1322</v>
      </c>
      <c r="M199" t="s">
        <v>174</v>
      </c>
      <c r="N199" t="s">
        <v>1323</v>
      </c>
      <c r="O199" t="s">
        <v>1371</v>
      </c>
      <c r="P199" t="s">
        <v>482</v>
      </c>
      <c r="Q199" t="s">
        <v>24</v>
      </c>
      <c r="R199" t="s">
        <v>25</v>
      </c>
      <c r="S199">
        <v>64.08</v>
      </c>
      <c r="T199">
        <v>99</v>
      </c>
      <c r="U199" t="s">
        <v>100</v>
      </c>
      <c r="V199">
        <v>2</v>
      </c>
      <c r="X199" t="s">
        <v>1381</v>
      </c>
      <c r="AA199">
        <v>480</v>
      </c>
      <c r="AB199" t="s">
        <v>1267</v>
      </c>
      <c r="AC199">
        <v>257</v>
      </c>
      <c r="AD199" t="s">
        <v>27</v>
      </c>
      <c r="AE199" t="s">
        <v>28</v>
      </c>
      <c r="AF199">
        <v>0</v>
      </c>
      <c r="AK199" s="12">
        <f t="shared" si="36"/>
        <v>46104</v>
      </c>
      <c r="AL199" s="1" t="str">
        <f t="shared" si="37"/>
        <v>Week13</v>
      </c>
      <c r="AM199" s="1" t="s">
        <v>189</v>
      </c>
      <c r="AN199" s="1" t="str">
        <f t="shared" si="38"/>
        <v>NoGo</v>
      </c>
      <c r="AO199" s="2">
        <f t="shared" si="39"/>
        <v>98.439450686641692</v>
      </c>
      <c r="AP199" s="1">
        <f t="shared" si="40"/>
        <v>0</v>
      </c>
      <c r="AQ199" s="1">
        <f t="shared" si="41"/>
        <v>1</v>
      </c>
      <c r="AR199" s="1" t="s">
        <v>96</v>
      </c>
      <c r="AS199" s="1" t="s">
        <v>93</v>
      </c>
      <c r="AT199" s="1" t="s">
        <v>96</v>
      </c>
      <c r="AU199" s="1" t="str">
        <f t="shared" si="42"/>
        <v>Minor</v>
      </c>
      <c r="AV199" s="1" t="str">
        <f t="shared" si="43"/>
        <v>12829289Chintul Sutaria</v>
      </c>
      <c r="AW199" s="1" t="str">
        <f t="shared" si="44"/>
        <v>Minor</v>
      </c>
      <c r="AX199" s="1">
        <f t="shared" si="45"/>
        <v>0</v>
      </c>
      <c r="AY199" s="1" t="s">
        <v>24</v>
      </c>
      <c r="AZ199" s="1" t="b">
        <v>0</v>
      </c>
      <c r="BA199" s="1">
        <f t="shared" si="46"/>
        <v>1</v>
      </c>
      <c r="BB199" s="1">
        <f t="shared" si="47"/>
        <v>2</v>
      </c>
      <c r="BC199" s="1" t="s">
        <v>99</v>
      </c>
      <c r="BD199" s="1" t="s">
        <v>1269</v>
      </c>
      <c r="BE199" s="1" t="s">
        <v>98</v>
      </c>
      <c r="BF199" s="1" t="b">
        <v>0</v>
      </c>
      <c r="BG199" s="1" t="str">
        <f>VLOOKUP(AM199,Group!$C:$H,5,0)</f>
        <v>Others</v>
      </c>
      <c r="BH199" s="1" t="str">
        <f>VLOOKUP(P199,others!$C:$G,5,0)</f>
        <v>QA</v>
      </c>
    </row>
    <row r="200" spans="1:60" x14ac:dyDescent="0.25">
      <c r="A200" s="14">
        <v>46099.588460648149</v>
      </c>
      <c r="B200" s="14">
        <v>46099.817627314813</v>
      </c>
      <c r="C200" s="14">
        <v>46104.709189814814</v>
      </c>
      <c r="D200" s="14">
        <v>46104.938356481478</v>
      </c>
      <c r="E200" s="14">
        <v>46104.00209490741</v>
      </c>
      <c r="F200" s="14">
        <v>46104.938356481478</v>
      </c>
      <c r="G200" t="s">
        <v>470</v>
      </c>
      <c r="H200">
        <v>1112</v>
      </c>
      <c r="I200">
        <v>1348.2166999999999</v>
      </c>
      <c r="J200" t="s">
        <v>104</v>
      </c>
      <c r="K200">
        <v>12830236</v>
      </c>
      <c r="L200" t="s">
        <v>1304</v>
      </c>
      <c r="M200" t="s">
        <v>116</v>
      </c>
      <c r="N200" t="s">
        <v>88</v>
      </c>
      <c r="O200" t="s">
        <v>1351</v>
      </c>
      <c r="P200" t="s">
        <v>1096</v>
      </c>
      <c r="Q200" t="s">
        <v>24</v>
      </c>
      <c r="R200" t="s">
        <v>25</v>
      </c>
      <c r="S200">
        <v>148.16999999999999</v>
      </c>
      <c r="T200">
        <v>100</v>
      </c>
      <c r="U200" t="s">
        <v>100</v>
      </c>
      <c r="V200">
        <v>10</v>
      </c>
      <c r="X200" t="s">
        <v>1251</v>
      </c>
      <c r="AA200">
        <v>1440</v>
      </c>
      <c r="AB200" t="s">
        <v>26</v>
      </c>
      <c r="AC200">
        <v>845</v>
      </c>
      <c r="AD200" t="s">
        <v>27</v>
      </c>
      <c r="AE200" t="s">
        <v>28</v>
      </c>
      <c r="AF200">
        <v>0</v>
      </c>
      <c r="AK200" s="12">
        <f t="shared" si="36"/>
        <v>46104</v>
      </c>
      <c r="AL200" s="1" t="str">
        <f t="shared" si="37"/>
        <v>Week13</v>
      </c>
      <c r="AM200" s="1" t="s">
        <v>119</v>
      </c>
      <c r="AN200" s="1" t="str">
        <f t="shared" si="38"/>
        <v>Go</v>
      </c>
      <c r="AO200" s="2">
        <f t="shared" si="39"/>
        <v>100</v>
      </c>
      <c r="AP200" s="1">
        <f t="shared" si="40"/>
        <v>0</v>
      </c>
      <c r="AQ200" s="1">
        <f t="shared" si="41"/>
        <v>0</v>
      </c>
      <c r="AR200" s="1" t="s">
        <v>95</v>
      </c>
      <c r="AS200" s="1" t="s">
        <v>93</v>
      </c>
      <c r="AT200" s="1" t="s">
        <v>93</v>
      </c>
      <c r="AU200" s="1" t="str">
        <f t="shared" si="42"/>
        <v>Minor</v>
      </c>
      <c r="AV200" s="1" t="str">
        <f t="shared" si="43"/>
        <v>12830236Tejas Patel</v>
      </c>
      <c r="AW200" s="1" t="str">
        <f t="shared" si="44"/>
        <v>Minor</v>
      </c>
      <c r="AX200" s="1">
        <f t="shared" si="45"/>
        <v>0</v>
      </c>
      <c r="AY200" s="1" t="s">
        <v>24</v>
      </c>
      <c r="AZ200" s="1" t="b">
        <v>0</v>
      </c>
      <c r="BA200" s="1">
        <f t="shared" si="46"/>
        <v>1</v>
      </c>
      <c r="BB200" s="1">
        <f t="shared" si="47"/>
        <v>10</v>
      </c>
      <c r="BC200" s="1" t="s">
        <v>1096</v>
      </c>
      <c r="BD200" s="1" t="s">
        <v>43</v>
      </c>
      <c r="BE200" s="1" t="s">
        <v>98</v>
      </c>
      <c r="BF200" s="1" t="b">
        <v>0</v>
      </c>
      <c r="BG200" s="1" t="str">
        <f>VLOOKUP(AM200,Group!$C:$H,5,0)</f>
        <v>Top 25</v>
      </c>
      <c r="BH200" s="1" t="str">
        <f>VLOOKUP(P200,others!$C:$G,5,0)</f>
        <v>QA</v>
      </c>
    </row>
    <row r="201" spans="1:60" x14ac:dyDescent="0.25">
      <c r="A201" s="14">
        <v>46099.502824074072</v>
      </c>
      <c r="B201" s="14">
        <v>46099.731990740744</v>
      </c>
      <c r="C201" s="14">
        <v>46104.752962962964</v>
      </c>
      <c r="D201" s="14">
        <v>46104.982129629629</v>
      </c>
      <c r="E201" s="14">
        <v>46104.002025462964</v>
      </c>
      <c r="F201" s="14">
        <v>46104.982129629629</v>
      </c>
      <c r="G201" t="s">
        <v>470</v>
      </c>
      <c r="H201">
        <v>6838</v>
      </c>
      <c r="I201">
        <v>1411.35</v>
      </c>
      <c r="J201" t="s">
        <v>104</v>
      </c>
      <c r="K201">
        <v>12830160</v>
      </c>
      <c r="L201" t="s">
        <v>1334</v>
      </c>
      <c r="M201" t="s">
        <v>136</v>
      </c>
      <c r="N201" t="s">
        <v>88</v>
      </c>
      <c r="O201" t="s">
        <v>465</v>
      </c>
      <c r="P201" t="s">
        <v>153</v>
      </c>
      <c r="Q201" t="s">
        <v>1328</v>
      </c>
      <c r="R201" t="s">
        <v>25</v>
      </c>
      <c r="S201">
        <v>139.12</v>
      </c>
      <c r="T201">
        <v>100</v>
      </c>
      <c r="U201" t="s">
        <v>100</v>
      </c>
      <c r="V201">
        <v>5</v>
      </c>
      <c r="X201" t="s">
        <v>1335</v>
      </c>
      <c r="AA201">
        <v>1440</v>
      </c>
      <c r="AB201" t="s">
        <v>26</v>
      </c>
      <c r="AC201">
        <v>766</v>
      </c>
      <c r="AD201" t="s">
        <v>27</v>
      </c>
      <c r="AE201" t="s">
        <v>28</v>
      </c>
      <c r="AF201">
        <v>0</v>
      </c>
      <c r="AK201" s="12">
        <f t="shared" si="36"/>
        <v>46104</v>
      </c>
      <c r="AL201" s="1" t="str">
        <f t="shared" si="37"/>
        <v>Week13</v>
      </c>
      <c r="AM201" s="1" t="s">
        <v>138</v>
      </c>
      <c r="AN201" s="1" t="str">
        <f t="shared" si="38"/>
        <v>Go</v>
      </c>
      <c r="AO201" s="2">
        <f t="shared" si="39"/>
        <v>100</v>
      </c>
      <c r="AP201" s="1">
        <f t="shared" si="40"/>
        <v>0</v>
      </c>
      <c r="AQ201" s="1">
        <f t="shared" si="41"/>
        <v>0</v>
      </c>
      <c r="AR201" s="1" t="s">
        <v>96</v>
      </c>
      <c r="AS201" s="1" t="s">
        <v>96</v>
      </c>
      <c r="AT201" s="1" t="s">
        <v>96</v>
      </c>
      <c r="AU201" s="1" t="str">
        <f t="shared" si="42"/>
        <v>Minor</v>
      </c>
      <c r="AV201" s="1" t="str">
        <f t="shared" si="43"/>
        <v>12830160Sivasankari A</v>
      </c>
      <c r="AW201" s="1" t="str">
        <f t="shared" si="44"/>
        <v>Minor</v>
      </c>
      <c r="AX201" s="1">
        <f t="shared" si="45"/>
        <v>0</v>
      </c>
      <c r="AY201" s="1" t="s">
        <v>29</v>
      </c>
      <c r="AZ201" s="1" t="b">
        <v>0</v>
      </c>
      <c r="BA201" s="1">
        <f t="shared" si="46"/>
        <v>1</v>
      </c>
      <c r="BB201" s="1">
        <f t="shared" si="47"/>
        <v>5</v>
      </c>
      <c r="BC201" s="1" t="s">
        <v>153</v>
      </c>
      <c r="BD201" s="1" t="s">
        <v>43</v>
      </c>
      <c r="BE201" s="1" t="s">
        <v>98</v>
      </c>
      <c r="BF201" s="1" t="b">
        <v>0</v>
      </c>
      <c r="BG201" s="1" t="str">
        <f>VLOOKUP(AM201,Group!$C:$H,5,0)</f>
        <v>Top 25</v>
      </c>
      <c r="BH201" s="1" t="str">
        <f>VLOOKUP(P201,others!$C:$G,5,0)</f>
        <v>VR QA - India</v>
      </c>
    </row>
    <row r="202" spans="1:60" x14ac:dyDescent="0.25">
      <c r="A202" s="14">
        <v>46100.571666666663</v>
      </c>
      <c r="B202" s="14">
        <v>46100.800833333335</v>
      </c>
      <c r="C202" s="14">
        <v>46104.757395833331</v>
      </c>
      <c r="D202" s="14">
        <v>46104.986562500002</v>
      </c>
      <c r="E202" s="14">
        <v>46104.002233796295</v>
      </c>
      <c r="F202" s="14">
        <v>46104.986562500002</v>
      </c>
      <c r="G202" t="s">
        <v>470</v>
      </c>
      <c r="H202">
        <v>369</v>
      </c>
      <c r="I202">
        <v>1417.4332999999999</v>
      </c>
      <c r="J202" t="s">
        <v>104</v>
      </c>
      <c r="K202">
        <v>12830691</v>
      </c>
      <c r="L202" t="s">
        <v>1334</v>
      </c>
      <c r="M202" t="s">
        <v>136</v>
      </c>
      <c r="N202" t="s">
        <v>88</v>
      </c>
      <c r="O202" t="s">
        <v>465</v>
      </c>
      <c r="P202" t="s">
        <v>153</v>
      </c>
      <c r="Q202" t="s">
        <v>1328</v>
      </c>
      <c r="R202" t="s">
        <v>25</v>
      </c>
      <c r="S202">
        <v>96.86</v>
      </c>
      <c r="T202">
        <v>100</v>
      </c>
      <c r="V202">
        <v>0</v>
      </c>
      <c r="X202" t="s">
        <v>1335</v>
      </c>
      <c r="AA202">
        <v>1440</v>
      </c>
      <c r="AB202" t="s">
        <v>26</v>
      </c>
      <c r="AC202">
        <v>387</v>
      </c>
      <c r="AD202" t="s">
        <v>27</v>
      </c>
      <c r="AE202" t="s">
        <v>28</v>
      </c>
      <c r="AF202">
        <v>0</v>
      </c>
      <c r="AK202" s="12">
        <f t="shared" si="36"/>
        <v>46104</v>
      </c>
      <c r="AL202" s="1" t="str">
        <f t="shared" si="37"/>
        <v>Week13</v>
      </c>
      <c r="AM202" s="1" t="s">
        <v>138</v>
      </c>
      <c r="AN202" s="1" t="str">
        <f t="shared" si="38"/>
        <v>Go</v>
      </c>
      <c r="AO202" s="2">
        <f t="shared" si="39"/>
        <v>100</v>
      </c>
      <c r="AP202" s="1">
        <f t="shared" si="40"/>
        <v>0</v>
      </c>
      <c r="AQ202" s="1">
        <f t="shared" si="41"/>
        <v>0</v>
      </c>
      <c r="AR202" s="1" t="s">
        <v>96</v>
      </c>
      <c r="AS202" s="1" t="s">
        <v>96</v>
      </c>
      <c r="AT202" s="1" t="s">
        <v>96</v>
      </c>
      <c r="AU202" s="1" t="str">
        <f t="shared" si="42"/>
        <v/>
      </c>
      <c r="AV202" s="1" t="str">
        <f t="shared" si="43"/>
        <v>12830691Sivasankari A</v>
      </c>
      <c r="AW202" s="1" t="str">
        <f t="shared" si="44"/>
        <v/>
      </c>
      <c r="AX202" s="1" t="str">
        <f t="shared" si="45"/>
        <v/>
      </c>
      <c r="AY202" s="1" t="s">
        <v>29</v>
      </c>
      <c r="AZ202" s="1" t="b">
        <v>0</v>
      </c>
      <c r="BA202" s="1" t="str">
        <f t="shared" si="46"/>
        <v/>
      </c>
      <c r="BB202" s="1">
        <f t="shared" si="47"/>
        <v>0</v>
      </c>
      <c r="BC202" s="1" t="s">
        <v>153</v>
      </c>
      <c r="BD202" s="1" t="s">
        <v>43</v>
      </c>
      <c r="BE202" s="1" t="s">
        <v>98</v>
      </c>
      <c r="BF202" s="1" t="b">
        <v>0</v>
      </c>
      <c r="BG202" s="1" t="str">
        <f>VLOOKUP(AM202,Group!$C:$H,5,0)</f>
        <v>Top 25</v>
      </c>
      <c r="BH202" s="1" t="str">
        <f>VLOOKUP(P202,others!$C:$G,5,0)</f>
        <v>VR QA - India</v>
      </c>
    </row>
    <row r="203" spans="1:60" x14ac:dyDescent="0.25">
      <c r="A203" s="14">
        <v>46100.689108796294</v>
      </c>
      <c r="B203" s="14">
        <v>46100.918275462966</v>
      </c>
      <c r="C203" s="14">
        <v>46104.762604166666</v>
      </c>
      <c r="D203" s="14">
        <v>46104.991770833331</v>
      </c>
      <c r="E203" s="14">
        <v>46104.002442129633</v>
      </c>
      <c r="F203" s="14">
        <v>46104.991770833331</v>
      </c>
      <c r="G203" t="s">
        <v>470</v>
      </c>
      <c r="H203">
        <v>441</v>
      </c>
      <c r="I203">
        <v>1424.6333</v>
      </c>
      <c r="J203" t="s">
        <v>104</v>
      </c>
      <c r="K203">
        <v>12830831</v>
      </c>
      <c r="L203" t="s">
        <v>1254</v>
      </c>
      <c r="M203" t="s">
        <v>101</v>
      </c>
      <c r="N203" t="s">
        <v>88</v>
      </c>
      <c r="O203" t="s">
        <v>131</v>
      </c>
      <c r="P203" t="s">
        <v>132</v>
      </c>
      <c r="Q203" t="s">
        <v>1328</v>
      </c>
      <c r="R203" t="s">
        <v>25</v>
      </c>
      <c r="S203">
        <v>54.98</v>
      </c>
      <c r="T203">
        <v>100</v>
      </c>
      <c r="U203" t="s">
        <v>100</v>
      </c>
      <c r="V203">
        <v>3</v>
      </c>
      <c r="X203" t="s">
        <v>469</v>
      </c>
      <c r="AA203">
        <v>1440</v>
      </c>
      <c r="AB203" t="s">
        <v>26</v>
      </c>
      <c r="AC203">
        <v>387</v>
      </c>
      <c r="AD203" t="s">
        <v>27</v>
      </c>
      <c r="AE203" t="s">
        <v>28</v>
      </c>
      <c r="AF203">
        <v>0</v>
      </c>
      <c r="AK203" s="12">
        <f t="shared" si="36"/>
        <v>46104</v>
      </c>
      <c r="AL203" s="1" t="str">
        <f t="shared" si="37"/>
        <v>Week13</v>
      </c>
      <c r="AM203" s="1" t="s">
        <v>102</v>
      </c>
      <c r="AN203" s="1" t="str">
        <f t="shared" si="38"/>
        <v>Go</v>
      </c>
      <c r="AO203" s="2">
        <f t="shared" si="39"/>
        <v>100</v>
      </c>
      <c r="AP203" s="1">
        <f t="shared" si="40"/>
        <v>0</v>
      </c>
      <c r="AQ203" s="1">
        <f t="shared" si="41"/>
        <v>0</v>
      </c>
      <c r="AR203" s="1" t="s">
        <v>95</v>
      </c>
      <c r="AS203" s="1" t="s">
        <v>96</v>
      </c>
      <c r="AT203" s="1" t="s">
        <v>96</v>
      </c>
      <c r="AU203" s="1" t="str">
        <f t="shared" si="42"/>
        <v>Minor</v>
      </c>
      <c r="AV203" s="1" t="str">
        <f t="shared" si="43"/>
        <v>12830831Pratheep Kumar</v>
      </c>
      <c r="AW203" s="1" t="str">
        <f t="shared" si="44"/>
        <v>Minor</v>
      </c>
      <c r="AX203" s="1">
        <f t="shared" si="45"/>
        <v>0</v>
      </c>
      <c r="AY203" s="1" t="s">
        <v>29</v>
      </c>
      <c r="AZ203" s="1" t="b">
        <v>0</v>
      </c>
      <c r="BA203" s="1">
        <f t="shared" si="46"/>
        <v>1</v>
      </c>
      <c r="BB203" s="1">
        <f t="shared" si="47"/>
        <v>3</v>
      </c>
      <c r="BC203" s="1" t="s">
        <v>132</v>
      </c>
      <c r="BD203" s="1" t="s">
        <v>43</v>
      </c>
      <c r="BE203" s="1" t="s">
        <v>98</v>
      </c>
      <c r="BF203" s="1" t="b">
        <v>0</v>
      </c>
      <c r="BG203" s="1" t="str">
        <f>VLOOKUP(AM203,Group!$C:$H,5,0)</f>
        <v>Top 25</v>
      </c>
      <c r="BH203" s="1" t="str">
        <f>VLOOKUP(P203,others!$C:$G,5,0)</f>
        <v>MT - India</v>
      </c>
    </row>
    <row r="204" spans="1:60" x14ac:dyDescent="0.25">
      <c r="A204" s="14">
        <v>46097.705590277779</v>
      </c>
      <c r="B204" s="14">
        <v>46097.934756944444</v>
      </c>
      <c r="C204" s="14">
        <v>46104.768020833333</v>
      </c>
      <c r="D204" s="14">
        <v>46104.997187499997</v>
      </c>
      <c r="E204" s="14">
        <v>46101.326724537037</v>
      </c>
      <c r="F204" s="14">
        <v>46104.997187499997</v>
      </c>
      <c r="G204" t="s">
        <v>470</v>
      </c>
      <c r="H204">
        <v>7582</v>
      </c>
      <c r="I204">
        <v>5285.4666999999999</v>
      </c>
      <c r="J204" t="s">
        <v>104</v>
      </c>
      <c r="K204">
        <v>12829545</v>
      </c>
      <c r="L204" t="s">
        <v>1272</v>
      </c>
      <c r="M204" t="s">
        <v>101</v>
      </c>
      <c r="N204" t="s">
        <v>88</v>
      </c>
      <c r="O204" t="s">
        <v>456</v>
      </c>
      <c r="P204" t="s">
        <v>457</v>
      </c>
      <c r="Q204" t="s">
        <v>24</v>
      </c>
      <c r="R204" t="s">
        <v>25</v>
      </c>
      <c r="S204">
        <v>72.52</v>
      </c>
      <c r="T204">
        <v>99</v>
      </c>
      <c r="U204" t="s">
        <v>471</v>
      </c>
      <c r="V204">
        <v>1</v>
      </c>
      <c r="X204" t="s">
        <v>469</v>
      </c>
      <c r="AA204">
        <v>1440</v>
      </c>
      <c r="AB204" t="s">
        <v>26</v>
      </c>
      <c r="AC204">
        <v>262</v>
      </c>
      <c r="AD204" t="s">
        <v>27</v>
      </c>
      <c r="AE204" t="s">
        <v>28</v>
      </c>
      <c r="AF204">
        <v>0</v>
      </c>
      <c r="AK204" s="12">
        <f t="shared" si="36"/>
        <v>46104</v>
      </c>
      <c r="AL204" s="1" t="str">
        <f t="shared" si="37"/>
        <v>Week13</v>
      </c>
      <c r="AM204" s="1" t="s">
        <v>102</v>
      </c>
      <c r="AN204" s="1" t="str">
        <f t="shared" si="38"/>
        <v>Go</v>
      </c>
      <c r="AO204" s="2">
        <f t="shared" si="39"/>
        <v>98.621070049641474</v>
      </c>
      <c r="AP204" s="1">
        <f t="shared" si="40"/>
        <v>1</v>
      </c>
      <c r="AQ204" s="1">
        <f t="shared" si="41"/>
        <v>1</v>
      </c>
      <c r="AR204" s="1" t="s">
        <v>95</v>
      </c>
      <c r="AS204" s="1" t="s">
        <v>93</v>
      </c>
      <c r="AT204" s="1" t="s">
        <v>93</v>
      </c>
      <c r="AU204" s="1" t="str">
        <f t="shared" si="42"/>
        <v>Major</v>
      </c>
      <c r="AV204" s="1" t="str">
        <f t="shared" si="43"/>
        <v>12829545Shiny Iype</v>
      </c>
      <c r="AW204" s="1" t="str">
        <f t="shared" si="44"/>
        <v>Major</v>
      </c>
      <c r="AX204" s="1">
        <f t="shared" si="45"/>
        <v>1</v>
      </c>
      <c r="AY204" s="1" t="s">
        <v>24</v>
      </c>
      <c r="AZ204" s="1" t="b">
        <v>1</v>
      </c>
      <c r="BA204" s="1">
        <f t="shared" si="46"/>
        <v>1</v>
      </c>
      <c r="BB204" s="1">
        <f t="shared" si="47"/>
        <v>1</v>
      </c>
      <c r="BC204" s="1" t="s">
        <v>457</v>
      </c>
      <c r="BD204" s="1" t="s">
        <v>43</v>
      </c>
      <c r="BE204" s="1" t="s">
        <v>98</v>
      </c>
      <c r="BF204" s="1" t="b">
        <v>1</v>
      </c>
      <c r="BG204" s="1" t="str">
        <f>VLOOKUP(AM204,Group!$C:$H,5,0)</f>
        <v>Top 25</v>
      </c>
      <c r="BH204" s="1" t="str">
        <f>VLOOKUP(P204,others!$C:$G,5,0)</f>
        <v>MTX - India</v>
      </c>
    </row>
    <row r="205" spans="1:60" x14ac:dyDescent="0.25">
      <c r="A205" s="14">
        <v>46097.705590277779</v>
      </c>
      <c r="B205" s="14">
        <v>46097.934756944444</v>
      </c>
      <c r="C205" s="14">
        <v>46104.768020833333</v>
      </c>
      <c r="D205" s="14">
        <v>46104.997187499997</v>
      </c>
      <c r="E205" s="14">
        <v>46101.326724537037</v>
      </c>
      <c r="F205" s="14">
        <v>46104.997187499997</v>
      </c>
      <c r="G205" t="s">
        <v>470</v>
      </c>
      <c r="H205">
        <v>7582</v>
      </c>
      <c r="I205">
        <v>5285.4666999999999</v>
      </c>
      <c r="J205" t="s">
        <v>104</v>
      </c>
      <c r="K205">
        <v>12829545</v>
      </c>
      <c r="L205" t="s">
        <v>1272</v>
      </c>
      <c r="M205" t="s">
        <v>101</v>
      </c>
      <c r="N205" t="s">
        <v>88</v>
      </c>
      <c r="O205" t="s">
        <v>456</v>
      </c>
      <c r="P205" t="s">
        <v>457</v>
      </c>
      <c r="Q205" t="s">
        <v>24</v>
      </c>
      <c r="R205" t="s">
        <v>25</v>
      </c>
      <c r="S205">
        <v>72.52</v>
      </c>
      <c r="T205">
        <v>99</v>
      </c>
      <c r="U205" t="s">
        <v>100</v>
      </c>
      <c r="V205">
        <v>5</v>
      </c>
      <c r="X205" t="s">
        <v>469</v>
      </c>
      <c r="AA205">
        <v>1440</v>
      </c>
      <c r="AB205" t="s">
        <v>26</v>
      </c>
      <c r="AC205">
        <v>262</v>
      </c>
      <c r="AD205" t="s">
        <v>27</v>
      </c>
      <c r="AE205" t="s">
        <v>28</v>
      </c>
      <c r="AF205">
        <v>0</v>
      </c>
      <c r="AK205" s="12">
        <f t="shared" si="36"/>
        <v>46104</v>
      </c>
      <c r="AL205" s="1" t="str">
        <f t="shared" si="37"/>
        <v>Week13</v>
      </c>
      <c r="AM205" s="1" t="s">
        <v>102</v>
      </c>
      <c r="AN205" s="1" t="str">
        <f t="shared" si="38"/>
        <v>Go</v>
      </c>
      <c r="AO205" s="2">
        <f t="shared" si="39"/>
        <v>98.621070049641474</v>
      </c>
      <c r="AP205" s="1">
        <f t="shared" si="40"/>
        <v>0</v>
      </c>
      <c r="AQ205" s="1">
        <f t="shared" si="41"/>
        <v>1</v>
      </c>
      <c r="AR205" s="1" t="s">
        <v>95</v>
      </c>
      <c r="AS205" s="1" t="s">
        <v>93</v>
      </c>
      <c r="AT205" s="1" t="s">
        <v>93</v>
      </c>
      <c r="AU205" s="1" t="str">
        <f t="shared" si="42"/>
        <v>Minor</v>
      </c>
      <c r="AV205" s="1" t="str">
        <f t="shared" si="43"/>
        <v>12829545Shiny Iype</v>
      </c>
      <c r="AW205" s="1" t="str">
        <f t="shared" si="44"/>
        <v>Minor</v>
      </c>
      <c r="AX205" s="1">
        <f t="shared" si="45"/>
        <v>0</v>
      </c>
      <c r="AY205" s="1" t="s">
        <v>24</v>
      </c>
      <c r="AZ205" s="1" t="b">
        <v>0</v>
      </c>
      <c r="BA205" s="1">
        <f t="shared" si="46"/>
        <v>1</v>
      </c>
      <c r="BB205" s="1">
        <f t="shared" si="47"/>
        <v>5</v>
      </c>
      <c r="BC205" s="1" t="s">
        <v>457</v>
      </c>
      <c r="BD205" s="1" t="s">
        <v>43</v>
      </c>
      <c r="BE205" s="1" t="s">
        <v>98</v>
      </c>
      <c r="BF205" s="1" t="b">
        <v>0</v>
      </c>
      <c r="BG205" s="1" t="str">
        <f>VLOOKUP(AM205,Group!$C:$H,5,0)</f>
        <v>Top 25</v>
      </c>
      <c r="BH205" s="1" t="str">
        <f>VLOOKUP(P205,others!$C:$G,5,0)</f>
        <v>MTX - India</v>
      </c>
    </row>
    <row r="206" spans="1:60" x14ac:dyDescent="0.25">
      <c r="A206" s="14">
        <v>46097.765416666669</v>
      </c>
      <c r="B206" s="14">
        <v>46097.994583333333</v>
      </c>
      <c r="C206" s="14">
        <v>46105.13349537037</v>
      </c>
      <c r="D206" s="14">
        <v>46105.362662037034</v>
      </c>
      <c r="E206" s="14">
        <v>46103.406863425924</v>
      </c>
      <c r="F206" s="14">
        <v>46105.362662037034</v>
      </c>
      <c r="G206" t="s">
        <v>470</v>
      </c>
      <c r="H206">
        <v>334</v>
      </c>
      <c r="I206">
        <v>2816.35</v>
      </c>
      <c r="J206" t="s">
        <v>104</v>
      </c>
      <c r="K206">
        <v>12829555</v>
      </c>
      <c r="L206" t="s">
        <v>1355</v>
      </c>
      <c r="M206" t="s">
        <v>101</v>
      </c>
      <c r="N206" t="s">
        <v>88</v>
      </c>
      <c r="O206" t="s">
        <v>131</v>
      </c>
      <c r="P206" t="s">
        <v>132</v>
      </c>
      <c r="Q206" t="s">
        <v>1328</v>
      </c>
      <c r="R206" t="s">
        <v>25</v>
      </c>
      <c r="S206">
        <v>44.35</v>
      </c>
      <c r="T206">
        <v>100</v>
      </c>
      <c r="U206" t="s">
        <v>100</v>
      </c>
      <c r="V206">
        <v>1</v>
      </c>
      <c r="X206" t="s">
        <v>469</v>
      </c>
      <c r="AA206">
        <v>1440</v>
      </c>
      <c r="AB206" t="s">
        <v>26</v>
      </c>
      <c r="AC206">
        <v>184</v>
      </c>
      <c r="AD206" t="s">
        <v>27</v>
      </c>
      <c r="AE206" t="s">
        <v>28</v>
      </c>
      <c r="AF206">
        <v>0</v>
      </c>
      <c r="AK206" s="12">
        <f t="shared" si="36"/>
        <v>46105</v>
      </c>
      <c r="AL206" s="1" t="str">
        <f t="shared" si="37"/>
        <v>Week13</v>
      </c>
      <c r="AM206" s="1" t="s">
        <v>102</v>
      </c>
      <c r="AN206" s="1" t="str">
        <f t="shared" si="38"/>
        <v>Go</v>
      </c>
      <c r="AO206" s="2">
        <f t="shared" si="39"/>
        <v>100</v>
      </c>
      <c r="AP206" s="1">
        <f t="shared" si="40"/>
        <v>0</v>
      </c>
      <c r="AQ206" s="1">
        <f t="shared" si="41"/>
        <v>0</v>
      </c>
      <c r="AR206" s="1" t="s">
        <v>95</v>
      </c>
      <c r="AS206" s="1" t="s">
        <v>96</v>
      </c>
      <c r="AT206" s="1" t="s">
        <v>96</v>
      </c>
      <c r="AU206" s="1" t="str">
        <f t="shared" si="42"/>
        <v>Minor</v>
      </c>
      <c r="AV206" s="1" t="str">
        <f t="shared" si="43"/>
        <v>12829555Pratheep Kumar</v>
      </c>
      <c r="AW206" s="1" t="str">
        <f t="shared" si="44"/>
        <v>Minor</v>
      </c>
      <c r="AX206" s="1">
        <f t="shared" si="45"/>
        <v>0</v>
      </c>
      <c r="AY206" s="1" t="s">
        <v>29</v>
      </c>
      <c r="AZ206" s="1" t="b">
        <v>0</v>
      </c>
      <c r="BA206" s="1">
        <f t="shared" si="46"/>
        <v>1</v>
      </c>
      <c r="BB206" s="1">
        <f t="shared" si="47"/>
        <v>1</v>
      </c>
      <c r="BC206" s="1" t="s">
        <v>132</v>
      </c>
      <c r="BD206" s="1" t="s">
        <v>43</v>
      </c>
      <c r="BE206" s="1" t="s">
        <v>98</v>
      </c>
      <c r="BF206" s="1" t="b">
        <v>0</v>
      </c>
      <c r="BG206" s="1" t="str">
        <f>VLOOKUP(AM206,Group!$C:$H,5,0)</f>
        <v>Top 25</v>
      </c>
      <c r="BH206" s="1" t="str">
        <f>VLOOKUP(P206,others!$C:$G,5,0)</f>
        <v>MT - India</v>
      </c>
    </row>
    <row r="207" spans="1:60" x14ac:dyDescent="0.25">
      <c r="A207" s="14">
        <v>46099.699687499997</v>
      </c>
      <c r="B207" s="14">
        <v>46099.928854166668</v>
      </c>
      <c r="C207" s="14">
        <v>46105.135636574072</v>
      </c>
      <c r="D207" s="14">
        <v>46105.364803240744</v>
      </c>
      <c r="E207" s="14">
        <v>46105.014652777776</v>
      </c>
      <c r="F207" s="14">
        <v>46105.364803240744</v>
      </c>
      <c r="G207" t="s">
        <v>470</v>
      </c>
      <c r="H207">
        <v>169</v>
      </c>
      <c r="I207">
        <v>504.2167</v>
      </c>
      <c r="J207" t="s">
        <v>104</v>
      </c>
      <c r="K207">
        <v>12830390</v>
      </c>
      <c r="L207" t="s">
        <v>1248</v>
      </c>
      <c r="M207" t="s">
        <v>101</v>
      </c>
      <c r="N207" t="s">
        <v>88</v>
      </c>
      <c r="O207" t="s">
        <v>131</v>
      </c>
      <c r="P207" t="s">
        <v>132</v>
      </c>
      <c r="Q207" t="s">
        <v>1328</v>
      </c>
      <c r="R207" t="s">
        <v>25</v>
      </c>
      <c r="S207">
        <v>11.14</v>
      </c>
      <c r="T207">
        <v>100</v>
      </c>
      <c r="U207" t="s">
        <v>100</v>
      </c>
      <c r="V207">
        <v>1</v>
      </c>
      <c r="X207" t="s">
        <v>469</v>
      </c>
      <c r="AA207">
        <v>1440</v>
      </c>
      <c r="AB207" t="s">
        <v>26</v>
      </c>
      <c r="AC207">
        <v>218</v>
      </c>
      <c r="AD207" t="s">
        <v>27</v>
      </c>
      <c r="AE207" t="s">
        <v>28</v>
      </c>
      <c r="AF207">
        <v>0</v>
      </c>
      <c r="AK207" s="12">
        <f t="shared" si="36"/>
        <v>46105</v>
      </c>
      <c r="AL207" s="1" t="str">
        <f t="shared" si="37"/>
        <v>Week13</v>
      </c>
      <c r="AM207" s="1" t="s">
        <v>102</v>
      </c>
      <c r="AN207" s="1" t="str">
        <f t="shared" si="38"/>
        <v>Go</v>
      </c>
      <c r="AO207" s="2">
        <f t="shared" si="39"/>
        <v>100</v>
      </c>
      <c r="AP207" s="1">
        <f t="shared" si="40"/>
        <v>0</v>
      </c>
      <c r="AQ207" s="1">
        <f t="shared" si="41"/>
        <v>0</v>
      </c>
      <c r="AR207" s="1" t="s">
        <v>95</v>
      </c>
      <c r="AS207" s="1" t="s">
        <v>96</v>
      </c>
      <c r="AT207" s="1" t="s">
        <v>96</v>
      </c>
      <c r="AU207" s="1" t="str">
        <f t="shared" si="42"/>
        <v>Minor</v>
      </c>
      <c r="AV207" s="1" t="str">
        <f t="shared" si="43"/>
        <v>12830390Pratheep Kumar</v>
      </c>
      <c r="AW207" s="1" t="str">
        <f t="shared" si="44"/>
        <v>Minor</v>
      </c>
      <c r="AX207" s="1">
        <f t="shared" si="45"/>
        <v>0</v>
      </c>
      <c r="AY207" s="1" t="s">
        <v>29</v>
      </c>
      <c r="AZ207" s="1" t="b">
        <v>0</v>
      </c>
      <c r="BA207" s="1">
        <f t="shared" si="46"/>
        <v>1</v>
      </c>
      <c r="BB207" s="1">
        <f t="shared" si="47"/>
        <v>1</v>
      </c>
      <c r="BC207" s="1" t="s">
        <v>132</v>
      </c>
      <c r="BD207" s="1" t="s">
        <v>43</v>
      </c>
      <c r="BE207" s="1" t="s">
        <v>98</v>
      </c>
      <c r="BF207" s="1" t="b">
        <v>0</v>
      </c>
      <c r="BG207" s="1" t="str">
        <f>VLOOKUP(AM207,Group!$C:$H,5,0)</f>
        <v>Top 25</v>
      </c>
      <c r="BH207" s="1" t="str">
        <f>VLOOKUP(P207,others!$C:$G,5,0)</f>
        <v>MT - India</v>
      </c>
    </row>
    <row r="208" spans="1:60" x14ac:dyDescent="0.25">
      <c r="A208" s="14">
        <v>46099.483842592592</v>
      </c>
      <c r="B208" s="14">
        <v>46099.713009259256</v>
      </c>
      <c r="C208" s="14">
        <v>46105.139907407407</v>
      </c>
      <c r="D208" s="14">
        <v>46105.369074074071</v>
      </c>
      <c r="E208" s="14">
        <v>46103.410428240742</v>
      </c>
      <c r="F208" s="14">
        <v>46105.369074074071</v>
      </c>
      <c r="G208" t="s">
        <v>470</v>
      </c>
      <c r="H208">
        <v>350</v>
      </c>
      <c r="I208">
        <v>2820.45</v>
      </c>
      <c r="J208" t="s">
        <v>104</v>
      </c>
      <c r="K208">
        <v>12830205</v>
      </c>
      <c r="L208" t="s">
        <v>1355</v>
      </c>
      <c r="M208" t="s">
        <v>101</v>
      </c>
      <c r="N208" t="s">
        <v>88</v>
      </c>
      <c r="O208" t="s">
        <v>1351</v>
      </c>
      <c r="P208" t="s">
        <v>1096</v>
      </c>
      <c r="Q208" t="s">
        <v>24</v>
      </c>
      <c r="R208" t="s">
        <v>25</v>
      </c>
      <c r="S208">
        <v>44.2</v>
      </c>
      <c r="T208">
        <v>99</v>
      </c>
      <c r="U208" t="s">
        <v>471</v>
      </c>
      <c r="V208">
        <v>1</v>
      </c>
      <c r="X208" t="s">
        <v>469</v>
      </c>
      <c r="AA208">
        <v>1440</v>
      </c>
      <c r="AB208" t="s">
        <v>26</v>
      </c>
      <c r="AC208">
        <v>202</v>
      </c>
      <c r="AD208" t="s">
        <v>27</v>
      </c>
      <c r="AE208" t="s">
        <v>28</v>
      </c>
      <c r="AF208">
        <v>0</v>
      </c>
      <c r="AK208" s="12">
        <f t="shared" si="36"/>
        <v>46105</v>
      </c>
      <c r="AL208" s="1" t="str">
        <f t="shared" si="37"/>
        <v>Week13</v>
      </c>
      <c r="AM208" s="1" t="s">
        <v>102</v>
      </c>
      <c r="AN208" s="1" t="str">
        <f t="shared" si="38"/>
        <v>NoGo</v>
      </c>
      <c r="AO208" s="2">
        <f t="shared" si="39"/>
        <v>97.737556561085967</v>
      </c>
      <c r="AP208" s="1">
        <f t="shared" si="40"/>
        <v>1</v>
      </c>
      <c r="AQ208" s="1">
        <f t="shared" si="41"/>
        <v>1</v>
      </c>
      <c r="AR208" s="1" t="s">
        <v>95</v>
      </c>
      <c r="AS208" s="1" t="s">
        <v>93</v>
      </c>
      <c r="AT208" s="1" t="s">
        <v>93</v>
      </c>
      <c r="AU208" s="1" t="str">
        <f t="shared" si="42"/>
        <v>Major</v>
      </c>
      <c r="AV208" s="1" t="str">
        <f t="shared" si="43"/>
        <v>12830205Tejas Patel</v>
      </c>
      <c r="AW208" s="1" t="str">
        <f t="shared" si="44"/>
        <v>Major</v>
      </c>
      <c r="AX208" s="1">
        <f t="shared" si="45"/>
        <v>1</v>
      </c>
      <c r="AY208" s="1" t="s">
        <v>24</v>
      </c>
      <c r="AZ208" s="1" t="b">
        <v>1</v>
      </c>
      <c r="BA208" s="1">
        <f t="shared" si="46"/>
        <v>1</v>
      </c>
      <c r="BB208" s="1">
        <f t="shared" si="47"/>
        <v>1</v>
      </c>
      <c r="BC208" s="1" t="s">
        <v>1096</v>
      </c>
      <c r="BD208" s="1" t="s">
        <v>43</v>
      </c>
      <c r="BE208" s="1" t="s">
        <v>98</v>
      </c>
      <c r="BF208" s="1" t="b">
        <v>1</v>
      </c>
      <c r="BG208" s="1" t="str">
        <f>VLOOKUP(AM208,Group!$C:$H,5,0)</f>
        <v>Top 25</v>
      </c>
      <c r="BH208" s="1" t="str">
        <f>VLOOKUP(P208,others!$C:$G,5,0)</f>
        <v>QA</v>
      </c>
    </row>
    <row r="209" spans="1:60" x14ac:dyDescent="0.25">
      <c r="A209" s="14">
        <v>46099.483842592592</v>
      </c>
      <c r="B209" s="14">
        <v>46099.713009259256</v>
      </c>
      <c r="C209" s="14">
        <v>46105.139907407407</v>
      </c>
      <c r="D209" s="14">
        <v>46105.369074074071</v>
      </c>
      <c r="E209" s="14">
        <v>46103.410428240742</v>
      </c>
      <c r="F209" s="14">
        <v>46105.369074074071</v>
      </c>
      <c r="G209" t="s">
        <v>470</v>
      </c>
      <c r="H209">
        <v>350</v>
      </c>
      <c r="I209">
        <v>2820.45</v>
      </c>
      <c r="J209" t="s">
        <v>104</v>
      </c>
      <c r="K209">
        <v>12830205</v>
      </c>
      <c r="L209" t="s">
        <v>1355</v>
      </c>
      <c r="M209" t="s">
        <v>101</v>
      </c>
      <c r="N209" t="s">
        <v>88</v>
      </c>
      <c r="O209" t="s">
        <v>1351</v>
      </c>
      <c r="P209" t="s">
        <v>1096</v>
      </c>
      <c r="Q209" t="s">
        <v>24</v>
      </c>
      <c r="R209" t="s">
        <v>25</v>
      </c>
      <c r="S209">
        <v>44.2</v>
      </c>
      <c r="T209">
        <v>99</v>
      </c>
      <c r="U209" t="s">
        <v>100</v>
      </c>
      <c r="V209">
        <v>1</v>
      </c>
      <c r="X209" t="s">
        <v>469</v>
      </c>
      <c r="AA209">
        <v>1440</v>
      </c>
      <c r="AB209" t="s">
        <v>26</v>
      </c>
      <c r="AC209">
        <v>202</v>
      </c>
      <c r="AD209" t="s">
        <v>27</v>
      </c>
      <c r="AE209" t="s">
        <v>28</v>
      </c>
      <c r="AF209">
        <v>0</v>
      </c>
      <c r="AK209" s="12">
        <f t="shared" si="36"/>
        <v>46105</v>
      </c>
      <c r="AL209" s="1" t="str">
        <f t="shared" si="37"/>
        <v>Week13</v>
      </c>
      <c r="AM209" s="1" t="s">
        <v>102</v>
      </c>
      <c r="AN209" s="1" t="str">
        <f t="shared" si="38"/>
        <v>NoGo</v>
      </c>
      <c r="AO209" s="2">
        <f t="shared" si="39"/>
        <v>97.737556561085967</v>
      </c>
      <c r="AP209" s="1">
        <f t="shared" si="40"/>
        <v>0</v>
      </c>
      <c r="AQ209" s="1">
        <f t="shared" si="41"/>
        <v>1</v>
      </c>
      <c r="AR209" s="1" t="s">
        <v>95</v>
      </c>
      <c r="AS209" s="1" t="s">
        <v>93</v>
      </c>
      <c r="AT209" s="1" t="s">
        <v>93</v>
      </c>
      <c r="AU209" s="1" t="str">
        <f t="shared" si="42"/>
        <v>Minor</v>
      </c>
      <c r="AV209" s="1" t="str">
        <f t="shared" si="43"/>
        <v>12830205Tejas Patel</v>
      </c>
      <c r="AW209" s="1" t="str">
        <f t="shared" si="44"/>
        <v>Minor</v>
      </c>
      <c r="AX209" s="1">
        <f t="shared" si="45"/>
        <v>0</v>
      </c>
      <c r="AY209" s="1" t="s">
        <v>24</v>
      </c>
      <c r="AZ209" s="1" t="b">
        <v>0</v>
      </c>
      <c r="BA209" s="1">
        <f t="shared" si="46"/>
        <v>1</v>
      </c>
      <c r="BB209" s="1">
        <f t="shared" si="47"/>
        <v>1</v>
      </c>
      <c r="BC209" s="1" t="s">
        <v>1096</v>
      </c>
      <c r="BD209" s="1" t="s">
        <v>43</v>
      </c>
      <c r="BE209" s="1" t="s">
        <v>98</v>
      </c>
      <c r="BF209" s="1" t="b">
        <v>0</v>
      </c>
      <c r="BG209" s="1" t="str">
        <f>VLOOKUP(AM209,Group!$C:$H,5,0)</f>
        <v>Top 25</v>
      </c>
      <c r="BH209" s="1" t="str">
        <f>VLOOKUP(P209,others!$C:$G,5,0)</f>
        <v>QA</v>
      </c>
    </row>
    <row r="210" spans="1:60" x14ac:dyDescent="0.25">
      <c r="A210" s="14">
        <v>46097.766203703701</v>
      </c>
      <c r="B210" s="14">
        <v>46097.995370370372</v>
      </c>
      <c r="C210" s="14">
        <v>46105.193807870368</v>
      </c>
      <c r="D210" s="14">
        <v>46105.422974537039</v>
      </c>
      <c r="E210" s="14">
        <v>46101.333981481483</v>
      </c>
      <c r="F210" s="14">
        <v>46105.422974537039</v>
      </c>
      <c r="G210" t="s">
        <v>470</v>
      </c>
      <c r="H210">
        <v>1008</v>
      </c>
      <c r="I210">
        <v>5888.15</v>
      </c>
      <c r="J210" t="s">
        <v>104</v>
      </c>
      <c r="K210">
        <v>12829548</v>
      </c>
      <c r="L210" t="s">
        <v>1355</v>
      </c>
      <c r="M210" t="s">
        <v>101</v>
      </c>
      <c r="N210" t="s">
        <v>88</v>
      </c>
      <c r="O210" t="s">
        <v>456</v>
      </c>
      <c r="P210" t="s">
        <v>457</v>
      </c>
      <c r="Q210" t="s">
        <v>24</v>
      </c>
      <c r="R210" t="s">
        <v>1241</v>
      </c>
      <c r="S210">
        <v>55.85</v>
      </c>
      <c r="T210">
        <v>96</v>
      </c>
      <c r="U210" t="s">
        <v>1243</v>
      </c>
      <c r="V210">
        <v>1</v>
      </c>
      <c r="X210" t="s">
        <v>469</v>
      </c>
      <c r="AA210">
        <v>1440</v>
      </c>
      <c r="AB210" t="s">
        <v>26</v>
      </c>
      <c r="AC210">
        <v>206</v>
      </c>
      <c r="AD210" t="s">
        <v>27</v>
      </c>
      <c r="AE210" t="s">
        <v>28</v>
      </c>
      <c r="AF210">
        <v>1</v>
      </c>
      <c r="AK210" s="12">
        <f t="shared" si="36"/>
        <v>46105</v>
      </c>
      <c r="AL210" s="1" t="str">
        <f t="shared" si="37"/>
        <v>Week13</v>
      </c>
      <c r="AM210" s="1" t="s">
        <v>102</v>
      </c>
      <c r="AN210" s="1" t="str">
        <f t="shared" si="38"/>
        <v>NoGo</v>
      </c>
      <c r="AO210" s="2">
        <f t="shared" si="39"/>
        <v>92.837958818263203</v>
      </c>
      <c r="AP210" s="1">
        <f t="shared" si="40"/>
        <v>1</v>
      </c>
      <c r="AQ210" s="1">
        <f t="shared" si="41"/>
        <v>4</v>
      </c>
      <c r="AR210" s="1" t="s">
        <v>95</v>
      </c>
      <c r="AS210" s="1" t="s">
        <v>93</v>
      </c>
      <c r="AT210" s="1" t="s">
        <v>93</v>
      </c>
      <c r="AU210" s="1" t="str">
        <f t="shared" si="42"/>
        <v>Major</v>
      </c>
      <c r="AV210" s="1" t="str">
        <f t="shared" si="43"/>
        <v>12829548Shiny Iype</v>
      </c>
      <c r="AW210" s="1" t="str">
        <f t="shared" si="44"/>
        <v>Major</v>
      </c>
      <c r="AX210" s="1">
        <f t="shared" si="45"/>
        <v>1</v>
      </c>
      <c r="AY210" s="1" t="s">
        <v>24</v>
      </c>
      <c r="AZ210" s="1" t="b">
        <v>1</v>
      </c>
      <c r="BA210" s="1">
        <f t="shared" si="46"/>
        <v>1</v>
      </c>
      <c r="BB210" s="1">
        <f t="shared" si="47"/>
        <v>1</v>
      </c>
      <c r="BC210" s="1" t="s">
        <v>457</v>
      </c>
      <c r="BD210" s="1" t="s">
        <v>43</v>
      </c>
      <c r="BE210" s="1" t="s">
        <v>98</v>
      </c>
      <c r="BF210" s="1" t="b">
        <v>1</v>
      </c>
      <c r="BG210" s="1" t="str">
        <f>VLOOKUP(AM210,Group!$C:$H,5,0)</f>
        <v>Top 25</v>
      </c>
      <c r="BH210" s="1" t="str">
        <f>VLOOKUP(P210,others!$C:$G,5,0)</f>
        <v>MTX - India</v>
      </c>
    </row>
    <row r="211" spans="1:60" x14ac:dyDescent="0.25">
      <c r="A211" s="14">
        <v>46097.766203703701</v>
      </c>
      <c r="B211" s="14">
        <v>46097.995370370372</v>
      </c>
      <c r="C211" s="14">
        <v>46105.193807870368</v>
      </c>
      <c r="D211" s="14">
        <v>46105.422974537039</v>
      </c>
      <c r="E211" s="14">
        <v>46101.333981481483</v>
      </c>
      <c r="F211" s="14">
        <v>46105.422974537039</v>
      </c>
      <c r="G211" t="s">
        <v>470</v>
      </c>
      <c r="H211">
        <v>1008</v>
      </c>
      <c r="I211">
        <v>5888.15</v>
      </c>
      <c r="J211" t="s">
        <v>104</v>
      </c>
      <c r="K211">
        <v>12829548</v>
      </c>
      <c r="L211" t="s">
        <v>1355</v>
      </c>
      <c r="M211" t="s">
        <v>101</v>
      </c>
      <c r="N211" t="s">
        <v>88</v>
      </c>
      <c r="O211" t="s">
        <v>456</v>
      </c>
      <c r="P211" t="s">
        <v>457</v>
      </c>
      <c r="Q211" t="s">
        <v>24</v>
      </c>
      <c r="R211" t="s">
        <v>1241</v>
      </c>
      <c r="S211">
        <v>55.85</v>
      </c>
      <c r="T211">
        <v>96</v>
      </c>
      <c r="U211" t="s">
        <v>472</v>
      </c>
      <c r="V211">
        <v>3</v>
      </c>
      <c r="X211" t="s">
        <v>469</v>
      </c>
      <c r="AA211">
        <v>1440</v>
      </c>
      <c r="AB211" t="s">
        <v>26</v>
      </c>
      <c r="AC211">
        <v>206</v>
      </c>
      <c r="AD211" t="s">
        <v>27</v>
      </c>
      <c r="AE211" t="s">
        <v>28</v>
      </c>
      <c r="AF211">
        <v>1</v>
      </c>
      <c r="AK211" s="12">
        <f t="shared" si="36"/>
        <v>46105</v>
      </c>
      <c r="AL211" s="1" t="str">
        <f t="shared" si="37"/>
        <v>Week13</v>
      </c>
      <c r="AM211" s="1" t="s">
        <v>102</v>
      </c>
      <c r="AN211" s="1" t="str">
        <f t="shared" si="38"/>
        <v>NoGo</v>
      </c>
      <c r="AO211" s="2">
        <f t="shared" si="39"/>
        <v>92.837958818263203</v>
      </c>
      <c r="AP211" s="1">
        <f t="shared" si="40"/>
        <v>3</v>
      </c>
      <c r="AQ211" s="1">
        <f t="shared" si="41"/>
        <v>4</v>
      </c>
      <c r="AR211" s="1" t="s">
        <v>95</v>
      </c>
      <c r="AS211" s="1" t="s">
        <v>93</v>
      </c>
      <c r="AT211" s="1" t="s">
        <v>93</v>
      </c>
      <c r="AU211" s="1" t="str">
        <f t="shared" si="42"/>
        <v>Major</v>
      </c>
      <c r="AV211" s="1" t="str">
        <f t="shared" si="43"/>
        <v>12829548Shiny Iype</v>
      </c>
      <c r="AW211" s="1" t="str">
        <f t="shared" si="44"/>
        <v>Major</v>
      </c>
      <c r="AX211" s="1">
        <f t="shared" si="45"/>
        <v>1</v>
      </c>
      <c r="AY211" s="1" t="s">
        <v>24</v>
      </c>
      <c r="AZ211" s="1" t="b">
        <v>1</v>
      </c>
      <c r="BA211" s="1">
        <f t="shared" si="46"/>
        <v>1</v>
      </c>
      <c r="BB211" s="1">
        <f t="shared" si="47"/>
        <v>3</v>
      </c>
      <c r="BC211" s="1" t="s">
        <v>457</v>
      </c>
      <c r="BD211" s="1" t="s">
        <v>43</v>
      </c>
      <c r="BE211" s="1" t="s">
        <v>98</v>
      </c>
      <c r="BF211" s="1" t="b">
        <v>1</v>
      </c>
      <c r="BG211" s="1" t="str">
        <f>VLOOKUP(AM211,Group!$C:$H,5,0)</f>
        <v>Top 25</v>
      </c>
      <c r="BH211" s="1" t="str">
        <f>VLOOKUP(P211,others!$C:$G,5,0)</f>
        <v>MTX - India</v>
      </c>
    </row>
    <row r="212" spans="1:60" x14ac:dyDescent="0.25">
      <c r="A212" s="14">
        <v>46097.766203703701</v>
      </c>
      <c r="B212" s="14">
        <v>46097.995370370372</v>
      </c>
      <c r="C212" s="14">
        <v>46105.193807870368</v>
      </c>
      <c r="D212" s="14">
        <v>46105.422974537039</v>
      </c>
      <c r="E212" s="14">
        <v>46101.333981481483</v>
      </c>
      <c r="F212" s="14">
        <v>46105.422974537039</v>
      </c>
      <c r="G212" t="s">
        <v>470</v>
      </c>
      <c r="H212">
        <v>1008</v>
      </c>
      <c r="I212">
        <v>5888.15</v>
      </c>
      <c r="J212" t="s">
        <v>104</v>
      </c>
      <c r="K212">
        <v>12829548</v>
      </c>
      <c r="L212" t="s">
        <v>1355</v>
      </c>
      <c r="M212" t="s">
        <v>101</v>
      </c>
      <c r="N212" t="s">
        <v>88</v>
      </c>
      <c r="O212" t="s">
        <v>456</v>
      </c>
      <c r="P212" t="s">
        <v>457</v>
      </c>
      <c r="Q212" t="s">
        <v>24</v>
      </c>
      <c r="R212" t="s">
        <v>1241</v>
      </c>
      <c r="S212">
        <v>55.85</v>
      </c>
      <c r="T212">
        <v>96</v>
      </c>
      <c r="U212" t="s">
        <v>100</v>
      </c>
      <c r="V212">
        <v>2</v>
      </c>
      <c r="X212" t="s">
        <v>469</v>
      </c>
      <c r="AA212">
        <v>1440</v>
      </c>
      <c r="AB212" t="s">
        <v>26</v>
      </c>
      <c r="AC212">
        <v>206</v>
      </c>
      <c r="AD212" t="s">
        <v>27</v>
      </c>
      <c r="AE212" t="s">
        <v>28</v>
      </c>
      <c r="AF212">
        <v>1</v>
      </c>
      <c r="AK212" s="12">
        <f t="shared" si="36"/>
        <v>46105</v>
      </c>
      <c r="AL212" s="1" t="str">
        <f t="shared" si="37"/>
        <v>Week13</v>
      </c>
      <c r="AM212" s="1" t="s">
        <v>102</v>
      </c>
      <c r="AN212" s="1" t="str">
        <f t="shared" si="38"/>
        <v>NoGo</v>
      </c>
      <c r="AO212" s="2">
        <f t="shared" si="39"/>
        <v>92.837958818263203</v>
      </c>
      <c r="AP212" s="1">
        <f t="shared" si="40"/>
        <v>0</v>
      </c>
      <c r="AQ212" s="1">
        <f t="shared" si="41"/>
        <v>4</v>
      </c>
      <c r="AR212" s="1" t="s">
        <v>95</v>
      </c>
      <c r="AS212" s="1" t="s">
        <v>93</v>
      </c>
      <c r="AT212" s="1" t="s">
        <v>93</v>
      </c>
      <c r="AU212" s="1" t="str">
        <f t="shared" si="42"/>
        <v>Minor</v>
      </c>
      <c r="AV212" s="1" t="str">
        <f t="shared" si="43"/>
        <v>12829548Shiny Iype</v>
      </c>
      <c r="AW212" s="1" t="str">
        <f t="shared" si="44"/>
        <v>Minor</v>
      </c>
      <c r="AX212" s="1">
        <f t="shared" si="45"/>
        <v>0</v>
      </c>
      <c r="AY212" s="1" t="s">
        <v>24</v>
      </c>
      <c r="AZ212" s="1" t="b">
        <v>0</v>
      </c>
      <c r="BA212" s="1">
        <f t="shared" si="46"/>
        <v>1</v>
      </c>
      <c r="BB212" s="1">
        <f t="shared" si="47"/>
        <v>2</v>
      </c>
      <c r="BC212" s="1" t="s">
        <v>457</v>
      </c>
      <c r="BD212" s="1" t="s">
        <v>43</v>
      </c>
      <c r="BE212" s="1" t="s">
        <v>98</v>
      </c>
      <c r="BF212" s="1" t="b">
        <v>0</v>
      </c>
      <c r="BG212" s="1" t="str">
        <f>VLOOKUP(AM212,Group!$C:$H,5,0)</f>
        <v>Top 25</v>
      </c>
      <c r="BH212" s="1" t="str">
        <f>VLOOKUP(P212,others!$C:$G,5,0)</f>
        <v>MTX - India</v>
      </c>
    </row>
    <row r="213" spans="1:60" x14ac:dyDescent="0.25">
      <c r="A213" s="14">
        <v>46099.791041666664</v>
      </c>
      <c r="B213" s="14">
        <v>46100.020208333335</v>
      </c>
      <c r="C213" s="14">
        <v>46105.223530092589</v>
      </c>
      <c r="D213" s="14">
        <v>46105.452696759261</v>
      </c>
      <c r="E213" s="14">
        <v>46105.014861111114</v>
      </c>
      <c r="F213" s="14">
        <v>46105.452696759261</v>
      </c>
      <c r="G213" t="s">
        <v>470</v>
      </c>
      <c r="H213">
        <v>823</v>
      </c>
      <c r="I213">
        <v>630.48329999999999</v>
      </c>
      <c r="J213" t="s">
        <v>104</v>
      </c>
      <c r="K213">
        <v>12830459</v>
      </c>
      <c r="L213" t="s">
        <v>1260</v>
      </c>
      <c r="M213" t="s">
        <v>101</v>
      </c>
      <c r="N213" t="s">
        <v>88</v>
      </c>
      <c r="O213" t="s">
        <v>1351</v>
      </c>
      <c r="P213" t="s">
        <v>1096</v>
      </c>
      <c r="Q213" t="s">
        <v>24</v>
      </c>
      <c r="R213" t="s">
        <v>25</v>
      </c>
      <c r="S213">
        <v>42.05</v>
      </c>
      <c r="T213">
        <v>100</v>
      </c>
      <c r="V213">
        <v>0</v>
      </c>
      <c r="X213" t="s">
        <v>469</v>
      </c>
      <c r="AA213">
        <v>1440</v>
      </c>
      <c r="AB213" t="s">
        <v>26</v>
      </c>
      <c r="AC213">
        <v>306</v>
      </c>
      <c r="AD213" t="s">
        <v>27</v>
      </c>
      <c r="AE213" t="s">
        <v>28</v>
      </c>
      <c r="AF213">
        <v>0</v>
      </c>
      <c r="AK213" s="12">
        <f t="shared" si="36"/>
        <v>46105</v>
      </c>
      <c r="AL213" s="1" t="str">
        <f t="shared" si="37"/>
        <v>Week13</v>
      </c>
      <c r="AM213" s="1" t="s">
        <v>102</v>
      </c>
      <c r="AN213" s="1" t="str">
        <f t="shared" si="38"/>
        <v>Go</v>
      </c>
      <c r="AO213" s="2">
        <f t="shared" si="39"/>
        <v>100</v>
      </c>
      <c r="AP213" s="1">
        <f t="shared" si="40"/>
        <v>0</v>
      </c>
      <c r="AQ213" s="1">
        <f t="shared" si="41"/>
        <v>0</v>
      </c>
      <c r="AR213" s="1" t="s">
        <v>95</v>
      </c>
      <c r="AS213" s="1" t="s">
        <v>93</v>
      </c>
      <c r="AT213" s="1" t="s">
        <v>93</v>
      </c>
      <c r="AU213" s="1" t="str">
        <f t="shared" si="42"/>
        <v/>
      </c>
      <c r="AV213" s="1" t="str">
        <f t="shared" si="43"/>
        <v>12830459Tejas Patel</v>
      </c>
      <c r="AW213" s="1" t="str">
        <f t="shared" si="44"/>
        <v/>
      </c>
      <c r="AX213" s="1" t="str">
        <f t="shared" si="45"/>
        <v/>
      </c>
      <c r="AY213" s="1" t="s">
        <v>24</v>
      </c>
      <c r="AZ213" s="1" t="b">
        <v>0</v>
      </c>
      <c r="BA213" s="1" t="str">
        <f t="shared" si="46"/>
        <v/>
      </c>
      <c r="BB213" s="1">
        <f t="shared" si="47"/>
        <v>0</v>
      </c>
      <c r="BC213" s="1" t="s">
        <v>1096</v>
      </c>
      <c r="BD213" s="1" t="s">
        <v>43</v>
      </c>
      <c r="BE213" s="1" t="s">
        <v>98</v>
      </c>
      <c r="BF213" s="1" t="b">
        <v>0</v>
      </c>
      <c r="BG213" s="1" t="str">
        <f>VLOOKUP(AM213,Group!$C:$H,5,0)</f>
        <v>Top 25</v>
      </c>
      <c r="BH213" s="1" t="str">
        <f>VLOOKUP(P213,others!$C:$G,5,0)</f>
        <v>QA</v>
      </c>
    </row>
    <row r="214" spans="1:60" x14ac:dyDescent="0.25">
      <c r="A214" s="14">
        <v>46099.698946759258</v>
      </c>
      <c r="B214" s="14">
        <v>46099.928113425929</v>
      </c>
      <c r="C214" s="14">
        <v>46105.231840277775</v>
      </c>
      <c r="D214" s="14">
        <v>46105.461006944446</v>
      </c>
      <c r="E214" s="14">
        <v>46105.014525462961</v>
      </c>
      <c r="F214" s="14">
        <v>46105.461006944446</v>
      </c>
      <c r="G214" t="s">
        <v>470</v>
      </c>
      <c r="H214">
        <v>181</v>
      </c>
      <c r="I214">
        <v>642.93330000000003</v>
      </c>
      <c r="J214" t="s">
        <v>104</v>
      </c>
      <c r="K214">
        <v>12830380</v>
      </c>
      <c r="L214" t="s">
        <v>1248</v>
      </c>
      <c r="M214" t="s">
        <v>101</v>
      </c>
      <c r="N214" t="s">
        <v>88</v>
      </c>
      <c r="O214" t="s">
        <v>131</v>
      </c>
      <c r="P214" t="s">
        <v>132</v>
      </c>
      <c r="Q214" t="s">
        <v>1328</v>
      </c>
      <c r="R214" t="s">
        <v>25</v>
      </c>
      <c r="S214">
        <v>27.74</v>
      </c>
      <c r="T214">
        <v>100</v>
      </c>
      <c r="U214" t="s">
        <v>100</v>
      </c>
      <c r="V214">
        <v>3</v>
      </c>
      <c r="X214" t="s">
        <v>469</v>
      </c>
      <c r="AA214">
        <v>1440</v>
      </c>
      <c r="AB214" t="s">
        <v>26</v>
      </c>
      <c r="AC214">
        <v>120</v>
      </c>
      <c r="AD214" t="s">
        <v>27</v>
      </c>
      <c r="AE214" t="s">
        <v>28</v>
      </c>
      <c r="AF214">
        <v>0</v>
      </c>
      <c r="AK214" s="12">
        <f t="shared" si="36"/>
        <v>46105</v>
      </c>
      <c r="AL214" s="1" t="str">
        <f t="shared" si="37"/>
        <v>Week13</v>
      </c>
      <c r="AM214" s="1" t="s">
        <v>102</v>
      </c>
      <c r="AN214" s="1" t="str">
        <f t="shared" si="38"/>
        <v>Go</v>
      </c>
      <c r="AO214" s="2">
        <f t="shared" si="39"/>
        <v>100</v>
      </c>
      <c r="AP214" s="1">
        <f t="shared" si="40"/>
        <v>0</v>
      </c>
      <c r="AQ214" s="1">
        <f t="shared" si="41"/>
        <v>0</v>
      </c>
      <c r="AR214" s="1" t="s">
        <v>95</v>
      </c>
      <c r="AS214" s="1" t="s">
        <v>96</v>
      </c>
      <c r="AT214" s="1" t="s">
        <v>96</v>
      </c>
      <c r="AU214" s="1" t="str">
        <f t="shared" si="42"/>
        <v>Minor</v>
      </c>
      <c r="AV214" s="1" t="str">
        <f t="shared" si="43"/>
        <v>12830380Pratheep Kumar</v>
      </c>
      <c r="AW214" s="1" t="str">
        <f t="shared" si="44"/>
        <v>Minor</v>
      </c>
      <c r="AX214" s="1">
        <f t="shared" si="45"/>
        <v>0</v>
      </c>
      <c r="AY214" s="1" t="s">
        <v>29</v>
      </c>
      <c r="AZ214" s="1" t="b">
        <v>0</v>
      </c>
      <c r="BA214" s="1">
        <f t="shared" si="46"/>
        <v>1</v>
      </c>
      <c r="BB214" s="1">
        <f t="shared" si="47"/>
        <v>3</v>
      </c>
      <c r="BC214" s="1" t="s">
        <v>132</v>
      </c>
      <c r="BD214" s="1" t="s">
        <v>43</v>
      </c>
      <c r="BE214" s="1" t="s">
        <v>98</v>
      </c>
      <c r="BF214" s="1" t="b">
        <v>0</v>
      </c>
      <c r="BG214" s="1" t="str">
        <f>VLOOKUP(AM214,Group!$C:$H,5,0)</f>
        <v>Top 25</v>
      </c>
      <c r="BH214" s="1" t="str">
        <f>VLOOKUP(P214,others!$C:$G,5,0)</f>
        <v>MT - India</v>
      </c>
    </row>
    <row r="215" spans="1:60" x14ac:dyDescent="0.25">
      <c r="A215" s="14">
        <v>46100.404803240737</v>
      </c>
      <c r="B215" s="14">
        <v>46100.633969907409</v>
      </c>
      <c r="C215" s="14">
        <v>46105.239224537036</v>
      </c>
      <c r="D215" s="14">
        <v>46105.468391203707</v>
      </c>
      <c r="E215" s="14">
        <v>46105.014999999999</v>
      </c>
      <c r="F215" s="14">
        <v>46105.468391203707</v>
      </c>
      <c r="G215" t="s">
        <v>470</v>
      </c>
      <c r="H215">
        <v>235</v>
      </c>
      <c r="I215">
        <v>652.88329999999996</v>
      </c>
      <c r="J215" t="s">
        <v>104</v>
      </c>
      <c r="K215">
        <v>12830621</v>
      </c>
      <c r="L215" t="s">
        <v>1281</v>
      </c>
      <c r="M215" t="s">
        <v>115</v>
      </c>
      <c r="N215" t="s">
        <v>88</v>
      </c>
      <c r="O215" t="s">
        <v>1350</v>
      </c>
      <c r="P215" t="s">
        <v>480</v>
      </c>
      <c r="Q215" t="s">
        <v>29</v>
      </c>
      <c r="R215" t="s">
        <v>25</v>
      </c>
      <c r="S215">
        <v>17.54</v>
      </c>
      <c r="T215">
        <v>100</v>
      </c>
      <c r="U215" t="s">
        <v>100</v>
      </c>
      <c r="V215">
        <v>1</v>
      </c>
      <c r="X215" t="s">
        <v>1271</v>
      </c>
      <c r="AA215">
        <v>1440</v>
      </c>
      <c r="AB215" t="s">
        <v>26</v>
      </c>
      <c r="AC215">
        <v>98</v>
      </c>
      <c r="AD215" t="s">
        <v>27</v>
      </c>
      <c r="AE215" t="s">
        <v>28</v>
      </c>
      <c r="AF215">
        <v>0</v>
      </c>
      <c r="AK215" s="12">
        <f t="shared" si="36"/>
        <v>46105</v>
      </c>
      <c r="AL215" s="1" t="str">
        <f t="shared" si="37"/>
        <v>Week13</v>
      </c>
      <c r="AM215" s="1" t="s">
        <v>118</v>
      </c>
      <c r="AN215" s="1" t="str">
        <f t="shared" si="38"/>
        <v>Go</v>
      </c>
      <c r="AO215" s="2">
        <f t="shared" si="39"/>
        <v>100</v>
      </c>
      <c r="AP215" s="1">
        <f t="shared" si="40"/>
        <v>0</v>
      </c>
      <c r="AQ215" s="1">
        <f t="shared" si="41"/>
        <v>0</v>
      </c>
      <c r="AR215" s="1" t="s">
        <v>96</v>
      </c>
      <c r="AS215" s="1" t="s">
        <v>96</v>
      </c>
      <c r="AT215" s="1" t="s">
        <v>96</v>
      </c>
      <c r="AU215" s="1" t="str">
        <f t="shared" si="42"/>
        <v>Minor</v>
      </c>
      <c r="AV215" s="1" t="str">
        <f t="shared" si="43"/>
        <v>12830621Savitha Arun</v>
      </c>
      <c r="AW215" s="1" t="str">
        <f t="shared" si="44"/>
        <v>Minor</v>
      </c>
      <c r="AX215" s="1">
        <f t="shared" si="45"/>
        <v>0</v>
      </c>
      <c r="AY215" s="1" t="s">
        <v>29</v>
      </c>
      <c r="AZ215" s="1" t="b">
        <v>0</v>
      </c>
      <c r="BA215" s="1">
        <f t="shared" si="46"/>
        <v>1</v>
      </c>
      <c r="BB215" s="1">
        <f t="shared" si="47"/>
        <v>1</v>
      </c>
      <c r="BC215" s="1" t="s">
        <v>99</v>
      </c>
      <c r="BD215" s="1" t="s">
        <v>1269</v>
      </c>
      <c r="BE215" s="1" t="s">
        <v>1262</v>
      </c>
      <c r="BF215" s="1" t="b">
        <v>0</v>
      </c>
      <c r="BG215" s="1" t="str">
        <f>VLOOKUP(AM215,Group!$C:$H,5,0)</f>
        <v>Top 25</v>
      </c>
      <c r="BH215" s="1" t="str">
        <f>VLOOKUP(P215,others!$C:$G,5,0)</f>
        <v>QA - India</v>
      </c>
    </row>
    <row r="216" spans="1:60" x14ac:dyDescent="0.25">
      <c r="A216" s="14">
        <v>46099.790439814817</v>
      </c>
      <c r="B216" s="14">
        <v>46100.019606481481</v>
      </c>
      <c r="C216" s="14">
        <v>46105.374131944445</v>
      </c>
      <c r="D216" s="14">
        <v>46105.603298611109</v>
      </c>
      <c r="E216" s="14">
        <v>46105.014803240738</v>
      </c>
      <c r="F216" s="14">
        <v>46105.603298611109</v>
      </c>
      <c r="G216" t="s">
        <v>470</v>
      </c>
      <c r="H216">
        <v>347</v>
      </c>
      <c r="I216">
        <v>847.43330000000003</v>
      </c>
      <c r="J216" t="s">
        <v>104</v>
      </c>
      <c r="K216">
        <v>12830460</v>
      </c>
      <c r="L216" t="s">
        <v>1260</v>
      </c>
      <c r="M216" t="s">
        <v>101</v>
      </c>
      <c r="N216" t="s">
        <v>88</v>
      </c>
      <c r="O216" t="s">
        <v>1351</v>
      </c>
      <c r="P216" t="s">
        <v>1096</v>
      </c>
      <c r="Q216" t="s">
        <v>24</v>
      </c>
      <c r="R216" t="s">
        <v>25</v>
      </c>
      <c r="S216">
        <v>39.08</v>
      </c>
      <c r="T216">
        <v>100</v>
      </c>
      <c r="V216">
        <v>0</v>
      </c>
      <c r="X216" t="s">
        <v>469</v>
      </c>
      <c r="AA216">
        <v>1440</v>
      </c>
      <c r="AB216" t="s">
        <v>26</v>
      </c>
      <c r="AC216">
        <v>219</v>
      </c>
      <c r="AD216" t="s">
        <v>27</v>
      </c>
      <c r="AE216" t="s">
        <v>28</v>
      </c>
      <c r="AF216">
        <v>0</v>
      </c>
      <c r="AK216" s="12">
        <f t="shared" si="36"/>
        <v>46105</v>
      </c>
      <c r="AL216" s="1" t="str">
        <f t="shared" si="37"/>
        <v>Week13</v>
      </c>
      <c r="AM216" s="1" t="s">
        <v>102</v>
      </c>
      <c r="AN216" s="1" t="str">
        <f t="shared" si="38"/>
        <v>Go</v>
      </c>
      <c r="AO216" s="2">
        <f t="shared" si="39"/>
        <v>100</v>
      </c>
      <c r="AP216" s="1">
        <f t="shared" si="40"/>
        <v>0</v>
      </c>
      <c r="AQ216" s="1">
        <f t="shared" si="41"/>
        <v>0</v>
      </c>
      <c r="AR216" s="1" t="s">
        <v>95</v>
      </c>
      <c r="AS216" s="1" t="s">
        <v>93</v>
      </c>
      <c r="AT216" s="1" t="s">
        <v>93</v>
      </c>
      <c r="AU216" s="1" t="str">
        <f t="shared" si="42"/>
        <v/>
      </c>
      <c r="AV216" s="1" t="str">
        <f t="shared" si="43"/>
        <v>12830460Tejas Patel</v>
      </c>
      <c r="AW216" s="1" t="str">
        <f t="shared" si="44"/>
        <v/>
      </c>
      <c r="AX216" s="1" t="str">
        <f t="shared" si="45"/>
        <v/>
      </c>
      <c r="AY216" s="1" t="s">
        <v>24</v>
      </c>
      <c r="AZ216" s="1" t="b">
        <v>0</v>
      </c>
      <c r="BA216" s="1" t="str">
        <f t="shared" si="46"/>
        <v/>
      </c>
      <c r="BB216" s="1">
        <f t="shared" si="47"/>
        <v>0</v>
      </c>
      <c r="BC216" s="1" t="s">
        <v>1096</v>
      </c>
      <c r="BD216" s="1" t="s">
        <v>43</v>
      </c>
      <c r="BE216" s="1" t="s">
        <v>98</v>
      </c>
      <c r="BF216" s="1" t="b">
        <v>0</v>
      </c>
      <c r="BG216" s="1" t="str">
        <f>VLOOKUP(AM216,Group!$C:$H,5,0)</f>
        <v>Top 25</v>
      </c>
      <c r="BH216" s="1" t="str">
        <f>VLOOKUP(P216,others!$C:$G,5,0)</f>
        <v>QA</v>
      </c>
    </row>
    <row r="217" spans="1:60" x14ac:dyDescent="0.25">
      <c r="A217" s="14">
        <v>46097.70579861111</v>
      </c>
      <c r="B217" s="14">
        <v>46097.934965277775</v>
      </c>
      <c r="C217" s="14">
        <v>46105.74628472222</v>
      </c>
      <c r="D217" s="14">
        <v>46105.975451388891</v>
      </c>
      <c r="E217" s="14">
        <v>46103.406423611108</v>
      </c>
      <c r="F217" s="14">
        <v>46105.975451388891</v>
      </c>
      <c r="G217" t="s">
        <v>470</v>
      </c>
      <c r="H217">
        <v>2484</v>
      </c>
      <c r="I217">
        <v>3699.4</v>
      </c>
      <c r="J217" t="s">
        <v>104</v>
      </c>
      <c r="K217">
        <v>12829479</v>
      </c>
      <c r="L217" t="s">
        <v>1272</v>
      </c>
      <c r="M217" t="s">
        <v>101</v>
      </c>
      <c r="N217" t="s">
        <v>88</v>
      </c>
      <c r="O217" t="s">
        <v>456</v>
      </c>
      <c r="P217" t="s">
        <v>457</v>
      </c>
      <c r="Q217" t="s">
        <v>24</v>
      </c>
      <c r="R217" t="s">
        <v>25</v>
      </c>
      <c r="S217">
        <v>52.02</v>
      </c>
      <c r="T217">
        <v>100</v>
      </c>
      <c r="U217" t="s">
        <v>100</v>
      </c>
      <c r="V217">
        <v>5</v>
      </c>
      <c r="X217" t="s">
        <v>469</v>
      </c>
      <c r="AA217">
        <v>1440</v>
      </c>
      <c r="AB217" t="s">
        <v>26</v>
      </c>
      <c r="AC217">
        <v>205</v>
      </c>
      <c r="AD217" t="s">
        <v>27</v>
      </c>
      <c r="AE217" t="s">
        <v>28</v>
      </c>
      <c r="AF217">
        <v>0</v>
      </c>
      <c r="AK217" s="12">
        <f t="shared" si="36"/>
        <v>46105</v>
      </c>
      <c r="AL217" s="1" t="str">
        <f t="shared" si="37"/>
        <v>Week13</v>
      </c>
      <c r="AM217" s="1" t="s">
        <v>102</v>
      </c>
      <c r="AN217" s="1" t="str">
        <f t="shared" si="38"/>
        <v>Go</v>
      </c>
      <c r="AO217" s="2">
        <f t="shared" si="39"/>
        <v>100</v>
      </c>
      <c r="AP217" s="1">
        <f t="shared" si="40"/>
        <v>0</v>
      </c>
      <c r="AQ217" s="1">
        <f t="shared" si="41"/>
        <v>0</v>
      </c>
      <c r="AR217" s="1" t="s">
        <v>95</v>
      </c>
      <c r="AS217" s="1" t="s">
        <v>93</v>
      </c>
      <c r="AT217" s="1" t="s">
        <v>93</v>
      </c>
      <c r="AU217" s="1" t="str">
        <f t="shared" si="42"/>
        <v>Minor</v>
      </c>
      <c r="AV217" s="1" t="str">
        <f t="shared" si="43"/>
        <v>12829479Shiny Iype</v>
      </c>
      <c r="AW217" s="1" t="str">
        <f t="shared" si="44"/>
        <v>Minor</v>
      </c>
      <c r="AX217" s="1">
        <f t="shared" si="45"/>
        <v>0</v>
      </c>
      <c r="AY217" s="1" t="s">
        <v>24</v>
      </c>
      <c r="AZ217" s="1" t="b">
        <v>0</v>
      </c>
      <c r="BA217" s="1">
        <f t="shared" si="46"/>
        <v>1</v>
      </c>
      <c r="BB217" s="1">
        <f t="shared" si="47"/>
        <v>5</v>
      </c>
      <c r="BC217" s="1" t="s">
        <v>457</v>
      </c>
      <c r="BD217" s="1" t="s">
        <v>43</v>
      </c>
      <c r="BE217" s="1" t="s">
        <v>98</v>
      </c>
      <c r="BF217" s="1" t="b">
        <v>0</v>
      </c>
      <c r="BG217" s="1" t="str">
        <f>VLOOKUP(AM217,Group!$C:$H,5,0)</f>
        <v>Top 25</v>
      </c>
      <c r="BH217" s="1" t="str">
        <f>VLOOKUP(P217,others!$C:$G,5,0)</f>
        <v>MTX - India</v>
      </c>
    </row>
    <row r="218" spans="1:60" x14ac:dyDescent="0.25">
      <c r="A218" s="14">
        <v>46100.728703703702</v>
      </c>
      <c r="B218" s="14">
        <v>46100.957870370374</v>
      </c>
      <c r="C218" s="14">
        <v>46105.752465277779</v>
      </c>
      <c r="D218" s="14">
        <v>46105.981631944444</v>
      </c>
      <c r="E218" s="14">
        <v>46105.015405092592</v>
      </c>
      <c r="F218" s="14">
        <v>46105.981631944444</v>
      </c>
      <c r="G218" t="s">
        <v>470</v>
      </c>
      <c r="H218">
        <v>1554</v>
      </c>
      <c r="I218">
        <v>1391.3667</v>
      </c>
      <c r="J218" t="s">
        <v>104</v>
      </c>
      <c r="K218">
        <v>12830872</v>
      </c>
      <c r="L218" t="s">
        <v>1272</v>
      </c>
      <c r="M218" t="s">
        <v>101</v>
      </c>
      <c r="N218" t="s">
        <v>88</v>
      </c>
      <c r="O218" t="s">
        <v>131</v>
      </c>
      <c r="P218" t="s">
        <v>132</v>
      </c>
      <c r="Q218" t="s">
        <v>1328</v>
      </c>
      <c r="R218" t="s">
        <v>1241</v>
      </c>
      <c r="S218">
        <v>77.72</v>
      </c>
      <c r="T218">
        <v>98</v>
      </c>
      <c r="U218" t="s">
        <v>471</v>
      </c>
      <c r="V218">
        <v>1</v>
      </c>
      <c r="X218" t="s">
        <v>469</v>
      </c>
      <c r="AA218">
        <v>1440</v>
      </c>
      <c r="AB218" t="s">
        <v>26</v>
      </c>
      <c r="AC218">
        <v>316</v>
      </c>
      <c r="AD218" t="s">
        <v>27</v>
      </c>
      <c r="AE218" t="s">
        <v>28</v>
      </c>
      <c r="AF218">
        <v>0</v>
      </c>
      <c r="AK218" s="12">
        <f t="shared" si="36"/>
        <v>46105</v>
      </c>
      <c r="AL218" s="1" t="str">
        <f t="shared" si="37"/>
        <v>Week13</v>
      </c>
      <c r="AM218" s="1" t="s">
        <v>102</v>
      </c>
      <c r="AN218" s="1" t="str">
        <f t="shared" si="38"/>
        <v>NoGo</v>
      </c>
      <c r="AO218" s="2">
        <f t="shared" si="39"/>
        <v>97.426659804426151</v>
      </c>
      <c r="AP218" s="1">
        <f t="shared" si="40"/>
        <v>1</v>
      </c>
      <c r="AQ218" s="1">
        <f t="shared" si="41"/>
        <v>2</v>
      </c>
      <c r="AR218" s="1" t="s">
        <v>95</v>
      </c>
      <c r="AS218" s="1" t="s">
        <v>96</v>
      </c>
      <c r="AT218" s="1" t="s">
        <v>96</v>
      </c>
      <c r="AU218" s="1" t="str">
        <f t="shared" si="42"/>
        <v>Major</v>
      </c>
      <c r="AV218" s="1" t="str">
        <f t="shared" si="43"/>
        <v>12830872Pratheep Kumar</v>
      </c>
      <c r="AW218" s="1" t="str">
        <f t="shared" si="44"/>
        <v>Major</v>
      </c>
      <c r="AX218" s="1">
        <f t="shared" si="45"/>
        <v>1</v>
      </c>
      <c r="AY218" s="1" t="s">
        <v>29</v>
      </c>
      <c r="AZ218" s="1" t="b">
        <v>1</v>
      </c>
      <c r="BA218" s="1">
        <f t="shared" si="46"/>
        <v>1</v>
      </c>
      <c r="BB218" s="1">
        <f t="shared" si="47"/>
        <v>1</v>
      </c>
      <c r="BC218" s="1" t="s">
        <v>132</v>
      </c>
      <c r="BD218" s="1" t="s">
        <v>43</v>
      </c>
      <c r="BE218" s="1" t="s">
        <v>98</v>
      </c>
      <c r="BF218" s="1" t="b">
        <v>1</v>
      </c>
      <c r="BG218" s="1" t="str">
        <f>VLOOKUP(AM218,Group!$C:$H,5,0)</f>
        <v>Top 25</v>
      </c>
      <c r="BH218" s="1" t="str">
        <f>VLOOKUP(P218,others!$C:$G,5,0)</f>
        <v>MT - India</v>
      </c>
    </row>
    <row r="219" spans="1:60" x14ac:dyDescent="0.25">
      <c r="A219" s="14">
        <v>46100.728703703702</v>
      </c>
      <c r="B219" s="14">
        <v>46100.957870370374</v>
      </c>
      <c r="C219" s="14">
        <v>46105.752465277779</v>
      </c>
      <c r="D219" s="14">
        <v>46105.981631944444</v>
      </c>
      <c r="E219" s="14">
        <v>46105.015405092592</v>
      </c>
      <c r="F219" s="14">
        <v>46105.981631944444</v>
      </c>
      <c r="G219" t="s">
        <v>470</v>
      </c>
      <c r="H219">
        <v>1554</v>
      </c>
      <c r="I219">
        <v>1391.3667</v>
      </c>
      <c r="J219" t="s">
        <v>104</v>
      </c>
      <c r="K219">
        <v>12830872</v>
      </c>
      <c r="L219" t="s">
        <v>1272</v>
      </c>
      <c r="M219" t="s">
        <v>101</v>
      </c>
      <c r="N219" t="s">
        <v>88</v>
      </c>
      <c r="O219" t="s">
        <v>131</v>
      </c>
      <c r="P219" t="s">
        <v>132</v>
      </c>
      <c r="Q219" t="s">
        <v>1328</v>
      </c>
      <c r="R219" t="s">
        <v>1241</v>
      </c>
      <c r="S219">
        <v>77.72</v>
      </c>
      <c r="T219">
        <v>98</v>
      </c>
      <c r="U219" t="s">
        <v>1243</v>
      </c>
      <c r="V219">
        <v>1</v>
      </c>
      <c r="X219" t="s">
        <v>469</v>
      </c>
      <c r="AA219">
        <v>1440</v>
      </c>
      <c r="AB219" t="s">
        <v>26</v>
      </c>
      <c r="AC219">
        <v>316</v>
      </c>
      <c r="AD219" t="s">
        <v>27</v>
      </c>
      <c r="AE219" t="s">
        <v>28</v>
      </c>
      <c r="AF219">
        <v>0</v>
      </c>
      <c r="AK219" s="12">
        <f t="shared" si="36"/>
        <v>46105</v>
      </c>
      <c r="AL219" s="1" t="str">
        <f t="shared" si="37"/>
        <v>Week13</v>
      </c>
      <c r="AM219" s="1" t="s">
        <v>102</v>
      </c>
      <c r="AN219" s="1" t="str">
        <f t="shared" si="38"/>
        <v>NoGo</v>
      </c>
      <c r="AO219" s="2">
        <f t="shared" si="39"/>
        <v>97.426659804426151</v>
      </c>
      <c r="AP219" s="1">
        <f t="shared" si="40"/>
        <v>1</v>
      </c>
      <c r="AQ219" s="1">
        <f t="shared" si="41"/>
        <v>2</v>
      </c>
      <c r="AR219" s="1" t="s">
        <v>95</v>
      </c>
      <c r="AS219" s="1" t="s">
        <v>96</v>
      </c>
      <c r="AT219" s="1" t="s">
        <v>96</v>
      </c>
      <c r="AU219" s="1" t="str">
        <f t="shared" si="42"/>
        <v>Major</v>
      </c>
      <c r="AV219" s="1" t="str">
        <f t="shared" si="43"/>
        <v>12830872Pratheep Kumar</v>
      </c>
      <c r="AW219" s="1" t="str">
        <f t="shared" si="44"/>
        <v>Major</v>
      </c>
      <c r="AX219" s="1">
        <f t="shared" si="45"/>
        <v>1</v>
      </c>
      <c r="AY219" s="1" t="s">
        <v>29</v>
      </c>
      <c r="AZ219" s="1" t="b">
        <v>1</v>
      </c>
      <c r="BA219" s="1">
        <f t="shared" si="46"/>
        <v>1</v>
      </c>
      <c r="BB219" s="1">
        <f t="shared" si="47"/>
        <v>1</v>
      </c>
      <c r="BC219" s="1" t="s">
        <v>132</v>
      </c>
      <c r="BD219" s="1" t="s">
        <v>43</v>
      </c>
      <c r="BE219" s="1" t="s">
        <v>98</v>
      </c>
      <c r="BF219" s="1" t="b">
        <v>1</v>
      </c>
      <c r="BG219" s="1" t="str">
        <f>VLOOKUP(AM219,Group!$C:$H,5,0)</f>
        <v>Top 25</v>
      </c>
      <c r="BH219" s="1" t="str">
        <f>VLOOKUP(P219,others!$C:$G,5,0)</f>
        <v>MT - India</v>
      </c>
    </row>
    <row r="220" spans="1:60" x14ac:dyDescent="0.25">
      <c r="A220" s="14">
        <v>46100.728703703702</v>
      </c>
      <c r="B220" s="14">
        <v>46100.957870370374</v>
      </c>
      <c r="C220" s="14">
        <v>46105.752465277779</v>
      </c>
      <c r="D220" s="14">
        <v>46105.981631944444</v>
      </c>
      <c r="E220" s="14">
        <v>46105.015405092592</v>
      </c>
      <c r="F220" s="14">
        <v>46105.981631944444</v>
      </c>
      <c r="G220" t="s">
        <v>470</v>
      </c>
      <c r="H220">
        <v>1554</v>
      </c>
      <c r="I220">
        <v>1391.3667</v>
      </c>
      <c r="J220" t="s">
        <v>104</v>
      </c>
      <c r="K220">
        <v>12830872</v>
      </c>
      <c r="L220" t="s">
        <v>1272</v>
      </c>
      <c r="M220" t="s">
        <v>101</v>
      </c>
      <c r="N220" t="s">
        <v>88</v>
      </c>
      <c r="O220" t="s">
        <v>131</v>
      </c>
      <c r="P220" t="s">
        <v>132</v>
      </c>
      <c r="Q220" t="s">
        <v>1328</v>
      </c>
      <c r="R220" t="s">
        <v>1241</v>
      </c>
      <c r="S220">
        <v>77.72</v>
      </c>
      <c r="T220">
        <v>98</v>
      </c>
      <c r="U220" t="s">
        <v>100</v>
      </c>
      <c r="V220">
        <v>3</v>
      </c>
      <c r="X220" t="s">
        <v>469</v>
      </c>
      <c r="AA220">
        <v>1440</v>
      </c>
      <c r="AB220" t="s">
        <v>26</v>
      </c>
      <c r="AC220">
        <v>316</v>
      </c>
      <c r="AD220" t="s">
        <v>27</v>
      </c>
      <c r="AE220" t="s">
        <v>28</v>
      </c>
      <c r="AF220">
        <v>0</v>
      </c>
      <c r="AK220" s="12">
        <f t="shared" si="36"/>
        <v>46105</v>
      </c>
      <c r="AL220" s="1" t="str">
        <f t="shared" si="37"/>
        <v>Week13</v>
      </c>
      <c r="AM220" s="1" t="s">
        <v>102</v>
      </c>
      <c r="AN220" s="1" t="str">
        <f t="shared" si="38"/>
        <v>NoGo</v>
      </c>
      <c r="AO220" s="2">
        <f t="shared" si="39"/>
        <v>97.426659804426151</v>
      </c>
      <c r="AP220" s="1">
        <f t="shared" si="40"/>
        <v>0</v>
      </c>
      <c r="AQ220" s="1">
        <f t="shared" si="41"/>
        <v>2</v>
      </c>
      <c r="AR220" s="1" t="s">
        <v>95</v>
      </c>
      <c r="AS220" s="1" t="s">
        <v>96</v>
      </c>
      <c r="AT220" s="1" t="s">
        <v>96</v>
      </c>
      <c r="AU220" s="1" t="str">
        <f t="shared" si="42"/>
        <v>Minor</v>
      </c>
      <c r="AV220" s="1" t="str">
        <f t="shared" si="43"/>
        <v>12830872Pratheep Kumar</v>
      </c>
      <c r="AW220" s="1" t="str">
        <f t="shared" si="44"/>
        <v>Minor</v>
      </c>
      <c r="AX220" s="1">
        <f t="shared" si="45"/>
        <v>0</v>
      </c>
      <c r="AY220" s="1" t="s">
        <v>29</v>
      </c>
      <c r="AZ220" s="1" t="b">
        <v>0</v>
      </c>
      <c r="BA220" s="1">
        <f t="shared" si="46"/>
        <v>1</v>
      </c>
      <c r="BB220" s="1">
        <f t="shared" si="47"/>
        <v>3</v>
      </c>
      <c r="BC220" s="1" t="s">
        <v>132</v>
      </c>
      <c r="BD220" s="1" t="s">
        <v>43</v>
      </c>
      <c r="BE220" s="1" t="s">
        <v>98</v>
      </c>
      <c r="BF220" s="1" t="b">
        <v>0</v>
      </c>
      <c r="BG220" s="1" t="str">
        <f>VLOOKUP(AM220,Group!$C:$H,5,0)</f>
        <v>Top 25</v>
      </c>
      <c r="BH220" s="1" t="str">
        <f>VLOOKUP(P220,others!$C:$G,5,0)</f>
        <v>MT - India</v>
      </c>
    </row>
    <row r="221" spans="1:60" x14ac:dyDescent="0.25">
      <c r="A221" s="14">
        <v>46097.766689814816</v>
      </c>
      <c r="B221" s="14">
        <v>46097.995856481481</v>
      </c>
      <c r="C221" s="14">
        <v>46105.757395833331</v>
      </c>
      <c r="D221" s="14">
        <v>46105.986562500002</v>
      </c>
      <c r="E221" s="14">
        <v>46103.409594907411</v>
      </c>
      <c r="F221" s="14">
        <v>46105.986562500002</v>
      </c>
      <c r="G221" t="s">
        <v>470</v>
      </c>
      <c r="H221">
        <v>402</v>
      </c>
      <c r="I221">
        <v>3710.8332999999998</v>
      </c>
      <c r="J221" t="s">
        <v>104</v>
      </c>
      <c r="K221">
        <v>12829557</v>
      </c>
      <c r="L221" t="s">
        <v>1355</v>
      </c>
      <c r="M221" t="s">
        <v>101</v>
      </c>
      <c r="N221" t="s">
        <v>88</v>
      </c>
      <c r="O221" t="s">
        <v>456</v>
      </c>
      <c r="P221" t="s">
        <v>457</v>
      </c>
      <c r="Q221" t="s">
        <v>24</v>
      </c>
      <c r="R221" t="s">
        <v>25</v>
      </c>
      <c r="S221">
        <v>38.630000000000003</v>
      </c>
      <c r="T221">
        <v>99</v>
      </c>
      <c r="U221" t="s">
        <v>1243</v>
      </c>
      <c r="V221">
        <v>1</v>
      </c>
      <c r="X221" t="s">
        <v>469</v>
      </c>
      <c r="AA221">
        <v>1440</v>
      </c>
      <c r="AB221" t="s">
        <v>26</v>
      </c>
      <c r="AC221">
        <v>183</v>
      </c>
      <c r="AD221" t="s">
        <v>27</v>
      </c>
      <c r="AE221" t="s">
        <v>28</v>
      </c>
      <c r="AF221">
        <v>0</v>
      </c>
      <c r="AK221" s="12">
        <f t="shared" si="36"/>
        <v>46105</v>
      </c>
      <c r="AL221" s="1" t="str">
        <f t="shared" si="37"/>
        <v>Week13</v>
      </c>
      <c r="AM221" s="1" t="s">
        <v>102</v>
      </c>
      <c r="AN221" s="1" t="str">
        <f t="shared" si="38"/>
        <v>NoGo</v>
      </c>
      <c r="AO221" s="2">
        <f t="shared" si="39"/>
        <v>97.411338338079219</v>
      </c>
      <c r="AP221" s="1">
        <f t="shared" si="40"/>
        <v>1</v>
      </c>
      <c r="AQ221" s="1">
        <f t="shared" si="41"/>
        <v>1</v>
      </c>
      <c r="AR221" s="1" t="s">
        <v>95</v>
      </c>
      <c r="AS221" s="1" t="s">
        <v>93</v>
      </c>
      <c r="AT221" s="1" t="s">
        <v>93</v>
      </c>
      <c r="AU221" s="1" t="str">
        <f t="shared" si="42"/>
        <v>Major</v>
      </c>
      <c r="AV221" s="1" t="str">
        <f t="shared" si="43"/>
        <v>12829557Shiny Iype</v>
      </c>
      <c r="AW221" s="1" t="str">
        <f t="shared" si="44"/>
        <v>Major</v>
      </c>
      <c r="AX221" s="1">
        <f t="shared" si="45"/>
        <v>1</v>
      </c>
      <c r="AY221" s="1" t="s">
        <v>24</v>
      </c>
      <c r="AZ221" s="1" t="b">
        <v>0</v>
      </c>
      <c r="BA221" s="1">
        <f t="shared" si="46"/>
        <v>1</v>
      </c>
      <c r="BB221" s="1">
        <f t="shared" si="47"/>
        <v>1</v>
      </c>
      <c r="BC221" s="1" t="s">
        <v>457</v>
      </c>
      <c r="BD221" s="1" t="s">
        <v>43</v>
      </c>
      <c r="BE221" s="1" t="s">
        <v>98</v>
      </c>
      <c r="BF221" s="1" t="b">
        <v>0</v>
      </c>
      <c r="BG221" s="1" t="str">
        <f>VLOOKUP(AM221,Group!$C:$H,5,0)</f>
        <v>Top 25</v>
      </c>
      <c r="BH221" s="1" t="str">
        <f>VLOOKUP(P221,others!$C:$G,5,0)</f>
        <v>MTX - India</v>
      </c>
    </row>
    <row r="222" spans="1:60" x14ac:dyDescent="0.25">
      <c r="A222" s="14">
        <v>46100.784409722219</v>
      </c>
      <c r="B222" s="14">
        <v>46101.01357638889</v>
      </c>
      <c r="C222" s="14">
        <v>46105.765347222223</v>
      </c>
      <c r="D222" s="14">
        <v>46105.994513888887</v>
      </c>
      <c r="E222" s="14">
        <v>46105.015659722223</v>
      </c>
      <c r="F222" s="14">
        <v>46105.994513888887</v>
      </c>
      <c r="G222" t="s">
        <v>470</v>
      </c>
      <c r="H222">
        <v>413</v>
      </c>
      <c r="I222">
        <v>1409.55</v>
      </c>
      <c r="J222" t="s">
        <v>104</v>
      </c>
      <c r="K222">
        <v>12830914</v>
      </c>
      <c r="L222" t="s">
        <v>1260</v>
      </c>
      <c r="M222" t="s">
        <v>101</v>
      </c>
      <c r="N222" t="s">
        <v>88</v>
      </c>
      <c r="O222" t="s">
        <v>1351</v>
      </c>
      <c r="P222" t="s">
        <v>1096</v>
      </c>
      <c r="Q222" t="s">
        <v>24</v>
      </c>
      <c r="R222" t="s">
        <v>25</v>
      </c>
      <c r="S222">
        <v>28.43</v>
      </c>
      <c r="T222">
        <v>100</v>
      </c>
      <c r="U222" t="s">
        <v>100</v>
      </c>
      <c r="V222">
        <v>1</v>
      </c>
      <c r="X222" t="s">
        <v>469</v>
      </c>
      <c r="AA222">
        <v>1440</v>
      </c>
      <c r="AB222" t="s">
        <v>26</v>
      </c>
      <c r="AC222">
        <v>197</v>
      </c>
      <c r="AD222" t="s">
        <v>27</v>
      </c>
      <c r="AE222" t="s">
        <v>28</v>
      </c>
      <c r="AF222">
        <v>0</v>
      </c>
      <c r="AK222" s="12">
        <f t="shared" si="36"/>
        <v>46105</v>
      </c>
      <c r="AL222" s="1" t="str">
        <f t="shared" si="37"/>
        <v>Week13</v>
      </c>
      <c r="AM222" s="1" t="s">
        <v>102</v>
      </c>
      <c r="AN222" s="1" t="str">
        <f t="shared" si="38"/>
        <v>Go</v>
      </c>
      <c r="AO222" s="2">
        <f t="shared" si="39"/>
        <v>100</v>
      </c>
      <c r="AP222" s="1">
        <f t="shared" si="40"/>
        <v>0</v>
      </c>
      <c r="AQ222" s="1">
        <f t="shared" si="41"/>
        <v>0</v>
      </c>
      <c r="AR222" s="1" t="s">
        <v>95</v>
      </c>
      <c r="AS222" s="1" t="s">
        <v>93</v>
      </c>
      <c r="AT222" s="1" t="s">
        <v>93</v>
      </c>
      <c r="AU222" s="1" t="str">
        <f t="shared" si="42"/>
        <v>Minor</v>
      </c>
      <c r="AV222" s="1" t="str">
        <f t="shared" si="43"/>
        <v>12830914Tejas Patel</v>
      </c>
      <c r="AW222" s="1" t="str">
        <f t="shared" si="44"/>
        <v>Minor</v>
      </c>
      <c r="AX222" s="1">
        <f t="shared" si="45"/>
        <v>0</v>
      </c>
      <c r="AY222" s="1" t="s">
        <v>24</v>
      </c>
      <c r="AZ222" s="1" t="b">
        <v>0</v>
      </c>
      <c r="BA222" s="1">
        <f t="shared" si="46"/>
        <v>1</v>
      </c>
      <c r="BB222" s="1">
        <f t="shared" si="47"/>
        <v>1</v>
      </c>
      <c r="BC222" s="1" t="s">
        <v>1096</v>
      </c>
      <c r="BD222" s="1" t="s">
        <v>43</v>
      </c>
      <c r="BE222" s="1" t="s">
        <v>98</v>
      </c>
      <c r="BF222" s="1" t="b">
        <v>0</v>
      </c>
      <c r="BG222" s="1" t="str">
        <f>VLOOKUP(AM222,Group!$C:$H,5,0)</f>
        <v>Top 25</v>
      </c>
      <c r="BH222" s="1" t="str">
        <f>VLOOKUP(P222,others!$C:$G,5,0)</f>
        <v>QA</v>
      </c>
    </row>
    <row r="223" spans="1:60" x14ac:dyDescent="0.25">
      <c r="A223" s="14">
        <v>46097.706643518519</v>
      </c>
      <c r="B223" s="14">
        <v>46097.935810185183</v>
      </c>
      <c r="C223" s="14">
        <v>46105.770543981482</v>
      </c>
      <c r="D223" s="14">
        <v>46105.999710648146</v>
      </c>
      <c r="E223" s="14">
        <v>46103.406793981485</v>
      </c>
      <c r="F223" s="14">
        <v>46105.999710648146</v>
      </c>
      <c r="G223" t="s">
        <v>470</v>
      </c>
      <c r="H223">
        <v>673</v>
      </c>
      <c r="I223">
        <v>3733.8</v>
      </c>
      <c r="J223" t="s">
        <v>104</v>
      </c>
      <c r="K223">
        <v>12829549</v>
      </c>
      <c r="L223" t="s">
        <v>1272</v>
      </c>
      <c r="M223" t="s">
        <v>101</v>
      </c>
      <c r="N223" t="s">
        <v>88</v>
      </c>
      <c r="O223" t="s">
        <v>456</v>
      </c>
      <c r="P223" t="s">
        <v>457</v>
      </c>
      <c r="Q223" t="s">
        <v>24</v>
      </c>
      <c r="R223" t="s">
        <v>1241</v>
      </c>
      <c r="S223">
        <v>63.23</v>
      </c>
      <c r="T223">
        <v>97</v>
      </c>
      <c r="U223" t="s">
        <v>472</v>
      </c>
      <c r="V223">
        <v>3</v>
      </c>
      <c r="X223" t="s">
        <v>469</v>
      </c>
      <c r="AA223">
        <v>1440</v>
      </c>
      <c r="AB223" t="s">
        <v>26</v>
      </c>
      <c r="AC223">
        <v>247</v>
      </c>
      <c r="AD223" t="s">
        <v>27</v>
      </c>
      <c r="AE223" t="s">
        <v>28</v>
      </c>
      <c r="AF223">
        <v>0</v>
      </c>
      <c r="AK223" s="12">
        <f t="shared" si="36"/>
        <v>46105</v>
      </c>
      <c r="AL223" s="1" t="str">
        <f t="shared" si="37"/>
        <v>Week13</v>
      </c>
      <c r="AM223" s="1" t="s">
        <v>102</v>
      </c>
      <c r="AN223" s="1" t="str">
        <f t="shared" si="38"/>
        <v>NoGo</v>
      </c>
      <c r="AO223" s="2">
        <f t="shared" si="39"/>
        <v>95.25541673256366</v>
      </c>
      <c r="AP223" s="1">
        <f t="shared" si="40"/>
        <v>3</v>
      </c>
      <c r="AQ223" s="1">
        <f t="shared" si="41"/>
        <v>3</v>
      </c>
      <c r="AR223" s="1" t="s">
        <v>95</v>
      </c>
      <c r="AS223" s="1" t="s">
        <v>93</v>
      </c>
      <c r="AT223" s="1" t="s">
        <v>93</v>
      </c>
      <c r="AU223" s="1" t="str">
        <f t="shared" si="42"/>
        <v>Major</v>
      </c>
      <c r="AV223" s="1" t="str">
        <f t="shared" si="43"/>
        <v>12829549Shiny Iype</v>
      </c>
      <c r="AW223" s="1" t="str">
        <f t="shared" si="44"/>
        <v>Major</v>
      </c>
      <c r="AX223" s="1">
        <f t="shared" si="45"/>
        <v>1</v>
      </c>
      <c r="AY223" s="1" t="s">
        <v>24</v>
      </c>
      <c r="AZ223" s="1" t="b">
        <v>1</v>
      </c>
      <c r="BA223" s="1">
        <f t="shared" si="46"/>
        <v>1</v>
      </c>
      <c r="BB223" s="1">
        <f t="shared" si="47"/>
        <v>3</v>
      </c>
      <c r="BC223" s="1" t="s">
        <v>457</v>
      </c>
      <c r="BD223" s="1" t="s">
        <v>43</v>
      </c>
      <c r="BE223" s="1" t="s">
        <v>98</v>
      </c>
      <c r="BF223" s="1" t="b">
        <v>1</v>
      </c>
      <c r="BG223" s="1" t="str">
        <f>VLOOKUP(AM223,Group!$C:$H,5,0)</f>
        <v>Top 25</v>
      </c>
      <c r="BH223" s="1" t="str">
        <f>VLOOKUP(P223,others!$C:$G,5,0)</f>
        <v>MTX - India</v>
      </c>
    </row>
    <row r="224" spans="1:60" x14ac:dyDescent="0.25">
      <c r="A224" s="14">
        <v>46097.706643518519</v>
      </c>
      <c r="B224" s="14">
        <v>46097.935810185183</v>
      </c>
      <c r="C224" s="14">
        <v>46105.770543981482</v>
      </c>
      <c r="D224" s="14">
        <v>46105.999710648146</v>
      </c>
      <c r="E224" s="14">
        <v>46103.406793981485</v>
      </c>
      <c r="F224" s="14">
        <v>46105.999710648146</v>
      </c>
      <c r="G224" t="s">
        <v>470</v>
      </c>
      <c r="H224">
        <v>673</v>
      </c>
      <c r="I224">
        <v>3733.8</v>
      </c>
      <c r="J224" t="s">
        <v>104</v>
      </c>
      <c r="K224">
        <v>12829549</v>
      </c>
      <c r="L224" t="s">
        <v>1272</v>
      </c>
      <c r="M224" t="s">
        <v>101</v>
      </c>
      <c r="N224" t="s">
        <v>88</v>
      </c>
      <c r="O224" t="s">
        <v>456</v>
      </c>
      <c r="P224" t="s">
        <v>457</v>
      </c>
      <c r="Q224" t="s">
        <v>24</v>
      </c>
      <c r="R224" t="s">
        <v>1241</v>
      </c>
      <c r="S224">
        <v>63.23</v>
      </c>
      <c r="T224">
        <v>97</v>
      </c>
      <c r="U224" t="s">
        <v>100</v>
      </c>
      <c r="V224">
        <v>5</v>
      </c>
      <c r="X224" t="s">
        <v>469</v>
      </c>
      <c r="AA224">
        <v>1440</v>
      </c>
      <c r="AB224" t="s">
        <v>26</v>
      </c>
      <c r="AC224">
        <v>247</v>
      </c>
      <c r="AD224" t="s">
        <v>27</v>
      </c>
      <c r="AE224" t="s">
        <v>28</v>
      </c>
      <c r="AF224">
        <v>0</v>
      </c>
      <c r="AK224" s="12">
        <f t="shared" si="36"/>
        <v>46105</v>
      </c>
      <c r="AL224" s="1" t="str">
        <f t="shared" si="37"/>
        <v>Week13</v>
      </c>
      <c r="AM224" s="1" t="s">
        <v>102</v>
      </c>
      <c r="AN224" s="1" t="str">
        <f t="shared" si="38"/>
        <v>NoGo</v>
      </c>
      <c r="AO224" s="2">
        <f t="shared" si="39"/>
        <v>95.25541673256366</v>
      </c>
      <c r="AP224" s="1">
        <f t="shared" si="40"/>
        <v>0</v>
      </c>
      <c r="AQ224" s="1">
        <f t="shared" si="41"/>
        <v>3</v>
      </c>
      <c r="AR224" s="1" t="s">
        <v>95</v>
      </c>
      <c r="AS224" s="1" t="s">
        <v>93</v>
      </c>
      <c r="AT224" s="1" t="s">
        <v>93</v>
      </c>
      <c r="AU224" s="1" t="str">
        <f t="shared" si="42"/>
        <v>Minor</v>
      </c>
      <c r="AV224" s="1" t="str">
        <f t="shared" si="43"/>
        <v>12829549Shiny Iype</v>
      </c>
      <c r="AW224" s="1" t="str">
        <f t="shared" si="44"/>
        <v>Minor</v>
      </c>
      <c r="AX224" s="1">
        <f t="shared" si="45"/>
        <v>0</v>
      </c>
      <c r="AY224" s="1" t="s">
        <v>24</v>
      </c>
      <c r="AZ224" s="1" t="b">
        <v>0</v>
      </c>
      <c r="BA224" s="1">
        <f t="shared" si="46"/>
        <v>1</v>
      </c>
      <c r="BB224" s="1">
        <f t="shared" si="47"/>
        <v>5</v>
      </c>
      <c r="BC224" s="1" t="s">
        <v>457</v>
      </c>
      <c r="BD224" s="1" t="s">
        <v>43</v>
      </c>
      <c r="BE224" s="1" t="s">
        <v>98</v>
      </c>
      <c r="BF224" s="1" t="b">
        <v>0</v>
      </c>
      <c r="BG224" s="1" t="str">
        <f>VLOOKUP(AM224,Group!$C:$H,5,0)</f>
        <v>Top 25</v>
      </c>
      <c r="BH224" s="1" t="str">
        <f>VLOOKUP(P224,others!$C:$G,5,0)</f>
        <v>MTX - India</v>
      </c>
    </row>
    <row r="225" spans="1:60" x14ac:dyDescent="0.25">
      <c r="A225" s="14">
        <v>46097.706006944441</v>
      </c>
      <c r="B225" s="14">
        <v>46097.935173611113</v>
      </c>
      <c r="C225" s="14">
        <v>46106.149606481478</v>
      </c>
      <c r="D225" s="14">
        <v>46106.37877314815</v>
      </c>
      <c r="E225" s="14">
        <v>46103.406724537039</v>
      </c>
      <c r="F225" s="14">
        <v>46106.37877314815</v>
      </c>
      <c r="G225" t="s">
        <v>470</v>
      </c>
      <c r="H225">
        <v>1480</v>
      </c>
      <c r="I225">
        <v>4279.75</v>
      </c>
      <c r="J225" t="s">
        <v>104</v>
      </c>
      <c r="K225">
        <v>12829539</v>
      </c>
      <c r="L225" t="s">
        <v>1272</v>
      </c>
      <c r="M225" t="s">
        <v>101</v>
      </c>
      <c r="N225" t="s">
        <v>88</v>
      </c>
      <c r="O225" t="s">
        <v>456</v>
      </c>
      <c r="P225" t="s">
        <v>457</v>
      </c>
      <c r="Q225" t="s">
        <v>24</v>
      </c>
      <c r="R225" t="s">
        <v>25</v>
      </c>
      <c r="S225">
        <v>55.49</v>
      </c>
      <c r="T225">
        <v>100</v>
      </c>
      <c r="U225" t="s">
        <v>100</v>
      </c>
      <c r="V225">
        <v>2</v>
      </c>
      <c r="X225" t="s">
        <v>469</v>
      </c>
      <c r="AA225">
        <v>1440</v>
      </c>
      <c r="AB225" t="s">
        <v>26</v>
      </c>
      <c r="AC225">
        <v>221</v>
      </c>
      <c r="AD225" t="s">
        <v>27</v>
      </c>
      <c r="AE225" t="s">
        <v>28</v>
      </c>
      <c r="AF225">
        <v>0</v>
      </c>
      <c r="AK225" s="12">
        <f t="shared" si="36"/>
        <v>46106</v>
      </c>
      <c r="AL225" s="1" t="str">
        <f t="shared" si="37"/>
        <v>Week13</v>
      </c>
      <c r="AM225" s="1" t="s">
        <v>102</v>
      </c>
      <c r="AN225" s="1" t="str">
        <f t="shared" si="38"/>
        <v>Go</v>
      </c>
      <c r="AO225" s="2">
        <f t="shared" si="39"/>
        <v>100</v>
      </c>
      <c r="AP225" s="1">
        <f t="shared" si="40"/>
        <v>0</v>
      </c>
      <c r="AQ225" s="1">
        <f t="shared" si="41"/>
        <v>0</v>
      </c>
      <c r="AR225" s="1" t="s">
        <v>95</v>
      </c>
      <c r="AS225" s="1" t="s">
        <v>93</v>
      </c>
      <c r="AT225" s="1" t="s">
        <v>93</v>
      </c>
      <c r="AU225" s="1" t="str">
        <f t="shared" si="42"/>
        <v>Minor</v>
      </c>
      <c r="AV225" s="1" t="str">
        <f t="shared" si="43"/>
        <v>12829539Shiny Iype</v>
      </c>
      <c r="AW225" s="1" t="str">
        <f t="shared" si="44"/>
        <v>Minor</v>
      </c>
      <c r="AX225" s="1">
        <f t="shared" si="45"/>
        <v>0</v>
      </c>
      <c r="AY225" s="1" t="s">
        <v>24</v>
      </c>
      <c r="AZ225" s="1" t="b">
        <v>0</v>
      </c>
      <c r="BA225" s="1">
        <f t="shared" si="46"/>
        <v>1</v>
      </c>
      <c r="BB225" s="1">
        <f t="shared" si="47"/>
        <v>2</v>
      </c>
      <c r="BC225" s="1" t="s">
        <v>457</v>
      </c>
      <c r="BD225" s="1" t="s">
        <v>43</v>
      </c>
      <c r="BE225" s="1" t="s">
        <v>98</v>
      </c>
      <c r="BF225" s="1" t="b">
        <v>0</v>
      </c>
      <c r="BG225" s="1" t="str">
        <f>VLOOKUP(AM225,Group!$C:$H,5,0)</f>
        <v>Top 25</v>
      </c>
      <c r="BH225" s="1" t="str">
        <f>VLOOKUP(P225,others!$C:$G,5,0)</f>
        <v>MTX - India</v>
      </c>
    </row>
    <row r="226" spans="1:60" x14ac:dyDescent="0.25">
      <c r="A226" s="14">
        <v>46097.706423611111</v>
      </c>
      <c r="B226" s="14">
        <v>46097.935590277775</v>
      </c>
      <c r="C226" s="14">
        <v>46106.155023148145</v>
      </c>
      <c r="D226" s="14">
        <v>46106.384189814817</v>
      </c>
      <c r="E226" s="14">
        <v>46101.326782407406</v>
      </c>
      <c r="F226" s="14">
        <v>46106.384189814817</v>
      </c>
      <c r="G226" t="s">
        <v>470</v>
      </c>
      <c r="H226">
        <v>365</v>
      </c>
      <c r="I226">
        <v>7282.6666999999998</v>
      </c>
      <c r="J226" t="s">
        <v>104</v>
      </c>
      <c r="K226">
        <v>12829546</v>
      </c>
      <c r="L226" t="s">
        <v>1272</v>
      </c>
      <c r="M226" t="s">
        <v>101</v>
      </c>
      <c r="N226" t="s">
        <v>88</v>
      </c>
      <c r="O226" t="s">
        <v>456</v>
      </c>
      <c r="P226" t="s">
        <v>457</v>
      </c>
      <c r="Q226" t="s">
        <v>24</v>
      </c>
      <c r="R226" t="s">
        <v>25</v>
      </c>
      <c r="S226">
        <v>44.23</v>
      </c>
      <c r="T226">
        <v>99</v>
      </c>
      <c r="U226" t="s">
        <v>472</v>
      </c>
      <c r="V226">
        <v>1</v>
      </c>
      <c r="X226" t="s">
        <v>469</v>
      </c>
      <c r="AA226">
        <v>1440</v>
      </c>
      <c r="AB226" t="s">
        <v>26</v>
      </c>
      <c r="AC226">
        <v>180</v>
      </c>
      <c r="AD226" t="s">
        <v>27</v>
      </c>
      <c r="AE226" t="s">
        <v>28</v>
      </c>
      <c r="AF226">
        <v>0</v>
      </c>
      <c r="AK226" s="12">
        <f t="shared" si="36"/>
        <v>46106</v>
      </c>
      <c r="AL226" s="1" t="str">
        <f t="shared" si="37"/>
        <v>Week13</v>
      </c>
      <c r="AM226" s="1" t="s">
        <v>102</v>
      </c>
      <c r="AN226" s="1" t="str">
        <f t="shared" si="38"/>
        <v>NoGo</v>
      </c>
      <c r="AO226" s="2">
        <f t="shared" si="39"/>
        <v>97.739091114628081</v>
      </c>
      <c r="AP226" s="1">
        <f t="shared" si="40"/>
        <v>1</v>
      </c>
      <c r="AQ226" s="1">
        <f t="shared" si="41"/>
        <v>1</v>
      </c>
      <c r="AR226" s="1" t="s">
        <v>95</v>
      </c>
      <c r="AS226" s="1" t="s">
        <v>93</v>
      </c>
      <c r="AT226" s="1" t="s">
        <v>93</v>
      </c>
      <c r="AU226" s="1" t="str">
        <f t="shared" si="42"/>
        <v>Major</v>
      </c>
      <c r="AV226" s="1" t="str">
        <f t="shared" si="43"/>
        <v>12829546Shiny Iype</v>
      </c>
      <c r="AW226" s="1" t="str">
        <f t="shared" si="44"/>
        <v>Major</v>
      </c>
      <c r="AX226" s="1">
        <f t="shared" si="45"/>
        <v>1</v>
      </c>
      <c r="AY226" s="1" t="s">
        <v>24</v>
      </c>
      <c r="AZ226" s="1" t="b">
        <v>1</v>
      </c>
      <c r="BA226" s="1">
        <f t="shared" si="46"/>
        <v>1</v>
      </c>
      <c r="BB226" s="1">
        <f t="shared" si="47"/>
        <v>1</v>
      </c>
      <c r="BC226" s="1" t="s">
        <v>457</v>
      </c>
      <c r="BD226" s="1" t="s">
        <v>43</v>
      </c>
      <c r="BE226" s="1" t="s">
        <v>98</v>
      </c>
      <c r="BF226" s="1" t="b">
        <v>1</v>
      </c>
      <c r="BG226" s="1" t="str">
        <f>VLOOKUP(AM226,Group!$C:$H,5,0)</f>
        <v>Top 25</v>
      </c>
      <c r="BH226" s="1" t="str">
        <f>VLOOKUP(P226,others!$C:$G,5,0)</f>
        <v>MTX - India</v>
      </c>
    </row>
    <row r="227" spans="1:60" x14ac:dyDescent="0.25">
      <c r="A227" s="14">
        <v>46097.706423611111</v>
      </c>
      <c r="B227" s="14">
        <v>46097.935590277775</v>
      </c>
      <c r="C227" s="14">
        <v>46106.155023148145</v>
      </c>
      <c r="D227" s="14">
        <v>46106.384189814817</v>
      </c>
      <c r="E227" s="14">
        <v>46101.326782407406</v>
      </c>
      <c r="F227" s="14">
        <v>46106.384189814817</v>
      </c>
      <c r="G227" t="s">
        <v>470</v>
      </c>
      <c r="H227">
        <v>365</v>
      </c>
      <c r="I227">
        <v>7282.6666999999998</v>
      </c>
      <c r="J227" t="s">
        <v>104</v>
      </c>
      <c r="K227">
        <v>12829546</v>
      </c>
      <c r="L227" t="s">
        <v>1272</v>
      </c>
      <c r="M227" t="s">
        <v>101</v>
      </c>
      <c r="N227" t="s">
        <v>88</v>
      </c>
      <c r="O227" t="s">
        <v>456</v>
      </c>
      <c r="P227" t="s">
        <v>457</v>
      </c>
      <c r="Q227" t="s">
        <v>24</v>
      </c>
      <c r="R227" t="s">
        <v>25</v>
      </c>
      <c r="S227">
        <v>44.23</v>
      </c>
      <c r="T227">
        <v>99</v>
      </c>
      <c r="U227" t="s">
        <v>100</v>
      </c>
      <c r="V227">
        <v>7</v>
      </c>
      <c r="X227" t="s">
        <v>469</v>
      </c>
      <c r="AA227">
        <v>1440</v>
      </c>
      <c r="AB227" t="s">
        <v>26</v>
      </c>
      <c r="AC227">
        <v>180</v>
      </c>
      <c r="AD227" t="s">
        <v>27</v>
      </c>
      <c r="AE227" t="s">
        <v>28</v>
      </c>
      <c r="AF227">
        <v>0</v>
      </c>
      <c r="AK227" s="12">
        <f t="shared" si="36"/>
        <v>46106</v>
      </c>
      <c r="AL227" s="1" t="str">
        <f t="shared" si="37"/>
        <v>Week13</v>
      </c>
      <c r="AM227" s="1" t="s">
        <v>102</v>
      </c>
      <c r="AN227" s="1" t="str">
        <f t="shared" si="38"/>
        <v>NoGo</v>
      </c>
      <c r="AO227" s="2">
        <f t="shared" si="39"/>
        <v>97.739091114628081</v>
      </c>
      <c r="AP227" s="1">
        <f t="shared" si="40"/>
        <v>0</v>
      </c>
      <c r="AQ227" s="1">
        <f t="shared" si="41"/>
        <v>1</v>
      </c>
      <c r="AR227" s="1" t="s">
        <v>95</v>
      </c>
      <c r="AS227" s="1" t="s">
        <v>93</v>
      </c>
      <c r="AT227" s="1" t="s">
        <v>93</v>
      </c>
      <c r="AU227" s="1" t="str">
        <f t="shared" si="42"/>
        <v>Minor</v>
      </c>
      <c r="AV227" s="1" t="str">
        <f t="shared" si="43"/>
        <v>12829546Shiny Iype</v>
      </c>
      <c r="AW227" s="1" t="str">
        <f t="shared" si="44"/>
        <v>Minor</v>
      </c>
      <c r="AX227" s="1">
        <f t="shared" si="45"/>
        <v>0</v>
      </c>
      <c r="AY227" s="1" t="s">
        <v>24</v>
      </c>
      <c r="AZ227" s="1" t="b">
        <v>0</v>
      </c>
      <c r="BA227" s="1">
        <f t="shared" si="46"/>
        <v>1</v>
      </c>
      <c r="BB227" s="1">
        <f t="shared" si="47"/>
        <v>7</v>
      </c>
      <c r="BC227" s="1" t="s">
        <v>457</v>
      </c>
      <c r="BD227" s="1" t="s">
        <v>43</v>
      </c>
      <c r="BE227" s="1" t="s">
        <v>98</v>
      </c>
      <c r="BF227" s="1" t="b">
        <v>0</v>
      </c>
      <c r="BG227" s="1" t="str">
        <f>VLOOKUP(AM227,Group!$C:$H,5,0)</f>
        <v>Top 25</v>
      </c>
      <c r="BH227" s="1" t="str">
        <f>VLOOKUP(P227,others!$C:$G,5,0)</f>
        <v>MTX - India</v>
      </c>
    </row>
    <row r="228" spans="1:60" x14ac:dyDescent="0.25">
      <c r="A228" s="14">
        <v>46100.475462962961</v>
      </c>
      <c r="B228" s="14">
        <v>46100.704629629632</v>
      </c>
      <c r="C228" s="14">
        <v>46106.243854166663</v>
      </c>
      <c r="D228" s="14">
        <v>46106.473020833335</v>
      </c>
      <c r="E228" s="14">
        <v>46105.015057870369</v>
      </c>
      <c r="F228" s="14">
        <v>46106.473020833335</v>
      </c>
      <c r="G228" t="s">
        <v>470</v>
      </c>
      <c r="H228">
        <v>853</v>
      </c>
      <c r="I228">
        <v>2099.4666999999999</v>
      </c>
      <c r="J228" t="s">
        <v>104</v>
      </c>
      <c r="K228">
        <v>12830631</v>
      </c>
      <c r="L228" t="s">
        <v>1382</v>
      </c>
      <c r="M228" t="s">
        <v>123</v>
      </c>
      <c r="N228" t="s">
        <v>97</v>
      </c>
      <c r="O228" t="s">
        <v>456</v>
      </c>
      <c r="P228" t="s">
        <v>457</v>
      </c>
      <c r="Q228" t="s">
        <v>24</v>
      </c>
      <c r="R228" t="s">
        <v>25</v>
      </c>
      <c r="S228">
        <v>72.75</v>
      </c>
      <c r="T228">
        <v>99</v>
      </c>
      <c r="U228" t="s">
        <v>471</v>
      </c>
      <c r="V228">
        <v>1</v>
      </c>
      <c r="X228" t="s">
        <v>1270</v>
      </c>
      <c r="AA228">
        <v>720</v>
      </c>
      <c r="AB228" t="s">
        <v>26</v>
      </c>
      <c r="AC228">
        <v>251</v>
      </c>
      <c r="AD228" t="s">
        <v>27</v>
      </c>
      <c r="AE228" t="s">
        <v>28</v>
      </c>
      <c r="AF228">
        <v>0</v>
      </c>
      <c r="AK228" s="12">
        <f t="shared" si="36"/>
        <v>46106</v>
      </c>
      <c r="AL228" s="1" t="str">
        <f t="shared" si="37"/>
        <v>Week13</v>
      </c>
      <c r="AM228" s="1" t="s">
        <v>133</v>
      </c>
      <c r="AN228" s="1" t="str">
        <f t="shared" si="38"/>
        <v>Go</v>
      </c>
      <c r="AO228" s="2">
        <f t="shared" si="39"/>
        <v>98.62542955326461</v>
      </c>
      <c r="AP228" s="1">
        <f t="shared" si="40"/>
        <v>1</v>
      </c>
      <c r="AQ228" s="1">
        <f t="shared" si="41"/>
        <v>1</v>
      </c>
      <c r="AR228" s="1" t="s">
        <v>93</v>
      </c>
      <c r="AS228" s="1" t="s">
        <v>93</v>
      </c>
      <c r="AT228" s="1" t="s">
        <v>93</v>
      </c>
      <c r="AU228" s="1" t="str">
        <f t="shared" si="42"/>
        <v>Major</v>
      </c>
      <c r="AV228" s="1" t="str">
        <f t="shared" si="43"/>
        <v>12830631Shiny Iype</v>
      </c>
      <c r="AW228" s="1" t="str">
        <f t="shared" si="44"/>
        <v>Major</v>
      </c>
      <c r="AX228" s="1">
        <f t="shared" si="45"/>
        <v>1</v>
      </c>
      <c r="AY228" s="1" t="s">
        <v>24</v>
      </c>
      <c r="AZ228" s="1" t="b">
        <v>1</v>
      </c>
      <c r="BA228" s="1">
        <f t="shared" si="46"/>
        <v>1</v>
      </c>
      <c r="BB228" s="1">
        <f t="shared" si="47"/>
        <v>1</v>
      </c>
      <c r="BC228" s="1" t="s">
        <v>457</v>
      </c>
      <c r="BD228" s="1" t="s">
        <v>43</v>
      </c>
      <c r="BE228" s="1" t="s">
        <v>98</v>
      </c>
      <c r="BF228" s="1" t="b">
        <v>1</v>
      </c>
      <c r="BG228" s="1" t="str">
        <f>VLOOKUP(AM228,Group!$C:$H,5,0)</f>
        <v>Others</v>
      </c>
      <c r="BH228" s="1" t="str">
        <f>VLOOKUP(P228,others!$C:$G,5,0)</f>
        <v>MTX - India</v>
      </c>
    </row>
    <row r="229" spans="1:60" x14ac:dyDescent="0.25">
      <c r="A229" s="14">
        <v>46100.475462962961</v>
      </c>
      <c r="B229" s="14">
        <v>46100.704629629632</v>
      </c>
      <c r="C229" s="14">
        <v>46106.243854166663</v>
      </c>
      <c r="D229" s="14">
        <v>46106.473020833335</v>
      </c>
      <c r="E229" s="14">
        <v>46105.015057870369</v>
      </c>
      <c r="F229" s="14">
        <v>46106.473020833335</v>
      </c>
      <c r="G229" t="s">
        <v>470</v>
      </c>
      <c r="H229">
        <v>853</v>
      </c>
      <c r="I229">
        <v>2099.4666999999999</v>
      </c>
      <c r="J229" t="s">
        <v>104</v>
      </c>
      <c r="K229">
        <v>12830631</v>
      </c>
      <c r="L229" t="s">
        <v>1382</v>
      </c>
      <c r="M229" t="s">
        <v>123</v>
      </c>
      <c r="N229" t="s">
        <v>97</v>
      </c>
      <c r="O229" t="s">
        <v>456</v>
      </c>
      <c r="P229" t="s">
        <v>457</v>
      </c>
      <c r="Q229" t="s">
        <v>24</v>
      </c>
      <c r="R229" t="s">
        <v>25</v>
      </c>
      <c r="S229">
        <v>72.75</v>
      </c>
      <c r="T229">
        <v>99</v>
      </c>
      <c r="U229" t="s">
        <v>100</v>
      </c>
      <c r="V229">
        <v>5</v>
      </c>
      <c r="X229" t="s">
        <v>1270</v>
      </c>
      <c r="AA229">
        <v>720</v>
      </c>
      <c r="AB229" t="s">
        <v>26</v>
      </c>
      <c r="AC229">
        <v>251</v>
      </c>
      <c r="AD229" t="s">
        <v>27</v>
      </c>
      <c r="AE229" t="s">
        <v>28</v>
      </c>
      <c r="AF229">
        <v>0</v>
      </c>
      <c r="AK229" s="12">
        <f t="shared" si="36"/>
        <v>46106</v>
      </c>
      <c r="AL229" s="1" t="str">
        <f t="shared" si="37"/>
        <v>Week13</v>
      </c>
      <c r="AM229" s="1" t="s">
        <v>133</v>
      </c>
      <c r="AN229" s="1" t="str">
        <f t="shared" si="38"/>
        <v>Go</v>
      </c>
      <c r="AO229" s="2">
        <f t="shared" si="39"/>
        <v>98.62542955326461</v>
      </c>
      <c r="AP229" s="1">
        <f t="shared" si="40"/>
        <v>0</v>
      </c>
      <c r="AQ229" s="1">
        <f t="shared" si="41"/>
        <v>1</v>
      </c>
      <c r="AR229" s="1" t="s">
        <v>93</v>
      </c>
      <c r="AS229" s="1" t="s">
        <v>93</v>
      </c>
      <c r="AT229" s="1" t="s">
        <v>93</v>
      </c>
      <c r="AU229" s="1" t="str">
        <f t="shared" si="42"/>
        <v>Minor</v>
      </c>
      <c r="AV229" s="1" t="str">
        <f t="shared" si="43"/>
        <v>12830631Shiny Iype</v>
      </c>
      <c r="AW229" s="1" t="str">
        <f t="shared" si="44"/>
        <v>Minor</v>
      </c>
      <c r="AX229" s="1">
        <f t="shared" si="45"/>
        <v>0</v>
      </c>
      <c r="AY229" s="1" t="s">
        <v>24</v>
      </c>
      <c r="AZ229" s="1" t="b">
        <v>0</v>
      </c>
      <c r="BA229" s="1">
        <f t="shared" si="46"/>
        <v>1</v>
      </c>
      <c r="BB229" s="1">
        <f t="shared" si="47"/>
        <v>5</v>
      </c>
      <c r="BC229" s="1" t="s">
        <v>457</v>
      </c>
      <c r="BD229" s="1" t="s">
        <v>43</v>
      </c>
      <c r="BE229" s="1" t="s">
        <v>98</v>
      </c>
      <c r="BF229" s="1" t="b">
        <v>0</v>
      </c>
      <c r="BG229" s="1" t="str">
        <f>VLOOKUP(AM229,Group!$C:$H,5,0)</f>
        <v>Others</v>
      </c>
      <c r="BH229" s="1" t="str">
        <f>VLOOKUP(P229,others!$C:$G,5,0)</f>
        <v>MTX - India</v>
      </c>
    </row>
    <row r="230" spans="1:60" x14ac:dyDescent="0.25">
      <c r="A230" s="14">
        <v>46100.485798611109</v>
      </c>
      <c r="B230" s="14">
        <v>46100.714965277781</v>
      </c>
      <c r="C230" s="14">
        <v>46106.252002314817</v>
      </c>
      <c r="D230" s="14">
        <v>46106.481168981481</v>
      </c>
      <c r="E230" s="14">
        <v>46105.015138888892</v>
      </c>
      <c r="F230" s="14">
        <v>46106.481168981481</v>
      </c>
      <c r="G230" t="s">
        <v>470</v>
      </c>
      <c r="H230">
        <v>662</v>
      </c>
      <c r="I230">
        <v>2111.0832999999998</v>
      </c>
      <c r="J230" t="s">
        <v>104</v>
      </c>
      <c r="K230">
        <v>12830719</v>
      </c>
      <c r="L230" t="s">
        <v>1249</v>
      </c>
      <c r="M230" t="s">
        <v>101</v>
      </c>
      <c r="N230" t="s">
        <v>88</v>
      </c>
      <c r="O230" t="s">
        <v>456</v>
      </c>
      <c r="P230" t="s">
        <v>457</v>
      </c>
      <c r="Q230" t="s">
        <v>24</v>
      </c>
      <c r="R230" t="s">
        <v>1241</v>
      </c>
      <c r="S230">
        <v>35.28</v>
      </c>
      <c r="T230">
        <v>98</v>
      </c>
      <c r="U230" t="s">
        <v>471</v>
      </c>
      <c r="V230">
        <v>2</v>
      </c>
      <c r="X230" t="s">
        <v>469</v>
      </c>
      <c r="AA230">
        <v>1440</v>
      </c>
      <c r="AB230" t="s">
        <v>26</v>
      </c>
      <c r="AC230">
        <v>204</v>
      </c>
      <c r="AD230" t="s">
        <v>27</v>
      </c>
      <c r="AE230" t="s">
        <v>28</v>
      </c>
      <c r="AF230">
        <v>0</v>
      </c>
      <c r="AK230" s="12">
        <f t="shared" si="36"/>
        <v>46106</v>
      </c>
      <c r="AL230" s="1" t="str">
        <f t="shared" si="37"/>
        <v>Week13</v>
      </c>
      <c r="AM230" s="1" t="s">
        <v>102</v>
      </c>
      <c r="AN230" s="1" t="str">
        <f t="shared" si="38"/>
        <v>NoGo</v>
      </c>
      <c r="AO230" s="2">
        <f t="shared" si="39"/>
        <v>94.331065759637184</v>
      </c>
      <c r="AP230" s="1">
        <f t="shared" si="40"/>
        <v>2</v>
      </c>
      <c r="AQ230" s="1">
        <f t="shared" si="41"/>
        <v>2</v>
      </c>
      <c r="AR230" s="1" t="s">
        <v>95</v>
      </c>
      <c r="AS230" s="1" t="s">
        <v>93</v>
      </c>
      <c r="AT230" s="1" t="s">
        <v>93</v>
      </c>
      <c r="AU230" s="1" t="str">
        <f t="shared" si="42"/>
        <v>Major</v>
      </c>
      <c r="AV230" s="1" t="str">
        <f t="shared" si="43"/>
        <v>12830719Shiny Iype</v>
      </c>
      <c r="AW230" s="1" t="str">
        <f t="shared" si="44"/>
        <v>Major</v>
      </c>
      <c r="AX230" s="1">
        <f t="shared" si="45"/>
        <v>1</v>
      </c>
      <c r="AY230" s="1" t="s">
        <v>24</v>
      </c>
      <c r="AZ230" s="1" t="b">
        <v>1</v>
      </c>
      <c r="BA230" s="1">
        <f t="shared" si="46"/>
        <v>1</v>
      </c>
      <c r="BB230" s="1">
        <f t="shared" si="47"/>
        <v>2</v>
      </c>
      <c r="BC230" s="1" t="s">
        <v>457</v>
      </c>
      <c r="BD230" s="1" t="s">
        <v>43</v>
      </c>
      <c r="BE230" s="1" t="s">
        <v>98</v>
      </c>
      <c r="BF230" s="1" t="b">
        <v>1</v>
      </c>
      <c r="BG230" s="1" t="str">
        <f>VLOOKUP(AM230,Group!$C:$H,5,0)</f>
        <v>Top 25</v>
      </c>
      <c r="BH230" s="1" t="str">
        <f>VLOOKUP(P230,others!$C:$G,5,0)</f>
        <v>MTX - India</v>
      </c>
    </row>
    <row r="231" spans="1:60" x14ac:dyDescent="0.25">
      <c r="A231" s="14">
        <v>46100.485798611109</v>
      </c>
      <c r="B231" s="14">
        <v>46100.714965277781</v>
      </c>
      <c r="C231" s="14">
        <v>46106.252002314817</v>
      </c>
      <c r="D231" s="14">
        <v>46106.481168981481</v>
      </c>
      <c r="E231" s="14">
        <v>46105.015138888892</v>
      </c>
      <c r="F231" s="14">
        <v>46106.481168981481</v>
      </c>
      <c r="G231" t="s">
        <v>470</v>
      </c>
      <c r="H231">
        <v>662</v>
      </c>
      <c r="I231">
        <v>2111.0832999999998</v>
      </c>
      <c r="J231" t="s">
        <v>104</v>
      </c>
      <c r="K231">
        <v>12830719</v>
      </c>
      <c r="L231" t="s">
        <v>1249</v>
      </c>
      <c r="M231" t="s">
        <v>101</v>
      </c>
      <c r="N231" t="s">
        <v>88</v>
      </c>
      <c r="O231" t="s">
        <v>456</v>
      </c>
      <c r="P231" t="s">
        <v>457</v>
      </c>
      <c r="Q231" t="s">
        <v>24</v>
      </c>
      <c r="R231" t="s">
        <v>1241</v>
      </c>
      <c r="S231">
        <v>35.28</v>
      </c>
      <c r="T231">
        <v>98</v>
      </c>
      <c r="U231" t="s">
        <v>100</v>
      </c>
      <c r="V231">
        <v>5</v>
      </c>
      <c r="X231" t="s">
        <v>469</v>
      </c>
      <c r="AA231">
        <v>1440</v>
      </c>
      <c r="AB231" t="s">
        <v>26</v>
      </c>
      <c r="AC231">
        <v>204</v>
      </c>
      <c r="AD231" t="s">
        <v>27</v>
      </c>
      <c r="AE231" t="s">
        <v>28</v>
      </c>
      <c r="AF231">
        <v>0</v>
      </c>
      <c r="AK231" s="12">
        <f t="shared" si="36"/>
        <v>46106</v>
      </c>
      <c r="AL231" s="1" t="str">
        <f t="shared" si="37"/>
        <v>Week13</v>
      </c>
      <c r="AM231" s="1" t="s">
        <v>102</v>
      </c>
      <c r="AN231" s="1" t="str">
        <f t="shared" si="38"/>
        <v>NoGo</v>
      </c>
      <c r="AO231" s="2">
        <f t="shared" si="39"/>
        <v>94.331065759637184</v>
      </c>
      <c r="AP231" s="1">
        <f t="shared" si="40"/>
        <v>0</v>
      </c>
      <c r="AQ231" s="1">
        <f t="shared" si="41"/>
        <v>2</v>
      </c>
      <c r="AR231" s="1" t="s">
        <v>95</v>
      </c>
      <c r="AS231" s="1" t="s">
        <v>93</v>
      </c>
      <c r="AT231" s="1" t="s">
        <v>93</v>
      </c>
      <c r="AU231" s="1" t="str">
        <f t="shared" si="42"/>
        <v>Minor</v>
      </c>
      <c r="AV231" s="1" t="str">
        <f t="shared" si="43"/>
        <v>12830719Shiny Iype</v>
      </c>
      <c r="AW231" s="1" t="str">
        <f t="shared" si="44"/>
        <v>Minor</v>
      </c>
      <c r="AX231" s="1">
        <f t="shared" si="45"/>
        <v>0</v>
      </c>
      <c r="AY231" s="1" t="s">
        <v>24</v>
      </c>
      <c r="AZ231" s="1" t="b">
        <v>0</v>
      </c>
      <c r="BA231" s="1">
        <f t="shared" si="46"/>
        <v>1</v>
      </c>
      <c r="BB231" s="1">
        <f t="shared" si="47"/>
        <v>5</v>
      </c>
      <c r="BC231" s="1" t="s">
        <v>457</v>
      </c>
      <c r="BD231" s="1" t="s">
        <v>43</v>
      </c>
      <c r="BE231" s="1" t="s">
        <v>98</v>
      </c>
      <c r="BF231" s="1" t="b">
        <v>0</v>
      </c>
      <c r="BG231" s="1" t="str">
        <f>VLOOKUP(AM231,Group!$C:$H,5,0)</f>
        <v>Top 25</v>
      </c>
      <c r="BH231" s="1" t="str">
        <f>VLOOKUP(P231,others!$C:$G,5,0)</f>
        <v>MTX - India</v>
      </c>
    </row>
    <row r="232" spans="1:60" x14ac:dyDescent="0.25">
      <c r="A232" s="14">
        <v>46100.386655092596</v>
      </c>
      <c r="B232" s="14">
        <v>46100.61582175926</v>
      </c>
      <c r="C232" s="14">
        <v>46106.264837962961</v>
      </c>
      <c r="D232" s="14">
        <v>46106.494004629632</v>
      </c>
      <c r="E232" s="14">
        <v>46105.014930555553</v>
      </c>
      <c r="F232" s="14">
        <v>46106.494004629632</v>
      </c>
      <c r="G232" t="s">
        <v>470</v>
      </c>
      <c r="H232">
        <v>1082</v>
      </c>
      <c r="I232">
        <v>2129.8667</v>
      </c>
      <c r="J232" t="s">
        <v>104</v>
      </c>
      <c r="K232">
        <v>12830608</v>
      </c>
      <c r="L232" t="s">
        <v>1281</v>
      </c>
      <c r="M232" t="s">
        <v>115</v>
      </c>
      <c r="N232" t="s">
        <v>88</v>
      </c>
      <c r="O232" t="s">
        <v>1350</v>
      </c>
      <c r="P232" t="s">
        <v>480</v>
      </c>
      <c r="Q232" t="s">
        <v>29</v>
      </c>
      <c r="R232" t="s">
        <v>25</v>
      </c>
      <c r="S232">
        <v>33.520000000000003</v>
      </c>
      <c r="T232">
        <v>99</v>
      </c>
      <c r="U232" t="s">
        <v>471</v>
      </c>
      <c r="V232">
        <v>1</v>
      </c>
      <c r="X232" t="s">
        <v>1271</v>
      </c>
      <c r="AA232">
        <v>1440</v>
      </c>
      <c r="AB232" t="s">
        <v>26</v>
      </c>
      <c r="AC232">
        <v>188</v>
      </c>
      <c r="AD232" t="s">
        <v>27</v>
      </c>
      <c r="AE232" t="s">
        <v>28</v>
      </c>
      <c r="AF232">
        <v>0</v>
      </c>
      <c r="AK232" s="12">
        <f t="shared" si="36"/>
        <v>46106</v>
      </c>
      <c r="AL232" s="1" t="str">
        <f t="shared" si="37"/>
        <v>Week13</v>
      </c>
      <c r="AM232" s="1" t="s">
        <v>118</v>
      </c>
      <c r="AN232" s="1" t="str">
        <f t="shared" si="38"/>
        <v>NoGo</v>
      </c>
      <c r="AO232" s="2">
        <f t="shared" si="39"/>
        <v>97.016706443914074</v>
      </c>
      <c r="AP232" s="1">
        <f t="shared" si="40"/>
        <v>1</v>
      </c>
      <c r="AQ232" s="1">
        <f t="shared" si="41"/>
        <v>1</v>
      </c>
      <c r="AR232" s="1" t="s">
        <v>96</v>
      </c>
      <c r="AS232" s="1" t="s">
        <v>96</v>
      </c>
      <c r="AT232" s="1" t="s">
        <v>96</v>
      </c>
      <c r="AU232" s="1" t="str">
        <f t="shared" si="42"/>
        <v>Major</v>
      </c>
      <c r="AV232" s="1" t="str">
        <f t="shared" si="43"/>
        <v>12830608Savitha Arun</v>
      </c>
      <c r="AW232" s="1" t="str">
        <f t="shared" si="44"/>
        <v>Major</v>
      </c>
      <c r="AX232" s="1">
        <f t="shared" si="45"/>
        <v>1</v>
      </c>
      <c r="AY232" s="1" t="s">
        <v>29</v>
      </c>
      <c r="AZ232" s="1" t="b">
        <v>1</v>
      </c>
      <c r="BA232" s="1">
        <f t="shared" si="46"/>
        <v>1</v>
      </c>
      <c r="BB232" s="1">
        <f t="shared" si="47"/>
        <v>1</v>
      </c>
      <c r="BC232" s="1" t="s">
        <v>99</v>
      </c>
      <c r="BD232" s="1" t="s">
        <v>1269</v>
      </c>
      <c r="BE232" s="1" t="s">
        <v>1262</v>
      </c>
      <c r="BF232" s="1" t="b">
        <v>1</v>
      </c>
      <c r="BG232" s="1" t="str">
        <f>VLOOKUP(AM232,Group!$C:$H,5,0)</f>
        <v>Top 25</v>
      </c>
      <c r="BH232" s="1" t="str">
        <f>VLOOKUP(P232,others!$C:$G,5,0)</f>
        <v>QA - India</v>
      </c>
    </row>
    <row r="233" spans="1:60" x14ac:dyDescent="0.25">
      <c r="A233" s="14">
        <v>46100.386655092596</v>
      </c>
      <c r="B233" s="14">
        <v>46100.61582175926</v>
      </c>
      <c r="C233" s="14">
        <v>46106.264837962961</v>
      </c>
      <c r="D233" s="14">
        <v>46106.494004629632</v>
      </c>
      <c r="E233" s="14">
        <v>46105.014930555553</v>
      </c>
      <c r="F233" s="14">
        <v>46106.494004629632</v>
      </c>
      <c r="G233" t="s">
        <v>470</v>
      </c>
      <c r="H233">
        <v>1082</v>
      </c>
      <c r="I233">
        <v>2129.8667</v>
      </c>
      <c r="J233" t="s">
        <v>104</v>
      </c>
      <c r="K233">
        <v>12830608</v>
      </c>
      <c r="L233" t="s">
        <v>1281</v>
      </c>
      <c r="M233" t="s">
        <v>115</v>
      </c>
      <c r="N233" t="s">
        <v>88</v>
      </c>
      <c r="O233" t="s">
        <v>1350</v>
      </c>
      <c r="P233" t="s">
        <v>480</v>
      </c>
      <c r="Q233" t="s">
        <v>29</v>
      </c>
      <c r="R233" t="s">
        <v>25</v>
      </c>
      <c r="S233">
        <v>33.520000000000003</v>
      </c>
      <c r="T233">
        <v>99</v>
      </c>
      <c r="U233" t="s">
        <v>100</v>
      </c>
      <c r="V233">
        <v>5</v>
      </c>
      <c r="X233" t="s">
        <v>1271</v>
      </c>
      <c r="AA233">
        <v>1440</v>
      </c>
      <c r="AB233" t="s">
        <v>26</v>
      </c>
      <c r="AC233">
        <v>188</v>
      </c>
      <c r="AD233" t="s">
        <v>27</v>
      </c>
      <c r="AE233" t="s">
        <v>28</v>
      </c>
      <c r="AF233">
        <v>0</v>
      </c>
      <c r="AK233" s="12">
        <f t="shared" si="36"/>
        <v>46106</v>
      </c>
      <c r="AL233" s="1" t="str">
        <f t="shared" si="37"/>
        <v>Week13</v>
      </c>
      <c r="AM233" s="1" t="s">
        <v>118</v>
      </c>
      <c r="AN233" s="1" t="str">
        <f t="shared" si="38"/>
        <v>NoGo</v>
      </c>
      <c r="AO233" s="2">
        <f t="shared" si="39"/>
        <v>97.016706443914074</v>
      </c>
      <c r="AP233" s="1">
        <f t="shared" si="40"/>
        <v>0</v>
      </c>
      <c r="AQ233" s="1">
        <f t="shared" si="41"/>
        <v>1</v>
      </c>
      <c r="AR233" s="1" t="s">
        <v>96</v>
      </c>
      <c r="AS233" s="1" t="s">
        <v>96</v>
      </c>
      <c r="AT233" s="1" t="s">
        <v>96</v>
      </c>
      <c r="AU233" s="1" t="str">
        <f t="shared" si="42"/>
        <v>Minor</v>
      </c>
      <c r="AV233" s="1" t="str">
        <f t="shared" si="43"/>
        <v>12830608Savitha Arun</v>
      </c>
      <c r="AW233" s="1" t="str">
        <f t="shared" si="44"/>
        <v>Minor</v>
      </c>
      <c r="AX233" s="1">
        <f t="shared" si="45"/>
        <v>0</v>
      </c>
      <c r="AY233" s="1" t="s">
        <v>29</v>
      </c>
      <c r="AZ233" s="1" t="b">
        <v>0</v>
      </c>
      <c r="BA233" s="1">
        <f t="shared" si="46"/>
        <v>1</v>
      </c>
      <c r="BB233" s="1">
        <f t="shared" si="47"/>
        <v>5</v>
      </c>
      <c r="BC233" s="1" t="s">
        <v>99</v>
      </c>
      <c r="BD233" s="1" t="s">
        <v>1269</v>
      </c>
      <c r="BE233" s="1" t="s">
        <v>1262</v>
      </c>
      <c r="BF233" s="1" t="b">
        <v>0</v>
      </c>
      <c r="BG233" s="1" t="str">
        <f>VLOOKUP(AM233,Group!$C:$H,5,0)</f>
        <v>Top 25</v>
      </c>
      <c r="BH233" s="1" t="str">
        <f>VLOOKUP(P233,others!$C:$G,5,0)</f>
        <v>QA - India</v>
      </c>
    </row>
    <row r="234" spans="1:60" x14ac:dyDescent="0.25">
      <c r="A234" s="14">
        <v>46098.730624999997</v>
      </c>
      <c r="B234" s="14">
        <v>46098.959791666668</v>
      </c>
      <c r="C234" s="14">
        <v>46106.321655092594</v>
      </c>
      <c r="D234" s="14">
        <v>46106.550821759258</v>
      </c>
      <c r="E234" s="14">
        <v>46103.410092592596</v>
      </c>
      <c r="F234" s="14">
        <v>46106.550821759258</v>
      </c>
      <c r="G234" t="s">
        <v>470</v>
      </c>
      <c r="H234">
        <v>383</v>
      </c>
      <c r="I234">
        <v>4522.6499999999996</v>
      </c>
      <c r="J234" t="s">
        <v>104</v>
      </c>
      <c r="K234">
        <v>12830009</v>
      </c>
      <c r="L234" t="s">
        <v>1272</v>
      </c>
      <c r="M234" t="s">
        <v>101</v>
      </c>
      <c r="N234" t="s">
        <v>88</v>
      </c>
      <c r="O234" t="s">
        <v>1351</v>
      </c>
      <c r="P234" t="s">
        <v>1096</v>
      </c>
      <c r="Q234" t="s">
        <v>24</v>
      </c>
      <c r="R234" t="s">
        <v>25</v>
      </c>
      <c r="S234">
        <v>71.42</v>
      </c>
      <c r="T234">
        <v>100</v>
      </c>
      <c r="U234" t="s">
        <v>100</v>
      </c>
      <c r="V234">
        <v>1</v>
      </c>
      <c r="X234" t="s">
        <v>469</v>
      </c>
      <c r="AA234">
        <v>1440</v>
      </c>
      <c r="AB234" t="s">
        <v>26</v>
      </c>
      <c r="AC234">
        <v>250</v>
      </c>
      <c r="AD234" t="s">
        <v>27</v>
      </c>
      <c r="AE234" t="s">
        <v>28</v>
      </c>
      <c r="AF234">
        <v>0</v>
      </c>
      <c r="AK234" s="12">
        <f t="shared" si="36"/>
        <v>46106</v>
      </c>
      <c r="AL234" s="1" t="str">
        <f t="shared" si="37"/>
        <v>Week13</v>
      </c>
      <c r="AM234" s="1" t="s">
        <v>102</v>
      </c>
      <c r="AN234" s="1" t="str">
        <f t="shared" si="38"/>
        <v>Go</v>
      </c>
      <c r="AO234" s="2">
        <f t="shared" si="39"/>
        <v>100</v>
      </c>
      <c r="AP234" s="1">
        <f t="shared" si="40"/>
        <v>0</v>
      </c>
      <c r="AQ234" s="1">
        <f t="shared" si="41"/>
        <v>0</v>
      </c>
      <c r="AR234" s="1" t="s">
        <v>95</v>
      </c>
      <c r="AS234" s="1" t="s">
        <v>93</v>
      </c>
      <c r="AT234" s="1" t="s">
        <v>93</v>
      </c>
      <c r="AU234" s="1" t="str">
        <f t="shared" si="42"/>
        <v>Minor</v>
      </c>
      <c r="AV234" s="1" t="str">
        <f t="shared" si="43"/>
        <v>12830009Tejas Patel</v>
      </c>
      <c r="AW234" s="1" t="str">
        <f t="shared" si="44"/>
        <v>Minor</v>
      </c>
      <c r="AX234" s="1">
        <f t="shared" si="45"/>
        <v>0</v>
      </c>
      <c r="AY234" s="1" t="s">
        <v>24</v>
      </c>
      <c r="AZ234" s="1" t="b">
        <v>0</v>
      </c>
      <c r="BA234" s="1">
        <f t="shared" si="46"/>
        <v>1</v>
      </c>
      <c r="BB234" s="1">
        <f t="shared" si="47"/>
        <v>1</v>
      </c>
      <c r="BC234" s="1" t="s">
        <v>1096</v>
      </c>
      <c r="BD234" s="1" t="s">
        <v>43</v>
      </c>
      <c r="BE234" s="1" t="s">
        <v>98</v>
      </c>
      <c r="BF234" s="1" t="b">
        <v>0</v>
      </c>
      <c r="BG234" s="1" t="str">
        <f>VLOOKUP(AM234,Group!$C:$H,5,0)</f>
        <v>Top 25</v>
      </c>
      <c r="BH234" s="1" t="str">
        <f>VLOOKUP(P234,others!$C:$G,5,0)</f>
        <v>QA</v>
      </c>
    </row>
    <row r="235" spans="1:60" x14ac:dyDescent="0.25">
      <c r="A235" s="14">
        <v>46100.726793981485</v>
      </c>
      <c r="B235" s="14">
        <v>46100.955960648149</v>
      </c>
      <c r="C235" s="14">
        <v>46106.337175925924</v>
      </c>
      <c r="D235" s="14">
        <v>46106.566342592596</v>
      </c>
      <c r="E235" s="14">
        <v>46105.015208333331</v>
      </c>
      <c r="F235" s="14">
        <v>46106.566342592596</v>
      </c>
      <c r="G235" t="s">
        <v>470</v>
      </c>
      <c r="H235">
        <v>451</v>
      </c>
      <c r="I235">
        <v>2233.6333</v>
      </c>
      <c r="J235" t="s">
        <v>104</v>
      </c>
      <c r="K235">
        <v>12830888</v>
      </c>
      <c r="L235" t="s">
        <v>1272</v>
      </c>
      <c r="M235" t="s">
        <v>101</v>
      </c>
      <c r="N235" t="s">
        <v>88</v>
      </c>
      <c r="O235" t="s">
        <v>456</v>
      </c>
      <c r="P235" t="s">
        <v>457</v>
      </c>
      <c r="Q235" t="s">
        <v>24</v>
      </c>
      <c r="R235" t="s">
        <v>25</v>
      </c>
      <c r="S235">
        <v>50.68</v>
      </c>
      <c r="T235">
        <v>100</v>
      </c>
      <c r="U235" t="s">
        <v>100</v>
      </c>
      <c r="V235">
        <v>4</v>
      </c>
      <c r="X235" t="s">
        <v>469</v>
      </c>
      <c r="AA235">
        <v>1440</v>
      </c>
      <c r="AB235" t="s">
        <v>26</v>
      </c>
      <c r="AC235">
        <v>208</v>
      </c>
      <c r="AD235" t="s">
        <v>27</v>
      </c>
      <c r="AE235" t="s">
        <v>28</v>
      </c>
      <c r="AF235">
        <v>0</v>
      </c>
      <c r="AK235" s="12">
        <f t="shared" si="36"/>
        <v>46106</v>
      </c>
      <c r="AL235" s="1" t="str">
        <f t="shared" si="37"/>
        <v>Week13</v>
      </c>
      <c r="AM235" s="1" t="s">
        <v>102</v>
      </c>
      <c r="AN235" s="1" t="str">
        <f t="shared" si="38"/>
        <v>Go</v>
      </c>
      <c r="AO235" s="2">
        <f t="shared" si="39"/>
        <v>100</v>
      </c>
      <c r="AP235" s="1">
        <f t="shared" si="40"/>
        <v>0</v>
      </c>
      <c r="AQ235" s="1">
        <f t="shared" si="41"/>
        <v>0</v>
      </c>
      <c r="AR235" s="1" t="s">
        <v>95</v>
      </c>
      <c r="AS235" s="1" t="s">
        <v>93</v>
      </c>
      <c r="AT235" s="1" t="s">
        <v>93</v>
      </c>
      <c r="AU235" s="1" t="str">
        <f t="shared" si="42"/>
        <v>Minor</v>
      </c>
      <c r="AV235" s="1" t="str">
        <f t="shared" si="43"/>
        <v>12830888Shiny Iype</v>
      </c>
      <c r="AW235" s="1" t="str">
        <f t="shared" si="44"/>
        <v>Minor</v>
      </c>
      <c r="AX235" s="1">
        <f t="shared" si="45"/>
        <v>0</v>
      </c>
      <c r="AY235" s="1" t="s">
        <v>24</v>
      </c>
      <c r="AZ235" s="1" t="b">
        <v>0</v>
      </c>
      <c r="BA235" s="1">
        <f t="shared" si="46"/>
        <v>1</v>
      </c>
      <c r="BB235" s="1">
        <f t="shared" si="47"/>
        <v>4</v>
      </c>
      <c r="BC235" s="1" t="s">
        <v>457</v>
      </c>
      <c r="BD235" s="1" t="s">
        <v>43</v>
      </c>
      <c r="BE235" s="1" t="s">
        <v>98</v>
      </c>
      <c r="BF235" s="1" t="b">
        <v>0</v>
      </c>
      <c r="BG235" s="1" t="str">
        <f>VLOOKUP(AM235,Group!$C:$H,5,0)</f>
        <v>Top 25</v>
      </c>
      <c r="BH235" s="1" t="str">
        <f>VLOOKUP(P235,others!$C:$G,5,0)</f>
        <v>MTX - India</v>
      </c>
    </row>
    <row r="236" spans="1:60" x14ac:dyDescent="0.25">
      <c r="A236" s="14">
        <v>46100.727280092593</v>
      </c>
      <c r="B236" s="14">
        <v>46100.956446759257</v>
      </c>
      <c r="C236" s="14">
        <v>46106.34097222222</v>
      </c>
      <c r="D236" s="14">
        <v>46106.570138888892</v>
      </c>
      <c r="E236" s="14">
        <v>46105.015277777777</v>
      </c>
      <c r="F236" s="14">
        <v>46106.570138888892</v>
      </c>
      <c r="G236" t="s">
        <v>470</v>
      </c>
      <c r="H236">
        <v>303</v>
      </c>
      <c r="I236">
        <v>2239</v>
      </c>
      <c r="J236" t="s">
        <v>104</v>
      </c>
      <c r="K236">
        <v>12830884</v>
      </c>
      <c r="L236" t="s">
        <v>1272</v>
      </c>
      <c r="M236" t="s">
        <v>101</v>
      </c>
      <c r="N236" t="s">
        <v>88</v>
      </c>
      <c r="O236" t="s">
        <v>131</v>
      </c>
      <c r="P236" t="s">
        <v>132</v>
      </c>
      <c r="Q236" t="s">
        <v>1328</v>
      </c>
      <c r="R236" t="s">
        <v>25</v>
      </c>
      <c r="S236">
        <v>57.29</v>
      </c>
      <c r="T236">
        <v>100</v>
      </c>
      <c r="U236" t="s">
        <v>100</v>
      </c>
      <c r="V236">
        <v>1</v>
      </c>
      <c r="X236" t="s">
        <v>469</v>
      </c>
      <c r="AA236">
        <v>1440</v>
      </c>
      <c r="AB236" t="s">
        <v>26</v>
      </c>
      <c r="AC236">
        <v>201</v>
      </c>
      <c r="AD236" t="s">
        <v>27</v>
      </c>
      <c r="AE236" t="s">
        <v>28</v>
      </c>
      <c r="AF236">
        <v>0</v>
      </c>
      <c r="AK236" s="12">
        <f t="shared" si="36"/>
        <v>46106</v>
      </c>
      <c r="AL236" s="1" t="str">
        <f t="shared" si="37"/>
        <v>Week13</v>
      </c>
      <c r="AM236" s="1" t="s">
        <v>102</v>
      </c>
      <c r="AN236" s="1" t="str">
        <f t="shared" si="38"/>
        <v>Go</v>
      </c>
      <c r="AO236" s="2">
        <f t="shared" si="39"/>
        <v>100</v>
      </c>
      <c r="AP236" s="1">
        <f t="shared" si="40"/>
        <v>0</v>
      </c>
      <c r="AQ236" s="1">
        <f t="shared" si="41"/>
        <v>0</v>
      </c>
      <c r="AR236" s="1" t="s">
        <v>95</v>
      </c>
      <c r="AS236" s="1" t="s">
        <v>96</v>
      </c>
      <c r="AT236" s="1" t="s">
        <v>96</v>
      </c>
      <c r="AU236" s="1" t="str">
        <f t="shared" si="42"/>
        <v>Minor</v>
      </c>
      <c r="AV236" s="1" t="str">
        <f t="shared" si="43"/>
        <v>12830884Pratheep Kumar</v>
      </c>
      <c r="AW236" s="1" t="str">
        <f t="shared" si="44"/>
        <v>Minor</v>
      </c>
      <c r="AX236" s="1">
        <f t="shared" si="45"/>
        <v>0</v>
      </c>
      <c r="AY236" s="1" t="s">
        <v>29</v>
      </c>
      <c r="AZ236" s="1" t="b">
        <v>0</v>
      </c>
      <c r="BA236" s="1">
        <f t="shared" si="46"/>
        <v>1</v>
      </c>
      <c r="BB236" s="1">
        <f t="shared" si="47"/>
        <v>1</v>
      </c>
      <c r="BC236" s="1" t="s">
        <v>132</v>
      </c>
      <c r="BD236" s="1" t="s">
        <v>43</v>
      </c>
      <c r="BE236" s="1" t="s">
        <v>98</v>
      </c>
      <c r="BF236" s="1" t="b">
        <v>0</v>
      </c>
      <c r="BG236" s="1" t="str">
        <f>VLOOKUP(AM236,Group!$C:$H,5,0)</f>
        <v>Top 25</v>
      </c>
      <c r="BH236" s="1" t="str">
        <f>VLOOKUP(P236,others!$C:$G,5,0)</f>
        <v>MT - India</v>
      </c>
    </row>
    <row r="237" spans="1:60" x14ac:dyDescent="0.25">
      <c r="A237" s="14">
        <v>46100.727650462963</v>
      </c>
      <c r="B237" s="14">
        <v>46100.956817129627</v>
      </c>
      <c r="C237" s="14">
        <v>46106.346585648149</v>
      </c>
      <c r="D237" s="14">
        <v>46106.575752314813</v>
      </c>
      <c r="E237" s="14">
        <v>46105.015462962961</v>
      </c>
      <c r="F237" s="14">
        <v>46106.575752314813</v>
      </c>
      <c r="G237" t="s">
        <v>470</v>
      </c>
      <c r="H237">
        <v>475</v>
      </c>
      <c r="I237">
        <v>2246.8166999999999</v>
      </c>
      <c r="J237" t="s">
        <v>104</v>
      </c>
      <c r="K237">
        <v>12830880</v>
      </c>
      <c r="L237" t="s">
        <v>1272</v>
      </c>
      <c r="M237" t="s">
        <v>101</v>
      </c>
      <c r="N237" t="s">
        <v>88</v>
      </c>
      <c r="O237" t="s">
        <v>131</v>
      </c>
      <c r="P237" t="s">
        <v>132</v>
      </c>
      <c r="Q237" t="s">
        <v>1328</v>
      </c>
      <c r="R237" t="s">
        <v>25</v>
      </c>
      <c r="S237">
        <v>53.35</v>
      </c>
      <c r="T237">
        <v>99</v>
      </c>
      <c r="U237" t="s">
        <v>472</v>
      </c>
      <c r="V237">
        <v>1</v>
      </c>
      <c r="X237" t="s">
        <v>469</v>
      </c>
      <c r="AA237">
        <v>1440</v>
      </c>
      <c r="AB237" t="s">
        <v>26</v>
      </c>
      <c r="AC237">
        <v>196</v>
      </c>
      <c r="AD237" t="s">
        <v>27</v>
      </c>
      <c r="AE237" t="s">
        <v>1356</v>
      </c>
      <c r="AF237">
        <v>0</v>
      </c>
      <c r="AK237" s="12">
        <f t="shared" si="36"/>
        <v>46106</v>
      </c>
      <c r="AL237" s="1" t="str">
        <f t="shared" si="37"/>
        <v>Week13</v>
      </c>
      <c r="AM237" s="1" t="s">
        <v>102</v>
      </c>
      <c r="AN237" s="1" t="str">
        <f t="shared" si="38"/>
        <v>NoGo</v>
      </c>
      <c r="AO237" s="2">
        <f t="shared" si="39"/>
        <v>98.125585754451734</v>
      </c>
      <c r="AP237" s="1">
        <f t="shared" si="40"/>
        <v>1</v>
      </c>
      <c r="AQ237" s="1">
        <f t="shared" si="41"/>
        <v>1</v>
      </c>
      <c r="AR237" s="1" t="s">
        <v>95</v>
      </c>
      <c r="AS237" s="1" t="s">
        <v>96</v>
      </c>
      <c r="AT237" s="1" t="s">
        <v>96</v>
      </c>
      <c r="AU237" s="1" t="str">
        <f t="shared" si="42"/>
        <v>Major</v>
      </c>
      <c r="AV237" s="1" t="str">
        <f t="shared" si="43"/>
        <v>12830880Pratheep Kumar</v>
      </c>
      <c r="AW237" s="1" t="str">
        <f t="shared" si="44"/>
        <v>Major</v>
      </c>
      <c r="AX237" s="1">
        <f t="shared" si="45"/>
        <v>1</v>
      </c>
      <c r="AY237" s="1" t="s">
        <v>29</v>
      </c>
      <c r="AZ237" s="1" t="b">
        <v>1</v>
      </c>
      <c r="BA237" s="1">
        <f t="shared" si="46"/>
        <v>1</v>
      </c>
      <c r="BB237" s="1">
        <f t="shared" si="47"/>
        <v>1</v>
      </c>
      <c r="BC237" s="1" t="s">
        <v>132</v>
      </c>
      <c r="BD237" s="1" t="s">
        <v>43</v>
      </c>
      <c r="BE237" s="1" t="s">
        <v>98</v>
      </c>
      <c r="BF237" s="1" t="b">
        <v>1</v>
      </c>
      <c r="BG237" s="1" t="str">
        <f>VLOOKUP(AM237,Group!$C:$H,5,0)</f>
        <v>Top 25</v>
      </c>
      <c r="BH237" s="1" t="str">
        <f>VLOOKUP(P237,others!$C:$G,5,0)</f>
        <v>MT - India</v>
      </c>
    </row>
    <row r="238" spans="1:60" x14ac:dyDescent="0.25">
      <c r="A238" s="14">
        <v>46100.727650462963</v>
      </c>
      <c r="B238" s="14">
        <v>46100.956817129627</v>
      </c>
      <c r="C238" s="14">
        <v>46106.346585648149</v>
      </c>
      <c r="D238" s="14">
        <v>46106.575752314813</v>
      </c>
      <c r="E238" s="14">
        <v>46105.015462962961</v>
      </c>
      <c r="F238" s="14">
        <v>46106.575752314813</v>
      </c>
      <c r="G238" t="s">
        <v>470</v>
      </c>
      <c r="H238">
        <v>475</v>
      </c>
      <c r="I238">
        <v>2246.8166999999999</v>
      </c>
      <c r="J238" t="s">
        <v>104</v>
      </c>
      <c r="K238">
        <v>12830880</v>
      </c>
      <c r="L238" t="s">
        <v>1272</v>
      </c>
      <c r="M238" t="s">
        <v>101</v>
      </c>
      <c r="N238" t="s">
        <v>88</v>
      </c>
      <c r="O238" t="s">
        <v>131</v>
      </c>
      <c r="P238" t="s">
        <v>132</v>
      </c>
      <c r="Q238" t="s">
        <v>1328</v>
      </c>
      <c r="R238" t="s">
        <v>25</v>
      </c>
      <c r="S238">
        <v>53.35</v>
      </c>
      <c r="T238">
        <v>99</v>
      </c>
      <c r="U238" t="s">
        <v>100</v>
      </c>
      <c r="V238">
        <v>1</v>
      </c>
      <c r="X238" t="s">
        <v>469</v>
      </c>
      <c r="AA238">
        <v>1440</v>
      </c>
      <c r="AB238" t="s">
        <v>26</v>
      </c>
      <c r="AC238">
        <v>196</v>
      </c>
      <c r="AD238" t="s">
        <v>27</v>
      </c>
      <c r="AE238" t="s">
        <v>1356</v>
      </c>
      <c r="AF238">
        <v>0</v>
      </c>
      <c r="AK238" s="12">
        <f t="shared" si="36"/>
        <v>46106</v>
      </c>
      <c r="AL238" s="1" t="str">
        <f t="shared" si="37"/>
        <v>Week13</v>
      </c>
      <c r="AM238" s="1" t="s">
        <v>102</v>
      </c>
      <c r="AN238" s="1" t="str">
        <f t="shared" si="38"/>
        <v>NoGo</v>
      </c>
      <c r="AO238" s="2">
        <f t="shared" si="39"/>
        <v>98.125585754451734</v>
      </c>
      <c r="AP238" s="1">
        <f t="shared" si="40"/>
        <v>0</v>
      </c>
      <c r="AQ238" s="1">
        <f t="shared" si="41"/>
        <v>1</v>
      </c>
      <c r="AR238" s="1" t="s">
        <v>95</v>
      </c>
      <c r="AS238" s="1" t="s">
        <v>96</v>
      </c>
      <c r="AT238" s="1" t="s">
        <v>96</v>
      </c>
      <c r="AU238" s="1" t="str">
        <f t="shared" si="42"/>
        <v>Minor</v>
      </c>
      <c r="AV238" s="1" t="str">
        <f t="shared" si="43"/>
        <v>12830880Pratheep Kumar</v>
      </c>
      <c r="AW238" s="1" t="str">
        <f t="shared" si="44"/>
        <v>Minor</v>
      </c>
      <c r="AX238" s="1">
        <f t="shared" si="45"/>
        <v>0</v>
      </c>
      <c r="AY238" s="1" t="s">
        <v>29</v>
      </c>
      <c r="AZ238" s="1" t="b">
        <v>0</v>
      </c>
      <c r="BA238" s="1">
        <f t="shared" si="46"/>
        <v>1</v>
      </c>
      <c r="BB238" s="1">
        <f t="shared" si="47"/>
        <v>1</v>
      </c>
      <c r="BC238" s="1" t="s">
        <v>132</v>
      </c>
      <c r="BD238" s="1" t="s">
        <v>43</v>
      </c>
      <c r="BE238" s="1" t="s">
        <v>98</v>
      </c>
      <c r="BF238" s="1" t="b">
        <v>0</v>
      </c>
      <c r="BG238" s="1" t="str">
        <f>VLOOKUP(AM238,Group!$C:$H,5,0)</f>
        <v>Top 25</v>
      </c>
      <c r="BH238" s="1" t="str">
        <f>VLOOKUP(P238,others!$C:$G,5,0)</f>
        <v>MT - India</v>
      </c>
    </row>
    <row r="239" spans="1:60" x14ac:dyDescent="0.25">
      <c r="A239" s="14">
        <v>46101.379965277774</v>
      </c>
      <c r="B239" s="14">
        <v>46101.609131944446</v>
      </c>
      <c r="C239" s="14">
        <v>46106.727488425924</v>
      </c>
      <c r="D239" s="14">
        <v>46106.956655092596</v>
      </c>
      <c r="E239" s="14">
        <v>46106.911006944443</v>
      </c>
      <c r="F239" s="14">
        <v>46106.956655092596</v>
      </c>
      <c r="G239" t="s">
        <v>470</v>
      </c>
      <c r="H239">
        <v>79</v>
      </c>
      <c r="I239">
        <v>65.7333</v>
      </c>
      <c r="J239" t="s">
        <v>104</v>
      </c>
      <c r="K239">
        <v>12831012</v>
      </c>
      <c r="L239" t="s">
        <v>1383</v>
      </c>
      <c r="M239" t="s">
        <v>154</v>
      </c>
      <c r="N239" t="s">
        <v>97</v>
      </c>
      <c r="O239" t="s">
        <v>1350</v>
      </c>
      <c r="P239" t="s">
        <v>480</v>
      </c>
      <c r="Q239" t="s">
        <v>29</v>
      </c>
      <c r="R239" t="s">
        <v>25</v>
      </c>
      <c r="S239">
        <v>9.1999999999999993</v>
      </c>
      <c r="T239">
        <v>100</v>
      </c>
      <c r="V239">
        <v>0</v>
      </c>
      <c r="X239" t="s">
        <v>1384</v>
      </c>
      <c r="AA239">
        <v>1440</v>
      </c>
      <c r="AB239" t="s">
        <v>26</v>
      </c>
      <c r="AC239">
        <v>56</v>
      </c>
      <c r="AD239" t="s">
        <v>27</v>
      </c>
      <c r="AE239" t="s">
        <v>28</v>
      </c>
      <c r="AF239">
        <v>0</v>
      </c>
      <c r="AK239" s="12">
        <f t="shared" si="36"/>
        <v>46106</v>
      </c>
      <c r="AL239" s="1" t="str">
        <f t="shared" si="37"/>
        <v>Week13</v>
      </c>
      <c r="AM239" s="1" t="s">
        <v>158</v>
      </c>
      <c r="AN239" s="1" t="str">
        <f t="shared" si="38"/>
        <v>Go</v>
      </c>
      <c r="AO239" s="2">
        <f t="shared" si="39"/>
        <v>100</v>
      </c>
      <c r="AP239" s="1">
        <f t="shared" si="40"/>
        <v>0</v>
      </c>
      <c r="AQ239" s="1">
        <f t="shared" si="41"/>
        <v>0</v>
      </c>
      <c r="AR239" s="1" t="s">
        <v>96</v>
      </c>
      <c r="AS239" s="1" t="s">
        <v>96</v>
      </c>
      <c r="AT239" s="1" t="s">
        <v>96</v>
      </c>
      <c r="AU239" s="1" t="str">
        <f t="shared" si="42"/>
        <v/>
      </c>
      <c r="AV239" s="1" t="str">
        <f t="shared" si="43"/>
        <v>12831012Savitha Arun</v>
      </c>
      <c r="AW239" s="1" t="str">
        <f t="shared" si="44"/>
        <v/>
      </c>
      <c r="AX239" s="1" t="str">
        <f t="shared" si="45"/>
        <v/>
      </c>
      <c r="AY239" s="1" t="s">
        <v>29</v>
      </c>
      <c r="AZ239" s="1" t="b">
        <v>0</v>
      </c>
      <c r="BA239" s="1" t="str">
        <f t="shared" si="46"/>
        <v/>
      </c>
      <c r="BB239" s="1">
        <f t="shared" si="47"/>
        <v>0</v>
      </c>
      <c r="BC239" s="1" t="s">
        <v>153</v>
      </c>
      <c r="BD239" s="1" t="s">
        <v>1269</v>
      </c>
      <c r="BE239" s="1" t="s">
        <v>98</v>
      </c>
      <c r="BF239" s="1" t="b">
        <v>0</v>
      </c>
      <c r="BG239" s="1" t="str">
        <f>VLOOKUP(AM239,Group!$C:$H,5,0)</f>
        <v>Others</v>
      </c>
      <c r="BH239" s="1" t="str">
        <f>VLOOKUP(P239,others!$C:$G,5,0)</f>
        <v>QA - India</v>
      </c>
    </row>
    <row r="240" spans="1:60" x14ac:dyDescent="0.25">
      <c r="A240" s="14">
        <v>46098.807442129626</v>
      </c>
      <c r="B240" s="14">
        <v>46099.036608796298</v>
      </c>
      <c r="C240" s="14">
        <v>46106.744189814817</v>
      </c>
      <c r="D240" s="14">
        <v>46106.973356481481</v>
      </c>
      <c r="E240" s="14">
        <v>46106.335868055554</v>
      </c>
      <c r="F240" s="14">
        <v>46106.973356481481</v>
      </c>
      <c r="G240" t="s">
        <v>470</v>
      </c>
      <c r="H240">
        <v>6358</v>
      </c>
      <c r="I240">
        <v>917.98329999999999</v>
      </c>
      <c r="J240" t="s">
        <v>104</v>
      </c>
      <c r="K240">
        <v>12829934</v>
      </c>
      <c r="L240" t="s">
        <v>1327</v>
      </c>
      <c r="M240" t="s">
        <v>136</v>
      </c>
      <c r="N240" t="s">
        <v>88</v>
      </c>
      <c r="O240" t="s">
        <v>465</v>
      </c>
      <c r="P240" t="s">
        <v>153</v>
      </c>
      <c r="Q240" t="s">
        <v>1328</v>
      </c>
      <c r="R240" t="s">
        <v>25</v>
      </c>
      <c r="S240">
        <v>127.92</v>
      </c>
      <c r="T240">
        <v>100</v>
      </c>
      <c r="V240">
        <v>0</v>
      </c>
      <c r="X240" t="s">
        <v>1329</v>
      </c>
      <c r="AA240">
        <v>1440</v>
      </c>
      <c r="AB240" t="s">
        <v>26</v>
      </c>
      <c r="AC240">
        <v>1431</v>
      </c>
      <c r="AD240" t="s">
        <v>27</v>
      </c>
      <c r="AE240" t="s">
        <v>28</v>
      </c>
      <c r="AF240">
        <v>0</v>
      </c>
      <c r="AK240" s="12">
        <f t="shared" si="36"/>
        <v>46106</v>
      </c>
      <c r="AL240" s="1" t="str">
        <f t="shared" si="37"/>
        <v>Week13</v>
      </c>
      <c r="AM240" s="1" t="s">
        <v>138</v>
      </c>
      <c r="AN240" s="1" t="str">
        <f t="shared" si="38"/>
        <v>Go</v>
      </c>
      <c r="AO240" s="2">
        <f t="shared" si="39"/>
        <v>100</v>
      </c>
      <c r="AP240" s="1">
        <f t="shared" si="40"/>
        <v>0</v>
      </c>
      <c r="AQ240" s="1">
        <f t="shared" si="41"/>
        <v>0</v>
      </c>
      <c r="AR240" s="1" t="s">
        <v>96</v>
      </c>
      <c r="AS240" s="1" t="s">
        <v>96</v>
      </c>
      <c r="AT240" s="1" t="s">
        <v>96</v>
      </c>
      <c r="AU240" s="1" t="str">
        <f t="shared" si="42"/>
        <v/>
      </c>
      <c r="AV240" s="1" t="str">
        <f t="shared" si="43"/>
        <v>12829934Sivasankari A</v>
      </c>
      <c r="AW240" s="1" t="str">
        <f t="shared" si="44"/>
        <v/>
      </c>
      <c r="AX240" s="1" t="str">
        <f t="shared" si="45"/>
        <v/>
      </c>
      <c r="AY240" s="1" t="s">
        <v>29</v>
      </c>
      <c r="AZ240" s="1" t="b">
        <v>0</v>
      </c>
      <c r="BA240" s="1" t="str">
        <f t="shared" si="46"/>
        <v/>
      </c>
      <c r="BB240" s="1">
        <f t="shared" si="47"/>
        <v>0</v>
      </c>
      <c r="BC240" s="1" t="s">
        <v>153</v>
      </c>
      <c r="BD240" s="1" t="s">
        <v>43</v>
      </c>
      <c r="BE240" s="1" t="s">
        <v>98</v>
      </c>
      <c r="BF240" s="1" t="b">
        <v>0</v>
      </c>
      <c r="BG240" s="1" t="str">
        <f>VLOOKUP(AM240,Group!$C:$H,5,0)</f>
        <v>Top 25</v>
      </c>
      <c r="BH240" s="1" t="str">
        <f>VLOOKUP(P240,others!$C:$G,5,0)</f>
        <v>VR QA - India</v>
      </c>
    </row>
    <row r="241" spans="1:60" x14ac:dyDescent="0.25">
      <c r="A241" s="14">
        <v>46100.723819444444</v>
      </c>
      <c r="B241" s="14">
        <v>46100.952986111108</v>
      </c>
      <c r="C241" s="14">
        <v>46106.759004629632</v>
      </c>
      <c r="D241" s="14">
        <v>46106.988171296296</v>
      </c>
      <c r="E241" s="14">
        <v>46106.336064814815</v>
      </c>
      <c r="F241" s="14">
        <v>46106.988171296296</v>
      </c>
      <c r="G241" t="s">
        <v>470</v>
      </c>
      <c r="H241">
        <v>1262</v>
      </c>
      <c r="I241">
        <v>939.03330000000005</v>
      </c>
      <c r="J241" t="s">
        <v>104</v>
      </c>
      <c r="K241">
        <v>12830754</v>
      </c>
      <c r="L241" t="s">
        <v>1327</v>
      </c>
      <c r="M241" t="s">
        <v>136</v>
      </c>
      <c r="N241" t="s">
        <v>88</v>
      </c>
      <c r="O241" t="s">
        <v>465</v>
      </c>
      <c r="P241" t="s">
        <v>153</v>
      </c>
      <c r="Q241" t="s">
        <v>1328</v>
      </c>
      <c r="R241" t="s">
        <v>25</v>
      </c>
      <c r="S241">
        <v>137.66</v>
      </c>
      <c r="T241">
        <v>100</v>
      </c>
      <c r="V241">
        <v>0</v>
      </c>
      <c r="X241" t="s">
        <v>1329</v>
      </c>
      <c r="AA241">
        <v>1440</v>
      </c>
      <c r="AB241" t="s">
        <v>26</v>
      </c>
      <c r="AC241">
        <v>1078</v>
      </c>
      <c r="AD241" t="s">
        <v>27</v>
      </c>
      <c r="AE241" t="s">
        <v>28</v>
      </c>
      <c r="AF241">
        <v>0</v>
      </c>
      <c r="AK241" s="12">
        <f t="shared" si="36"/>
        <v>46106</v>
      </c>
      <c r="AL241" s="1" t="str">
        <f t="shared" si="37"/>
        <v>Week13</v>
      </c>
      <c r="AM241" s="1" t="s">
        <v>138</v>
      </c>
      <c r="AN241" s="1" t="str">
        <f t="shared" si="38"/>
        <v>Go</v>
      </c>
      <c r="AO241" s="2">
        <f t="shared" si="39"/>
        <v>100</v>
      </c>
      <c r="AP241" s="1">
        <f t="shared" si="40"/>
        <v>0</v>
      </c>
      <c r="AQ241" s="1">
        <f t="shared" si="41"/>
        <v>0</v>
      </c>
      <c r="AR241" s="1" t="s">
        <v>96</v>
      </c>
      <c r="AS241" s="1" t="s">
        <v>96</v>
      </c>
      <c r="AT241" s="1" t="s">
        <v>96</v>
      </c>
      <c r="AU241" s="1" t="str">
        <f t="shared" si="42"/>
        <v/>
      </c>
      <c r="AV241" s="1" t="str">
        <f t="shared" si="43"/>
        <v>12830754Sivasankari A</v>
      </c>
      <c r="AW241" s="1" t="str">
        <f t="shared" si="44"/>
        <v/>
      </c>
      <c r="AX241" s="1" t="str">
        <f t="shared" si="45"/>
        <v/>
      </c>
      <c r="AY241" s="1" t="s">
        <v>29</v>
      </c>
      <c r="AZ241" s="1" t="b">
        <v>0</v>
      </c>
      <c r="BA241" s="1" t="str">
        <f t="shared" si="46"/>
        <v/>
      </c>
      <c r="BB241" s="1">
        <f t="shared" si="47"/>
        <v>0</v>
      </c>
      <c r="BC241" s="1" t="s">
        <v>153</v>
      </c>
      <c r="BD241" s="1" t="s">
        <v>43</v>
      </c>
      <c r="BE241" s="1" t="s">
        <v>98</v>
      </c>
      <c r="BF241" s="1" t="b">
        <v>0</v>
      </c>
      <c r="BG241" s="1" t="str">
        <f>VLOOKUP(AM241,Group!$C:$H,5,0)</f>
        <v>Top 25</v>
      </c>
      <c r="BH241" s="1" t="str">
        <f>VLOOKUP(P241,others!$C:$G,5,0)</f>
        <v>VR QA - India</v>
      </c>
    </row>
    <row r="242" spans="1:60" x14ac:dyDescent="0.25">
      <c r="A242" s="14">
        <v>46100.665914351855</v>
      </c>
      <c r="B242" s="14">
        <v>46100.89508101852</v>
      </c>
      <c r="C242" s="14">
        <v>46106.763449074075</v>
      </c>
      <c r="D242" s="14">
        <v>46106.992615740739</v>
      </c>
      <c r="E242" s="14">
        <v>46106.910613425927</v>
      </c>
      <c r="F242" s="14">
        <v>46106.992615740739</v>
      </c>
      <c r="G242" t="s">
        <v>470</v>
      </c>
      <c r="H242">
        <v>360</v>
      </c>
      <c r="I242">
        <v>118.08329999999999</v>
      </c>
      <c r="J242" t="s">
        <v>104</v>
      </c>
      <c r="K242">
        <v>12830739</v>
      </c>
      <c r="L242" t="s">
        <v>1334</v>
      </c>
      <c r="M242" t="s">
        <v>136</v>
      </c>
      <c r="N242" t="s">
        <v>88</v>
      </c>
      <c r="O242" t="s">
        <v>465</v>
      </c>
      <c r="P242" t="s">
        <v>153</v>
      </c>
      <c r="Q242" t="s">
        <v>1328</v>
      </c>
      <c r="R242" t="s">
        <v>25</v>
      </c>
      <c r="S242">
        <v>87.94</v>
      </c>
      <c r="T242">
        <v>100</v>
      </c>
      <c r="V242">
        <v>0</v>
      </c>
      <c r="X242" t="s">
        <v>1335</v>
      </c>
      <c r="AA242">
        <v>1440</v>
      </c>
      <c r="AB242" t="s">
        <v>26</v>
      </c>
      <c r="AC242">
        <v>326</v>
      </c>
      <c r="AD242" t="s">
        <v>27</v>
      </c>
      <c r="AE242" t="s">
        <v>28</v>
      </c>
      <c r="AF242">
        <v>0</v>
      </c>
      <c r="AK242" s="12">
        <f t="shared" si="36"/>
        <v>46106</v>
      </c>
      <c r="AL242" s="1" t="str">
        <f t="shared" si="37"/>
        <v>Week13</v>
      </c>
      <c r="AM242" s="1" t="s">
        <v>138</v>
      </c>
      <c r="AN242" s="1" t="str">
        <f t="shared" si="38"/>
        <v>Go</v>
      </c>
      <c r="AO242" s="2">
        <f t="shared" si="39"/>
        <v>100</v>
      </c>
      <c r="AP242" s="1">
        <f t="shared" si="40"/>
        <v>0</v>
      </c>
      <c r="AQ242" s="1">
        <f t="shared" si="41"/>
        <v>0</v>
      </c>
      <c r="AR242" s="1" t="s">
        <v>96</v>
      </c>
      <c r="AS242" s="1" t="s">
        <v>96</v>
      </c>
      <c r="AT242" s="1" t="s">
        <v>96</v>
      </c>
      <c r="AU242" s="1" t="str">
        <f t="shared" si="42"/>
        <v/>
      </c>
      <c r="AV242" s="1" t="str">
        <f t="shared" si="43"/>
        <v>12830739Sivasankari A</v>
      </c>
      <c r="AW242" s="1" t="str">
        <f t="shared" si="44"/>
        <v/>
      </c>
      <c r="AX242" s="1" t="str">
        <f t="shared" si="45"/>
        <v/>
      </c>
      <c r="AY242" s="1" t="s">
        <v>29</v>
      </c>
      <c r="AZ242" s="1" t="b">
        <v>0</v>
      </c>
      <c r="BA242" s="1" t="str">
        <f t="shared" si="46"/>
        <v/>
      </c>
      <c r="BB242" s="1">
        <f t="shared" si="47"/>
        <v>0</v>
      </c>
      <c r="BC242" s="1" t="s">
        <v>153</v>
      </c>
      <c r="BD242" s="1" t="s">
        <v>43</v>
      </c>
      <c r="BE242" s="1" t="s">
        <v>98</v>
      </c>
      <c r="BF242" s="1" t="b">
        <v>0</v>
      </c>
      <c r="BG242" s="1" t="str">
        <f>VLOOKUP(AM242,Group!$C:$H,5,0)</f>
        <v>Top 25</v>
      </c>
      <c r="BH242" s="1" t="str">
        <f>VLOOKUP(P242,others!$C:$G,5,0)</f>
        <v>VR QA - India</v>
      </c>
    </row>
    <row r="243" spans="1:60" x14ac:dyDescent="0.25">
      <c r="A243" s="14">
        <v>46100.659641203703</v>
      </c>
      <c r="B243" s="14">
        <v>46100.888807870368</v>
      </c>
      <c r="C243" s="14">
        <v>46106.771724537037</v>
      </c>
      <c r="D243" s="14">
        <v>46107.000891203701</v>
      </c>
      <c r="E243" s="14">
        <v>46106.3359837963</v>
      </c>
      <c r="F243" s="14">
        <v>46107.000891203701</v>
      </c>
      <c r="G243" t="s">
        <v>470</v>
      </c>
      <c r="H243">
        <v>703</v>
      </c>
      <c r="I243">
        <v>957.46669999999995</v>
      </c>
      <c r="J243" t="s">
        <v>104</v>
      </c>
      <c r="K243">
        <v>12830737</v>
      </c>
      <c r="L243" t="s">
        <v>1334</v>
      </c>
      <c r="M243" t="s">
        <v>136</v>
      </c>
      <c r="N243" t="s">
        <v>88</v>
      </c>
      <c r="O243" t="s">
        <v>465</v>
      </c>
      <c r="P243" t="s">
        <v>153</v>
      </c>
      <c r="Q243" t="s">
        <v>1328</v>
      </c>
      <c r="R243" t="s">
        <v>25</v>
      </c>
      <c r="S243">
        <v>117.06</v>
      </c>
      <c r="T243">
        <v>100</v>
      </c>
      <c r="V243">
        <v>0</v>
      </c>
      <c r="X243" t="s">
        <v>1335</v>
      </c>
      <c r="AA243">
        <v>1440</v>
      </c>
      <c r="AB243" t="s">
        <v>26</v>
      </c>
      <c r="AC243">
        <v>556</v>
      </c>
      <c r="AD243" t="s">
        <v>27</v>
      </c>
      <c r="AE243" t="s">
        <v>28</v>
      </c>
      <c r="AF243">
        <v>0</v>
      </c>
      <c r="AK243" s="12">
        <f t="shared" si="36"/>
        <v>46107</v>
      </c>
      <c r="AL243" s="1" t="str">
        <f t="shared" si="37"/>
        <v>Week13</v>
      </c>
      <c r="AM243" s="1" t="s">
        <v>138</v>
      </c>
      <c r="AN243" s="1" t="str">
        <f t="shared" si="38"/>
        <v>Go</v>
      </c>
      <c r="AO243" s="2">
        <f t="shared" si="39"/>
        <v>100</v>
      </c>
      <c r="AP243" s="1">
        <f t="shared" si="40"/>
        <v>0</v>
      </c>
      <c r="AQ243" s="1">
        <f t="shared" si="41"/>
        <v>0</v>
      </c>
      <c r="AR243" s="1" t="s">
        <v>96</v>
      </c>
      <c r="AS243" s="1" t="s">
        <v>96</v>
      </c>
      <c r="AT243" s="1" t="s">
        <v>96</v>
      </c>
      <c r="AU243" s="1" t="str">
        <f t="shared" si="42"/>
        <v/>
      </c>
      <c r="AV243" s="1" t="str">
        <f t="shared" si="43"/>
        <v>12830737Sivasankari A</v>
      </c>
      <c r="AW243" s="1" t="str">
        <f t="shared" si="44"/>
        <v/>
      </c>
      <c r="AX243" s="1" t="str">
        <f t="shared" si="45"/>
        <v/>
      </c>
      <c r="AY243" s="1" t="s">
        <v>29</v>
      </c>
      <c r="AZ243" s="1" t="b">
        <v>0</v>
      </c>
      <c r="BA243" s="1" t="str">
        <f t="shared" si="46"/>
        <v/>
      </c>
      <c r="BB243" s="1">
        <f t="shared" si="47"/>
        <v>0</v>
      </c>
      <c r="BC243" s="1" t="s">
        <v>153</v>
      </c>
      <c r="BD243" s="1" t="s">
        <v>43</v>
      </c>
      <c r="BE243" s="1" t="s">
        <v>98</v>
      </c>
      <c r="BF243" s="1" t="b">
        <v>0</v>
      </c>
      <c r="BG243" s="1" t="str">
        <f>VLOOKUP(AM243,Group!$C:$H,5,0)</f>
        <v>Top 25</v>
      </c>
      <c r="BH243" s="1" t="str">
        <f>VLOOKUP(P243,others!$C:$G,5,0)</f>
        <v>VR QA - India</v>
      </c>
    </row>
    <row r="244" spans="1:60" x14ac:dyDescent="0.25">
      <c r="A244" s="14">
        <v>46100.781597222223</v>
      </c>
      <c r="B244" s="14">
        <v>46101.010763888888</v>
      </c>
      <c r="C244" s="14">
        <v>46107.187974537039</v>
      </c>
      <c r="D244" s="14">
        <v>46107.417141203703</v>
      </c>
      <c r="E244" s="14">
        <v>46106.910787037035</v>
      </c>
      <c r="F244" s="14">
        <v>46107.417141203703</v>
      </c>
      <c r="G244" t="s">
        <v>470</v>
      </c>
      <c r="H244">
        <v>400</v>
      </c>
      <c r="I244">
        <v>729.15</v>
      </c>
      <c r="J244" t="s">
        <v>104</v>
      </c>
      <c r="K244">
        <v>12830905</v>
      </c>
      <c r="L244" t="s">
        <v>1260</v>
      </c>
      <c r="M244" t="s">
        <v>101</v>
      </c>
      <c r="N244" t="s">
        <v>88</v>
      </c>
      <c r="O244" t="s">
        <v>1351</v>
      </c>
      <c r="P244" t="s">
        <v>1096</v>
      </c>
      <c r="Q244" t="s">
        <v>24</v>
      </c>
      <c r="R244" t="s">
        <v>25</v>
      </c>
      <c r="S244">
        <v>40.68</v>
      </c>
      <c r="T244">
        <v>100</v>
      </c>
      <c r="U244" t="s">
        <v>100</v>
      </c>
      <c r="V244">
        <v>4</v>
      </c>
      <c r="X244" t="s">
        <v>469</v>
      </c>
      <c r="AA244">
        <v>1440</v>
      </c>
      <c r="AB244" t="s">
        <v>26</v>
      </c>
      <c r="AC244">
        <v>218</v>
      </c>
      <c r="AD244" t="s">
        <v>27</v>
      </c>
      <c r="AE244" t="s">
        <v>28</v>
      </c>
      <c r="AF244">
        <v>0</v>
      </c>
      <c r="AK244" s="12">
        <f t="shared" si="36"/>
        <v>46107</v>
      </c>
      <c r="AL244" s="1" t="str">
        <f t="shared" si="37"/>
        <v>Week13</v>
      </c>
      <c r="AM244" s="1" t="s">
        <v>102</v>
      </c>
      <c r="AN244" s="1" t="str">
        <f t="shared" si="38"/>
        <v>Go</v>
      </c>
      <c r="AO244" s="2">
        <f t="shared" si="39"/>
        <v>100</v>
      </c>
      <c r="AP244" s="1">
        <f t="shared" si="40"/>
        <v>0</v>
      </c>
      <c r="AQ244" s="1">
        <f t="shared" si="41"/>
        <v>0</v>
      </c>
      <c r="AR244" s="1" t="s">
        <v>95</v>
      </c>
      <c r="AS244" s="1" t="s">
        <v>93</v>
      </c>
      <c r="AT244" s="1" t="s">
        <v>93</v>
      </c>
      <c r="AU244" s="1" t="str">
        <f t="shared" si="42"/>
        <v>Minor</v>
      </c>
      <c r="AV244" s="1" t="str">
        <f t="shared" si="43"/>
        <v>12830905Tejas Patel</v>
      </c>
      <c r="AW244" s="1" t="str">
        <f t="shared" si="44"/>
        <v>Minor</v>
      </c>
      <c r="AX244" s="1">
        <f t="shared" si="45"/>
        <v>0</v>
      </c>
      <c r="AY244" s="1" t="s">
        <v>24</v>
      </c>
      <c r="AZ244" s="1" t="b">
        <v>0</v>
      </c>
      <c r="BA244" s="1">
        <f t="shared" si="46"/>
        <v>1</v>
      </c>
      <c r="BB244" s="1">
        <f t="shared" si="47"/>
        <v>4</v>
      </c>
      <c r="BC244" s="1" t="s">
        <v>1096</v>
      </c>
      <c r="BD244" s="1" t="s">
        <v>43</v>
      </c>
      <c r="BE244" s="1" t="s">
        <v>98</v>
      </c>
      <c r="BF244" s="1" t="b">
        <v>0</v>
      </c>
      <c r="BG244" s="1" t="str">
        <f>VLOOKUP(AM244,Group!$C:$H,5,0)</f>
        <v>Top 25</v>
      </c>
      <c r="BH244" s="1" t="str">
        <f>VLOOKUP(P244,others!$C:$G,5,0)</f>
        <v>QA</v>
      </c>
    </row>
    <row r="245" spans="1:60" x14ac:dyDescent="0.25">
      <c r="A245" s="14">
        <v>46101.36273148148</v>
      </c>
      <c r="B245" s="14">
        <v>46101.591898148145</v>
      </c>
      <c r="C245" s="14">
        <v>46107.199363425927</v>
      </c>
      <c r="D245" s="14">
        <v>46107.428530092591</v>
      </c>
      <c r="E245" s="14">
        <v>46106.3362037037</v>
      </c>
      <c r="F245" s="14">
        <v>46107.428530092591</v>
      </c>
      <c r="G245" t="s">
        <v>470</v>
      </c>
      <c r="H245">
        <v>1131</v>
      </c>
      <c r="I245">
        <v>1572.95</v>
      </c>
      <c r="J245" t="s">
        <v>104</v>
      </c>
      <c r="K245">
        <v>12831005</v>
      </c>
      <c r="L245" t="s">
        <v>1385</v>
      </c>
      <c r="M245" t="s">
        <v>116</v>
      </c>
      <c r="N245" t="s">
        <v>1386</v>
      </c>
      <c r="O245" t="s">
        <v>1351</v>
      </c>
      <c r="P245" t="s">
        <v>1096</v>
      </c>
      <c r="Q245" t="s">
        <v>24</v>
      </c>
      <c r="R245" t="s">
        <v>1241</v>
      </c>
      <c r="S245">
        <v>144.28</v>
      </c>
      <c r="T245">
        <v>98</v>
      </c>
      <c r="U245" t="s">
        <v>471</v>
      </c>
      <c r="V245">
        <v>1</v>
      </c>
      <c r="X245" t="s">
        <v>1387</v>
      </c>
      <c r="AA245">
        <v>1440</v>
      </c>
      <c r="AB245" t="s">
        <v>26</v>
      </c>
      <c r="AC245">
        <v>623</v>
      </c>
      <c r="AD245" t="s">
        <v>27</v>
      </c>
      <c r="AE245" t="s">
        <v>28</v>
      </c>
      <c r="AF245">
        <v>0</v>
      </c>
      <c r="AK245" s="12">
        <f t="shared" si="36"/>
        <v>46107</v>
      </c>
      <c r="AL245" s="1" t="str">
        <f t="shared" si="37"/>
        <v>Week13</v>
      </c>
      <c r="AM245" s="1" t="s">
        <v>119</v>
      </c>
      <c r="AN245" s="1" t="str">
        <f t="shared" si="38"/>
        <v>Go</v>
      </c>
      <c r="AO245" s="2">
        <f t="shared" si="39"/>
        <v>98.613806487385645</v>
      </c>
      <c r="AP245" s="1">
        <f t="shared" si="40"/>
        <v>1</v>
      </c>
      <c r="AQ245" s="1">
        <f t="shared" si="41"/>
        <v>2</v>
      </c>
      <c r="AR245" s="1" t="s">
        <v>95</v>
      </c>
      <c r="AS245" s="1" t="s">
        <v>93</v>
      </c>
      <c r="AT245" s="1" t="s">
        <v>93</v>
      </c>
      <c r="AU245" s="1" t="str">
        <f t="shared" si="42"/>
        <v>Major</v>
      </c>
      <c r="AV245" s="1" t="str">
        <f t="shared" si="43"/>
        <v>12831005Tejas Patel</v>
      </c>
      <c r="AW245" s="1" t="str">
        <f t="shared" si="44"/>
        <v>Major</v>
      </c>
      <c r="AX245" s="1">
        <f t="shared" si="45"/>
        <v>1</v>
      </c>
      <c r="AY245" s="1" t="s">
        <v>24</v>
      </c>
      <c r="AZ245" s="1" t="b">
        <v>1</v>
      </c>
      <c r="BA245" s="1">
        <f t="shared" si="46"/>
        <v>1</v>
      </c>
      <c r="BB245" s="1">
        <f t="shared" si="47"/>
        <v>1</v>
      </c>
      <c r="BC245" s="1" t="s">
        <v>1096</v>
      </c>
      <c r="BD245" s="1" t="s">
        <v>43</v>
      </c>
      <c r="BE245" s="1" t="s">
        <v>98</v>
      </c>
      <c r="BF245" s="1" t="b">
        <v>1</v>
      </c>
      <c r="BG245" s="1" t="str">
        <f>VLOOKUP(AM245,Group!$C:$H,5,0)</f>
        <v>Top 25</v>
      </c>
      <c r="BH245" s="1" t="str">
        <f>VLOOKUP(P245,others!$C:$G,5,0)</f>
        <v>QA</v>
      </c>
    </row>
    <row r="246" spans="1:60" x14ac:dyDescent="0.25">
      <c r="A246" s="14">
        <v>46101.36273148148</v>
      </c>
      <c r="B246" s="14">
        <v>46101.591898148145</v>
      </c>
      <c r="C246" s="14">
        <v>46107.199363425927</v>
      </c>
      <c r="D246" s="14">
        <v>46107.428530092591</v>
      </c>
      <c r="E246" s="14">
        <v>46106.3362037037</v>
      </c>
      <c r="F246" s="14">
        <v>46107.428530092591</v>
      </c>
      <c r="G246" t="s">
        <v>470</v>
      </c>
      <c r="H246">
        <v>1131</v>
      </c>
      <c r="I246">
        <v>1572.95</v>
      </c>
      <c r="J246" t="s">
        <v>104</v>
      </c>
      <c r="K246">
        <v>12831005</v>
      </c>
      <c r="L246" t="s">
        <v>1385</v>
      </c>
      <c r="M246" t="s">
        <v>116</v>
      </c>
      <c r="N246" t="s">
        <v>1386</v>
      </c>
      <c r="O246" t="s">
        <v>1351</v>
      </c>
      <c r="P246" t="s">
        <v>1096</v>
      </c>
      <c r="Q246" t="s">
        <v>24</v>
      </c>
      <c r="R246" t="s">
        <v>1241</v>
      </c>
      <c r="S246">
        <v>144.28</v>
      </c>
      <c r="T246">
        <v>98</v>
      </c>
      <c r="U246" t="s">
        <v>1243</v>
      </c>
      <c r="V246">
        <v>1</v>
      </c>
      <c r="X246" t="s">
        <v>1387</v>
      </c>
      <c r="AA246">
        <v>1440</v>
      </c>
      <c r="AB246" t="s">
        <v>26</v>
      </c>
      <c r="AC246">
        <v>623</v>
      </c>
      <c r="AD246" t="s">
        <v>27</v>
      </c>
      <c r="AE246" t="s">
        <v>28</v>
      </c>
      <c r="AF246">
        <v>0</v>
      </c>
      <c r="AK246" s="12">
        <f t="shared" si="36"/>
        <v>46107</v>
      </c>
      <c r="AL246" s="1" t="str">
        <f t="shared" si="37"/>
        <v>Week13</v>
      </c>
      <c r="AM246" s="1" t="s">
        <v>119</v>
      </c>
      <c r="AN246" s="1" t="str">
        <f t="shared" si="38"/>
        <v>Go</v>
      </c>
      <c r="AO246" s="2">
        <f t="shared" si="39"/>
        <v>98.613806487385645</v>
      </c>
      <c r="AP246" s="1">
        <f t="shared" si="40"/>
        <v>1</v>
      </c>
      <c r="AQ246" s="1">
        <f t="shared" si="41"/>
        <v>2</v>
      </c>
      <c r="AR246" s="1" t="s">
        <v>95</v>
      </c>
      <c r="AS246" s="1" t="s">
        <v>93</v>
      </c>
      <c r="AT246" s="1" t="s">
        <v>93</v>
      </c>
      <c r="AU246" s="1" t="str">
        <f t="shared" si="42"/>
        <v>Major</v>
      </c>
      <c r="AV246" s="1" t="str">
        <f t="shared" si="43"/>
        <v>12831005Tejas Patel</v>
      </c>
      <c r="AW246" s="1" t="str">
        <f t="shared" si="44"/>
        <v>Major</v>
      </c>
      <c r="AX246" s="1">
        <f t="shared" si="45"/>
        <v>1</v>
      </c>
      <c r="AY246" s="1" t="s">
        <v>24</v>
      </c>
      <c r="AZ246" s="1" t="b">
        <v>1</v>
      </c>
      <c r="BA246" s="1">
        <f t="shared" si="46"/>
        <v>1</v>
      </c>
      <c r="BB246" s="1">
        <f t="shared" si="47"/>
        <v>1</v>
      </c>
      <c r="BC246" s="1" t="s">
        <v>1096</v>
      </c>
      <c r="BD246" s="1" t="s">
        <v>43</v>
      </c>
      <c r="BE246" s="1" t="s">
        <v>98</v>
      </c>
      <c r="BF246" s="1" t="b">
        <v>1</v>
      </c>
      <c r="BG246" s="1" t="str">
        <f>VLOOKUP(AM246,Group!$C:$H,5,0)</f>
        <v>Top 25</v>
      </c>
      <c r="BH246" s="1" t="str">
        <f>VLOOKUP(P246,others!$C:$G,5,0)</f>
        <v>QA</v>
      </c>
    </row>
    <row r="247" spans="1:60" x14ac:dyDescent="0.25">
      <c r="A247" s="14">
        <v>46101.36273148148</v>
      </c>
      <c r="B247" s="14">
        <v>46101.591898148145</v>
      </c>
      <c r="C247" s="14">
        <v>46107.199363425927</v>
      </c>
      <c r="D247" s="14">
        <v>46107.428530092591</v>
      </c>
      <c r="E247" s="14">
        <v>46106.3362037037</v>
      </c>
      <c r="F247" s="14">
        <v>46107.428530092591</v>
      </c>
      <c r="G247" t="s">
        <v>470</v>
      </c>
      <c r="H247">
        <v>1131</v>
      </c>
      <c r="I247">
        <v>1572.95</v>
      </c>
      <c r="J247" t="s">
        <v>104</v>
      </c>
      <c r="K247">
        <v>12831005</v>
      </c>
      <c r="L247" t="s">
        <v>1385</v>
      </c>
      <c r="M247" t="s">
        <v>116</v>
      </c>
      <c r="N247" t="s">
        <v>1386</v>
      </c>
      <c r="O247" t="s">
        <v>1351</v>
      </c>
      <c r="P247" t="s">
        <v>1096</v>
      </c>
      <c r="Q247" t="s">
        <v>24</v>
      </c>
      <c r="R247" t="s">
        <v>1241</v>
      </c>
      <c r="S247">
        <v>144.28</v>
      </c>
      <c r="T247">
        <v>98</v>
      </c>
      <c r="U247" t="s">
        <v>100</v>
      </c>
      <c r="V247">
        <v>5</v>
      </c>
      <c r="X247" t="s">
        <v>1387</v>
      </c>
      <c r="AA247">
        <v>1440</v>
      </c>
      <c r="AB247" t="s">
        <v>26</v>
      </c>
      <c r="AC247">
        <v>623</v>
      </c>
      <c r="AD247" t="s">
        <v>27</v>
      </c>
      <c r="AE247" t="s">
        <v>28</v>
      </c>
      <c r="AF247">
        <v>0</v>
      </c>
      <c r="AK247" s="12">
        <f t="shared" si="36"/>
        <v>46107</v>
      </c>
      <c r="AL247" s="1" t="str">
        <f t="shared" si="37"/>
        <v>Week13</v>
      </c>
      <c r="AM247" s="1" t="s">
        <v>119</v>
      </c>
      <c r="AN247" s="1" t="str">
        <f t="shared" si="38"/>
        <v>Go</v>
      </c>
      <c r="AO247" s="2">
        <f t="shared" si="39"/>
        <v>98.613806487385645</v>
      </c>
      <c r="AP247" s="1">
        <f t="shared" si="40"/>
        <v>0</v>
      </c>
      <c r="AQ247" s="1">
        <f t="shared" si="41"/>
        <v>2</v>
      </c>
      <c r="AR247" s="1" t="s">
        <v>95</v>
      </c>
      <c r="AS247" s="1" t="s">
        <v>93</v>
      </c>
      <c r="AT247" s="1" t="s">
        <v>93</v>
      </c>
      <c r="AU247" s="1" t="str">
        <f t="shared" si="42"/>
        <v>Minor</v>
      </c>
      <c r="AV247" s="1" t="str">
        <f t="shared" si="43"/>
        <v>12831005Tejas Patel</v>
      </c>
      <c r="AW247" s="1" t="str">
        <f t="shared" si="44"/>
        <v>Minor</v>
      </c>
      <c r="AX247" s="1">
        <f t="shared" si="45"/>
        <v>0</v>
      </c>
      <c r="AY247" s="1" t="s">
        <v>24</v>
      </c>
      <c r="AZ247" s="1" t="b">
        <v>0</v>
      </c>
      <c r="BA247" s="1">
        <f t="shared" si="46"/>
        <v>1</v>
      </c>
      <c r="BB247" s="1">
        <f t="shared" si="47"/>
        <v>5</v>
      </c>
      <c r="BC247" s="1" t="s">
        <v>1096</v>
      </c>
      <c r="BD247" s="1" t="s">
        <v>43</v>
      </c>
      <c r="BE247" s="1" t="s">
        <v>98</v>
      </c>
      <c r="BF247" s="1" t="b">
        <v>0</v>
      </c>
      <c r="BG247" s="1" t="str">
        <f>VLOOKUP(AM247,Group!$C:$H,5,0)</f>
        <v>Top 25</v>
      </c>
      <c r="BH247" s="1" t="str">
        <f>VLOOKUP(P247,others!$C:$G,5,0)</f>
        <v>QA</v>
      </c>
    </row>
    <row r="248" spans="1:60" x14ac:dyDescent="0.25">
      <c r="A248" s="14">
        <v>46103.606840277775</v>
      </c>
      <c r="B248" s="14">
        <v>46103.836006944446</v>
      </c>
      <c r="C248" s="14">
        <v>46107.216678240744</v>
      </c>
      <c r="D248" s="14">
        <v>46107.445844907408</v>
      </c>
      <c r="E248" s="14">
        <v>46106.336504629631</v>
      </c>
      <c r="F248" s="14">
        <v>46107.445844907408</v>
      </c>
      <c r="G248" t="s">
        <v>470</v>
      </c>
      <c r="H248">
        <v>1482</v>
      </c>
      <c r="I248">
        <v>1597.45</v>
      </c>
      <c r="J248" t="s">
        <v>104</v>
      </c>
      <c r="K248">
        <v>12831391</v>
      </c>
      <c r="L248" t="s">
        <v>1375</v>
      </c>
      <c r="M248" t="s">
        <v>173</v>
      </c>
      <c r="N248" t="s">
        <v>88</v>
      </c>
      <c r="O248" t="s">
        <v>1351</v>
      </c>
      <c r="P248" t="s">
        <v>1096</v>
      </c>
      <c r="Q248" t="s">
        <v>24</v>
      </c>
      <c r="R248" t="s">
        <v>1241</v>
      </c>
      <c r="S248">
        <v>102.6</v>
      </c>
      <c r="T248">
        <v>95</v>
      </c>
      <c r="U248" t="s">
        <v>471</v>
      </c>
      <c r="V248">
        <v>3</v>
      </c>
      <c r="X248" t="s">
        <v>1376</v>
      </c>
      <c r="AA248">
        <v>1440</v>
      </c>
      <c r="AB248" t="s">
        <v>26</v>
      </c>
      <c r="AC248">
        <v>791</v>
      </c>
      <c r="AD248" t="s">
        <v>27</v>
      </c>
      <c r="AE248" t="s">
        <v>28</v>
      </c>
      <c r="AF248">
        <v>0</v>
      </c>
      <c r="AK248" s="12">
        <f t="shared" si="36"/>
        <v>46107</v>
      </c>
      <c r="AL248" s="1" t="str">
        <f t="shared" si="37"/>
        <v>Week13</v>
      </c>
      <c r="AM248" s="1" t="s">
        <v>188</v>
      </c>
      <c r="AN248" s="1" t="str">
        <f t="shared" si="38"/>
        <v>NoGo</v>
      </c>
      <c r="AO248" s="2">
        <f t="shared" si="39"/>
        <v>95.126705653021446</v>
      </c>
      <c r="AP248" s="1">
        <f t="shared" si="40"/>
        <v>3</v>
      </c>
      <c r="AQ248" s="1">
        <f t="shared" si="41"/>
        <v>5</v>
      </c>
      <c r="AR248" s="1" t="s">
        <v>95</v>
      </c>
      <c r="AS248" s="1" t="s">
        <v>93</v>
      </c>
      <c r="AT248" s="1" t="s">
        <v>93</v>
      </c>
      <c r="AU248" s="1" t="str">
        <f t="shared" si="42"/>
        <v>Major</v>
      </c>
      <c r="AV248" s="1" t="str">
        <f t="shared" si="43"/>
        <v>12831391Tejas Patel</v>
      </c>
      <c r="AW248" s="1" t="str">
        <f t="shared" si="44"/>
        <v>Major</v>
      </c>
      <c r="AX248" s="1">
        <f t="shared" si="45"/>
        <v>1</v>
      </c>
      <c r="AY248" s="1" t="s">
        <v>24</v>
      </c>
      <c r="AZ248" s="1" t="b">
        <v>1</v>
      </c>
      <c r="BA248" s="1">
        <f t="shared" si="46"/>
        <v>1</v>
      </c>
      <c r="BB248" s="1">
        <f t="shared" si="47"/>
        <v>3</v>
      </c>
      <c r="BC248" s="1" t="s">
        <v>1096</v>
      </c>
      <c r="BD248" s="1" t="s">
        <v>43</v>
      </c>
      <c r="BE248" s="1" t="s">
        <v>1377</v>
      </c>
      <c r="BF248" s="1" t="b">
        <v>1</v>
      </c>
      <c r="BG248" s="1" t="str">
        <f>VLOOKUP(AM248,Group!$C:$H,5,0)</f>
        <v>Others</v>
      </c>
      <c r="BH248" s="1" t="str">
        <f>VLOOKUP(P248,others!$C:$G,5,0)</f>
        <v>QA</v>
      </c>
    </row>
    <row r="249" spans="1:60" x14ac:dyDescent="0.25">
      <c r="A249" s="14">
        <v>46103.606840277775</v>
      </c>
      <c r="B249" s="14">
        <v>46103.836006944446</v>
      </c>
      <c r="C249" s="14">
        <v>46107.216678240744</v>
      </c>
      <c r="D249" s="14">
        <v>46107.445844907408</v>
      </c>
      <c r="E249" s="14">
        <v>46106.336504629631</v>
      </c>
      <c r="F249" s="14">
        <v>46107.445844907408</v>
      </c>
      <c r="G249" t="s">
        <v>470</v>
      </c>
      <c r="H249">
        <v>1482</v>
      </c>
      <c r="I249">
        <v>1597.45</v>
      </c>
      <c r="J249" t="s">
        <v>104</v>
      </c>
      <c r="K249">
        <v>12831391</v>
      </c>
      <c r="L249" t="s">
        <v>1375</v>
      </c>
      <c r="M249" t="s">
        <v>173</v>
      </c>
      <c r="N249" t="s">
        <v>88</v>
      </c>
      <c r="O249" t="s">
        <v>1351</v>
      </c>
      <c r="P249" t="s">
        <v>1096</v>
      </c>
      <c r="Q249" t="s">
        <v>24</v>
      </c>
      <c r="R249" t="s">
        <v>1241</v>
      </c>
      <c r="S249">
        <v>102.6</v>
      </c>
      <c r="T249">
        <v>95</v>
      </c>
      <c r="U249" t="s">
        <v>1243</v>
      </c>
      <c r="V249">
        <v>1</v>
      </c>
      <c r="X249" t="s">
        <v>1376</v>
      </c>
      <c r="AA249">
        <v>1440</v>
      </c>
      <c r="AB249" t="s">
        <v>26</v>
      </c>
      <c r="AC249">
        <v>791</v>
      </c>
      <c r="AD249" t="s">
        <v>27</v>
      </c>
      <c r="AE249" t="s">
        <v>28</v>
      </c>
      <c r="AF249">
        <v>0</v>
      </c>
      <c r="AK249" s="12">
        <f t="shared" si="36"/>
        <v>46107</v>
      </c>
      <c r="AL249" s="1" t="str">
        <f t="shared" si="37"/>
        <v>Week13</v>
      </c>
      <c r="AM249" s="1" t="s">
        <v>188</v>
      </c>
      <c r="AN249" s="1" t="str">
        <f t="shared" si="38"/>
        <v>NoGo</v>
      </c>
      <c r="AO249" s="2">
        <f t="shared" si="39"/>
        <v>95.126705653021446</v>
      </c>
      <c r="AP249" s="1">
        <f t="shared" si="40"/>
        <v>1</v>
      </c>
      <c r="AQ249" s="1">
        <f t="shared" si="41"/>
        <v>5</v>
      </c>
      <c r="AR249" s="1" t="s">
        <v>95</v>
      </c>
      <c r="AS249" s="1" t="s">
        <v>93</v>
      </c>
      <c r="AT249" s="1" t="s">
        <v>93</v>
      </c>
      <c r="AU249" s="1" t="str">
        <f t="shared" si="42"/>
        <v>Major</v>
      </c>
      <c r="AV249" s="1" t="str">
        <f t="shared" si="43"/>
        <v>12831391Tejas Patel</v>
      </c>
      <c r="AW249" s="1" t="str">
        <f t="shared" si="44"/>
        <v>Major</v>
      </c>
      <c r="AX249" s="1">
        <f t="shared" si="45"/>
        <v>1</v>
      </c>
      <c r="AY249" s="1" t="s">
        <v>24</v>
      </c>
      <c r="AZ249" s="1" t="b">
        <v>1</v>
      </c>
      <c r="BA249" s="1">
        <f t="shared" si="46"/>
        <v>1</v>
      </c>
      <c r="BB249" s="1">
        <f t="shared" si="47"/>
        <v>1</v>
      </c>
      <c r="BC249" s="1" t="s">
        <v>1096</v>
      </c>
      <c r="BD249" s="1" t="s">
        <v>43</v>
      </c>
      <c r="BE249" s="1" t="s">
        <v>1377</v>
      </c>
      <c r="BF249" s="1" t="b">
        <v>1</v>
      </c>
      <c r="BG249" s="1" t="str">
        <f>VLOOKUP(AM249,Group!$C:$H,5,0)</f>
        <v>Others</v>
      </c>
      <c r="BH249" s="1" t="str">
        <f>VLOOKUP(P249,others!$C:$G,5,0)</f>
        <v>QA</v>
      </c>
    </row>
    <row r="250" spans="1:60" x14ac:dyDescent="0.25">
      <c r="A250" s="14">
        <v>46103.606840277775</v>
      </c>
      <c r="B250" s="14">
        <v>46103.836006944446</v>
      </c>
      <c r="C250" s="14">
        <v>46107.216678240744</v>
      </c>
      <c r="D250" s="14">
        <v>46107.445844907408</v>
      </c>
      <c r="E250" s="14">
        <v>46106.336504629631</v>
      </c>
      <c r="F250" s="14">
        <v>46107.445844907408</v>
      </c>
      <c r="G250" t="s">
        <v>470</v>
      </c>
      <c r="H250">
        <v>1482</v>
      </c>
      <c r="I250">
        <v>1597.45</v>
      </c>
      <c r="J250" t="s">
        <v>104</v>
      </c>
      <c r="K250">
        <v>12831391</v>
      </c>
      <c r="L250" t="s">
        <v>1375</v>
      </c>
      <c r="M250" t="s">
        <v>173</v>
      </c>
      <c r="N250" t="s">
        <v>88</v>
      </c>
      <c r="O250" t="s">
        <v>1351</v>
      </c>
      <c r="P250" t="s">
        <v>1096</v>
      </c>
      <c r="Q250" t="s">
        <v>24</v>
      </c>
      <c r="R250" t="s">
        <v>1241</v>
      </c>
      <c r="S250">
        <v>102.6</v>
      </c>
      <c r="T250">
        <v>95</v>
      </c>
      <c r="U250" t="s">
        <v>472</v>
      </c>
      <c r="V250">
        <v>1</v>
      </c>
      <c r="X250" t="s">
        <v>1376</v>
      </c>
      <c r="AA250">
        <v>1440</v>
      </c>
      <c r="AB250" t="s">
        <v>26</v>
      </c>
      <c r="AC250">
        <v>791</v>
      </c>
      <c r="AD250" t="s">
        <v>27</v>
      </c>
      <c r="AE250" t="s">
        <v>28</v>
      </c>
      <c r="AF250">
        <v>0</v>
      </c>
      <c r="AK250" s="12">
        <f t="shared" si="36"/>
        <v>46107</v>
      </c>
      <c r="AL250" s="1" t="str">
        <f t="shared" si="37"/>
        <v>Week13</v>
      </c>
      <c r="AM250" s="1" t="s">
        <v>188</v>
      </c>
      <c r="AN250" s="1" t="str">
        <f t="shared" si="38"/>
        <v>NoGo</v>
      </c>
      <c r="AO250" s="2">
        <f t="shared" si="39"/>
        <v>95.126705653021446</v>
      </c>
      <c r="AP250" s="1">
        <f t="shared" si="40"/>
        <v>1</v>
      </c>
      <c r="AQ250" s="1">
        <f t="shared" si="41"/>
        <v>5</v>
      </c>
      <c r="AR250" s="1" t="s">
        <v>95</v>
      </c>
      <c r="AS250" s="1" t="s">
        <v>93</v>
      </c>
      <c r="AT250" s="1" t="s">
        <v>93</v>
      </c>
      <c r="AU250" s="1" t="str">
        <f t="shared" si="42"/>
        <v>Major</v>
      </c>
      <c r="AV250" s="1" t="str">
        <f t="shared" si="43"/>
        <v>12831391Tejas Patel</v>
      </c>
      <c r="AW250" s="1" t="str">
        <f t="shared" si="44"/>
        <v>Major</v>
      </c>
      <c r="AX250" s="1">
        <f t="shared" si="45"/>
        <v>1</v>
      </c>
      <c r="AY250" s="1" t="s">
        <v>24</v>
      </c>
      <c r="AZ250" s="1" t="b">
        <v>1</v>
      </c>
      <c r="BA250" s="1">
        <f t="shared" si="46"/>
        <v>1</v>
      </c>
      <c r="BB250" s="1">
        <f t="shared" si="47"/>
        <v>1</v>
      </c>
      <c r="BC250" s="1" t="s">
        <v>1096</v>
      </c>
      <c r="BD250" s="1" t="s">
        <v>43</v>
      </c>
      <c r="BE250" s="1" t="s">
        <v>1377</v>
      </c>
      <c r="BF250" s="1" t="b">
        <v>1</v>
      </c>
      <c r="BG250" s="1" t="str">
        <f>VLOOKUP(AM250,Group!$C:$H,5,0)</f>
        <v>Others</v>
      </c>
      <c r="BH250" s="1" t="str">
        <f>VLOOKUP(P250,others!$C:$G,5,0)</f>
        <v>QA</v>
      </c>
    </row>
    <row r="251" spans="1:60" x14ac:dyDescent="0.25">
      <c r="A251" s="14">
        <v>46103.606840277775</v>
      </c>
      <c r="B251" s="14">
        <v>46103.836006944446</v>
      </c>
      <c r="C251" s="14">
        <v>46107.216678240744</v>
      </c>
      <c r="D251" s="14">
        <v>46107.445844907408</v>
      </c>
      <c r="E251" s="14">
        <v>46106.336504629631</v>
      </c>
      <c r="F251" s="14">
        <v>46107.445844907408</v>
      </c>
      <c r="G251" t="s">
        <v>470</v>
      </c>
      <c r="H251">
        <v>1482</v>
      </c>
      <c r="I251">
        <v>1597.45</v>
      </c>
      <c r="J251" t="s">
        <v>104</v>
      </c>
      <c r="K251">
        <v>12831391</v>
      </c>
      <c r="L251" t="s">
        <v>1375</v>
      </c>
      <c r="M251" t="s">
        <v>173</v>
      </c>
      <c r="N251" t="s">
        <v>88</v>
      </c>
      <c r="O251" t="s">
        <v>1351</v>
      </c>
      <c r="P251" t="s">
        <v>1096</v>
      </c>
      <c r="Q251" t="s">
        <v>24</v>
      </c>
      <c r="R251" t="s">
        <v>1241</v>
      </c>
      <c r="S251">
        <v>102.6</v>
      </c>
      <c r="T251">
        <v>95</v>
      </c>
      <c r="U251" t="s">
        <v>100</v>
      </c>
      <c r="V251">
        <v>7</v>
      </c>
      <c r="X251" t="s">
        <v>1376</v>
      </c>
      <c r="AA251">
        <v>1440</v>
      </c>
      <c r="AB251" t="s">
        <v>26</v>
      </c>
      <c r="AC251">
        <v>791</v>
      </c>
      <c r="AD251" t="s">
        <v>27</v>
      </c>
      <c r="AE251" t="s">
        <v>28</v>
      </c>
      <c r="AF251">
        <v>0</v>
      </c>
      <c r="AK251" s="12">
        <f t="shared" si="36"/>
        <v>46107</v>
      </c>
      <c r="AL251" s="1" t="str">
        <f t="shared" si="37"/>
        <v>Week13</v>
      </c>
      <c r="AM251" s="1" t="s">
        <v>188</v>
      </c>
      <c r="AN251" s="1" t="str">
        <f t="shared" si="38"/>
        <v>NoGo</v>
      </c>
      <c r="AO251" s="2">
        <f t="shared" si="39"/>
        <v>95.126705653021446</v>
      </c>
      <c r="AP251" s="1">
        <f t="shared" si="40"/>
        <v>0</v>
      </c>
      <c r="AQ251" s="1">
        <f t="shared" si="41"/>
        <v>5</v>
      </c>
      <c r="AR251" s="1" t="s">
        <v>95</v>
      </c>
      <c r="AS251" s="1" t="s">
        <v>93</v>
      </c>
      <c r="AT251" s="1" t="s">
        <v>93</v>
      </c>
      <c r="AU251" s="1" t="str">
        <f t="shared" si="42"/>
        <v>Minor</v>
      </c>
      <c r="AV251" s="1" t="str">
        <f t="shared" si="43"/>
        <v>12831391Tejas Patel</v>
      </c>
      <c r="AW251" s="1" t="str">
        <f t="shared" si="44"/>
        <v>Minor</v>
      </c>
      <c r="AX251" s="1">
        <f t="shared" si="45"/>
        <v>0</v>
      </c>
      <c r="AY251" s="1" t="s">
        <v>24</v>
      </c>
      <c r="AZ251" s="1" t="b">
        <v>0</v>
      </c>
      <c r="BA251" s="1">
        <f t="shared" si="46"/>
        <v>1</v>
      </c>
      <c r="BB251" s="1">
        <f t="shared" si="47"/>
        <v>7</v>
      </c>
      <c r="BC251" s="1" t="s">
        <v>1096</v>
      </c>
      <c r="BD251" s="1" t="s">
        <v>43</v>
      </c>
      <c r="BE251" s="1" t="s">
        <v>1377</v>
      </c>
      <c r="BF251" s="1" t="b">
        <v>0</v>
      </c>
      <c r="BG251" s="1" t="str">
        <f>VLOOKUP(AM251,Group!$C:$H,5,0)</f>
        <v>Others</v>
      </c>
      <c r="BH251" s="1" t="str">
        <f>VLOOKUP(P251,others!$C:$G,5,0)</f>
        <v>QA</v>
      </c>
    </row>
    <row r="252" spans="1:60" x14ac:dyDescent="0.25">
      <c r="A252" s="14">
        <v>46100.851261574076</v>
      </c>
      <c r="B252" s="14">
        <v>46101.080428240741</v>
      </c>
      <c r="C252" s="14">
        <v>46107.757175925923</v>
      </c>
      <c r="D252" s="14">
        <v>46107.986342592594</v>
      </c>
      <c r="E252" s="14">
        <v>46107.44667824074</v>
      </c>
      <c r="F252" s="14">
        <v>46107.986342592594</v>
      </c>
      <c r="G252" t="s">
        <v>470</v>
      </c>
      <c r="H252">
        <v>331</v>
      </c>
      <c r="I252">
        <v>777.11670000000004</v>
      </c>
      <c r="J252" t="s">
        <v>104</v>
      </c>
      <c r="K252">
        <v>12830864</v>
      </c>
      <c r="L252" t="s">
        <v>151</v>
      </c>
      <c r="M252" t="s">
        <v>151</v>
      </c>
      <c r="N252" t="s">
        <v>88</v>
      </c>
      <c r="O252" t="s">
        <v>456</v>
      </c>
      <c r="P252" t="s">
        <v>457</v>
      </c>
      <c r="Q252" t="s">
        <v>24</v>
      </c>
      <c r="R252" t="s">
        <v>1241</v>
      </c>
      <c r="S252">
        <v>30.03</v>
      </c>
      <c r="T252">
        <v>97</v>
      </c>
      <c r="U252" t="s">
        <v>471</v>
      </c>
      <c r="V252">
        <v>1</v>
      </c>
      <c r="X252" t="s">
        <v>1283</v>
      </c>
      <c r="AA252">
        <v>1440</v>
      </c>
      <c r="AB252" t="s">
        <v>26</v>
      </c>
      <c r="AC252">
        <v>195</v>
      </c>
      <c r="AD252" t="s">
        <v>27</v>
      </c>
      <c r="AE252" t="s">
        <v>28</v>
      </c>
      <c r="AF252">
        <v>0</v>
      </c>
      <c r="AK252" s="12">
        <f t="shared" si="36"/>
        <v>46107</v>
      </c>
      <c r="AL252" s="1" t="str">
        <f t="shared" si="37"/>
        <v>Week13</v>
      </c>
      <c r="AM252" s="1" t="s">
        <v>140</v>
      </c>
      <c r="AN252" s="1" t="str">
        <f t="shared" si="38"/>
        <v>NoGo</v>
      </c>
      <c r="AO252" s="2">
        <f t="shared" si="39"/>
        <v>90.009990009990005</v>
      </c>
      <c r="AP252" s="1">
        <f t="shared" si="40"/>
        <v>1</v>
      </c>
      <c r="AQ252" s="1">
        <f t="shared" si="41"/>
        <v>3</v>
      </c>
      <c r="AR252" s="1" t="s">
        <v>93</v>
      </c>
      <c r="AS252" s="1" t="s">
        <v>93</v>
      </c>
      <c r="AT252" s="1" t="s">
        <v>93</v>
      </c>
      <c r="AU252" s="1" t="str">
        <f t="shared" si="42"/>
        <v>Major</v>
      </c>
      <c r="AV252" s="1" t="str">
        <f t="shared" si="43"/>
        <v>12830864Shiny Iype</v>
      </c>
      <c r="AW252" s="1" t="str">
        <f t="shared" si="44"/>
        <v>Major</v>
      </c>
      <c r="AX252" s="1">
        <f t="shared" si="45"/>
        <v>1</v>
      </c>
      <c r="AY252" s="1" t="s">
        <v>24</v>
      </c>
      <c r="AZ252" s="1" t="b">
        <v>1</v>
      </c>
      <c r="BA252" s="1">
        <f t="shared" si="46"/>
        <v>1</v>
      </c>
      <c r="BB252" s="1">
        <f t="shared" si="47"/>
        <v>1</v>
      </c>
      <c r="BC252" s="1" t="s">
        <v>457</v>
      </c>
      <c r="BD252" s="1" t="s">
        <v>43</v>
      </c>
      <c r="BE252" s="1" t="s">
        <v>98</v>
      </c>
      <c r="BF252" s="1" t="b">
        <v>1</v>
      </c>
      <c r="BG252" s="1" t="str">
        <f>VLOOKUP(AM252,Group!$C:$H,5,0)</f>
        <v>Others</v>
      </c>
      <c r="BH252" s="1" t="str">
        <f>VLOOKUP(P252,others!$C:$G,5,0)</f>
        <v>MTX - India</v>
      </c>
    </row>
    <row r="253" spans="1:60" x14ac:dyDescent="0.25">
      <c r="A253" s="14">
        <v>46100.851261574076</v>
      </c>
      <c r="B253" s="14">
        <v>46101.080428240741</v>
      </c>
      <c r="C253" s="14">
        <v>46107.757175925923</v>
      </c>
      <c r="D253" s="14">
        <v>46107.986342592594</v>
      </c>
      <c r="E253" s="14">
        <v>46107.44667824074</v>
      </c>
      <c r="F253" s="14">
        <v>46107.986342592594</v>
      </c>
      <c r="G253" t="s">
        <v>470</v>
      </c>
      <c r="H253">
        <v>331</v>
      </c>
      <c r="I253">
        <v>777.11670000000004</v>
      </c>
      <c r="J253" t="s">
        <v>104</v>
      </c>
      <c r="K253">
        <v>12830864</v>
      </c>
      <c r="L253" t="s">
        <v>151</v>
      </c>
      <c r="M253" t="s">
        <v>151</v>
      </c>
      <c r="N253" t="s">
        <v>88</v>
      </c>
      <c r="O253" t="s">
        <v>456</v>
      </c>
      <c r="P253" t="s">
        <v>457</v>
      </c>
      <c r="Q253" t="s">
        <v>24</v>
      </c>
      <c r="R253" t="s">
        <v>1241</v>
      </c>
      <c r="S253">
        <v>30.03</v>
      </c>
      <c r="T253">
        <v>97</v>
      </c>
      <c r="U253" t="s">
        <v>472</v>
      </c>
      <c r="V253">
        <v>1</v>
      </c>
      <c r="X253" t="s">
        <v>1283</v>
      </c>
      <c r="AA253">
        <v>1440</v>
      </c>
      <c r="AB253" t="s">
        <v>26</v>
      </c>
      <c r="AC253">
        <v>195</v>
      </c>
      <c r="AD253" t="s">
        <v>27</v>
      </c>
      <c r="AE253" t="s">
        <v>28</v>
      </c>
      <c r="AF253">
        <v>0</v>
      </c>
      <c r="AK253" s="12">
        <f t="shared" si="36"/>
        <v>46107</v>
      </c>
      <c r="AL253" s="1" t="str">
        <f t="shared" si="37"/>
        <v>Week13</v>
      </c>
      <c r="AM253" s="1" t="s">
        <v>140</v>
      </c>
      <c r="AN253" s="1" t="str">
        <f t="shared" si="38"/>
        <v>NoGo</v>
      </c>
      <c r="AO253" s="2">
        <f t="shared" si="39"/>
        <v>90.009990009990005</v>
      </c>
      <c r="AP253" s="1">
        <f t="shared" si="40"/>
        <v>1</v>
      </c>
      <c r="AQ253" s="1">
        <f t="shared" si="41"/>
        <v>3</v>
      </c>
      <c r="AR253" s="1" t="s">
        <v>93</v>
      </c>
      <c r="AS253" s="1" t="s">
        <v>93</v>
      </c>
      <c r="AT253" s="1" t="s">
        <v>93</v>
      </c>
      <c r="AU253" s="1" t="str">
        <f t="shared" si="42"/>
        <v>Major</v>
      </c>
      <c r="AV253" s="1" t="str">
        <f t="shared" si="43"/>
        <v>12830864Shiny Iype</v>
      </c>
      <c r="AW253" s="1" t="str">
        <f t="shared" si="44"/>
        <v>Major</v>
      </c>
      <c r="AX253" s="1">
        <f t="shared" si="45"/>
        <v>1</v>
      </c>
      <c r="AY253" s="1" t="s">
        <v>24</v>
      </c>
      <c r="AZ253" s="1" t="b">
        <v>1</v>
      </c>
      <c r="BA253" s="1">
        <f t="shared" si="46"/>
        <v>1</v>
      </c>
      <c r="BB253" s="1">
        <f t="shared" si="47"/>
        <v>1</v>
      </c>
      <c r="BC253" s="1" t="s">
        <v>457</v>
      </c>
      <c r="BD253" s="1" t="s">
        <v>43</v>
      </c>
      <c r="BE253" s="1" t="s">
        <v>98</v>
      </c>
      <c r="BF253" s="1" t="b">
        <v>1</v>
      </c>
      <c r="BG253" s="1" t="str">
        <f>VLOOKUP(AM253,Group!$C:$H,5,0)</f>
        <v>Others</v>
      </c>
      <c r="BH253" s="1" t="str">
        <f>VLOOKUP(P253,others!$C:$G,5,0)</f>
        <v>MTX - India</v>
      </c>
    </row>
    <row r="254" spans="1:60" x14ac:dyDescent="0.25">
      <c r="A254" s="14">
        <v>46100.851261574076</v>
      </c>
      <c r="B254" s="14">
        <v>46101.080428240741</v>
      </c>
      <c r="C254" s="14">
        <v>46107.757175925923</v>
      </c>
      <c r="D254" s="14">
        <v>46107.986342592594</v>
      </c>
      <c r="E254" s="14">
        <v>46107.44667824074</v>
      </c>
      <c r="F254" s="14">
        <v>46107.986342592594</v>
      </c>
      <c r="G254" t="s">
        <v>470</v>
      </c>
      <c r="H254">
        <v>331</v>
      </c>
      <c r="I254">
        <v>777.11670000000004</v>
      </c>
      <c r="J254" t="s">
        <v>104</v>
      </c>
      <c r="K254">
        <v>12830864</v>
      </c>
      <c r="L254" t="s">
        <v>151</v>
      </c>
      <c r="M254" t="s">
        <v>151</v>
      </c>
      <c r="N254" t="s">
        <v>88</v>
      </c>
      <c r="O254" t="s">
        <v>456</v>
      </c>
      <c r="P254" t="s">
        <v>457</v>
      </c>
      <c r="Q254" t="s">
        <v>24</v>
      </c>
      <c r="R254" t="s">
        <v>1241</v>
      </c>
      <c r="S254">
        <v>30.03</v>
      </c>
      <c r="T254">
        <v>97</v>
      </c>
      <c r="U254" t="s">
        <v>1255</v>
      </c>
      <c r="V254">
        <v>1</v>
      </c>
      <c r="X254" t="s">
        <v>1283</v>
      </c>
      <c r="AA254">
        <v>1440</v>
      </c>
      <c r="AB254" t="s">
        <v>26</v>
      </c>
      <c r="AC254">
        <v>195</v>
      </c>
      <c r="AD254" t="s">
        <v>27</v>
      </c>
      <c r="AE254" t="s">
        <v>28</v>
      </c>
      <c r="AF254">
        <v>0</v>
      </c>
      <c r="AK254" s="12">
        <f t="shared" si="36"/>
        <v>46107</v>
      </c>
      <c r="AL254" s="1" t="str">
        <f t="shared" si="37"/>
        <v>Week13</v>
      </c>
      <c r="AM254" s="1" t="s">
        <v>140</v>
      </c>
      <c r="AN254" s="1" t="str">
        <f t="shared" si="38"/>
        <v>NoGo</v>
      </c>
      <c r="AO254" s="2">
        <f t="shared" si="39"/>
        <v>90.009990009990005</v>
      </c>
      <c r="AP254" s="1">
        <f t="shared" si="40"/>
        <v>1</v>
      </c>
      <c r="AQ254" s="1">
        <f t="shared" si="41"/>
        <v>3</v>
      </c>
      <c r="AR254" s="1" t="s">
        <v>93</v>
      </c>
      <c r="AS254" s="1" t="s">
        <v>93</v>
      </c>
      <c r="AT254" s="1" t="s">
        <v>93</v>
      </c>
      <c r="AU254" s="1" t="str">
        <f t="shared" si="42"/>
        <v>Major</v>
      </c>
      <c r="AV254" s="1" t="str">
        <f t="shared" si="43"/>
        <v>12830864Shiny Iype</v>
      </c>
      <c r="AW254" s="1" t="str">
        <f t="shared" si="44"/>
        <v>Major</v>
      </c>
      <c r="AX254" s="1">
        <f t="shared" si="45"/>
        <v>1</v>
      </c>
      <c r="AY254" s="1" t="s">
        <v>24</v>
      </c>
      <c r="AZ254" s="1" t="b">
        <v>1</v>
      </c>
      <c r="BA254" s="1">
        <f t="shared" si="46"/>
        <v>1</v>
      </c>
      <c r="BB254" s="1">
        <f t="shared" si="47"/>
        <v>1</v>
      </c>
      <c r="BC254" s="1" t="s">
        <v>457</v>
      </c>
      <c r="BD254" s="1" t="s">
        <v>43</v>
      </c>
      <c r="BE254" s="1" t="s">
        <v>98</v>
      </c>
      <c r="BF254" s="1" t="b">
        <v>1</v>
      </c>
      <c r="BG254" s="1" t="str">
        <f>VLOOKUP(AM254,Group!$C:$H,5,0)</f>
        <v>Others</v>
      </c>
      <c r="BH254" s="1" t="str">
        <f>VLOOKUP(P254,others!$C:$G,5,0)</f>
        <v>MTX - India</v>
      </c>
    </row>
    <row r="255" spans="1:60" x14ac:dyDescent="0.25">
      <c r="A255" s="14">
        <v>46100.851261574076</v>
      </c>
      <c r="B255" s="14">
        <v>46101.080428240741</v>
      </c>
      <c r="C255" s="14">
        <v>46107.757175925923</v>
      </c>
      <c r="D255" s="14">
        <v>46107.986342592594</v>
      </c>
      <c r="E255" s="14">
        <v>46107.44667824074</v>
      </c>
      <c r="F255" s="14">
        <v>46107.986342592594</v>
      </c>
      <c r="G255" t="s">
        <v>470</v>
      </c>
      <c r="H255">
        <v>331</v>
      </c>
      <c r="I255">
        <v>777.11670000000004</v>
      </c>
      <c r="J255" t="s">
        <v>104</v>
      </c>
      <c r="K255">
        <v>12830864</v>
      </c>
      <c r="L255" t="s">
        <v>151</v>
      </c>
      <c r="M255" t="s">
        <v>151</v>
      </c>
      <c r="N255" t="s">
        <v>88</v>
      </c>
      <c r="O255" t="s">
        <v>456</v>
      </c>
      <c r="P255" t="s">
        <v>457</v>
      </c>
      <c r="Q255" t="s">
        <v>24</v>
      </c>
      <c r="R255" t="s">
        <v>1241</v>
      </c>
      <c r="S255">
        <v>30.03</v>
      </c>
      <c r="T255">
        <v>97</v>
      </c>
      <c r="U255" t="s">
        <v>100</v>
      </c>
      <c r="V255">
        <v>4</v>
      </c>
      <c r="X255" t="s">
        <v>1283</v>
      </c>
      <c r="AA255">
        <v>1440</v>
      </c>
      <c r="AB255" t="s">
        <v>26</v>
      </c>
      <c r="AC255">
        <v>195</v>
      </c>
      <c r="AD255" t="s">
        <v>27</v>
      </c>
      <c r="AE255" t="s">
        <v>28</v>
      </c>
      <c r="AF255">
        <v>0</v>
      </c>
      <c r="AK255" s="12">
        <f t="shared" si="36"/>
        <v>46107</v>
      </c>
      <c r="AL255" s="1" t="str">
        <f t="shared" si="37"/>
        <v>Week13</v>
      </c>
      <c r="AM255" s="1" t="s">
        <v>140</v>
      </c>
      <c r="AN255" s="1" t="str">
        <f t="shared" si="38"/>
        <v>NoGo</v>
      </c>
      <c r="AO255" s="2">
        <f t="shared" si="39"/>
        <v>90.009990009990005</v>
      </c>
      <c r="AP255" s="1">
        <f t="shared" si="40"/>
        <v>0</v>
      </c>
      <c r="AQ255" s="1">
        <f t="shared" si="41"/>
        <v>3</v>
      </c>
      <c r="AR255" s="1" t="s">
        <v>93</v>
      </c>
      <c r="AS255" s="1" t="s">
        <v>93</v>
      </c>
      <c r="AT255" s="1" t="s">
        <v>93</v>
      </c>
      <c r="AU255" s="1" t="str">
        <f t="shared" si="42"/>
        <v>Minor</v>
      </c>
      <c r="AV255" s="1" t="str">
        <f t="shared" si="43"/>
        <v>12830864Shiny Iype</v>
      </c>
      <c r="AW255" s="1" t="str">
        <f t="shared" si="44"/>
        <v>Minor</v>
      </c>
      <c r="AX255" s="1">
        <f t="shared" si="45"/>
        <v>0</v>
      </c>
      <c r="AY255" s="1" t="s">
        <v>24</v>
      </c>
      <c r="AZ255" s="1" t="b">
        <v>0</v>
      </c>
      <c r="BA255" s="1">
        <f t="shared" si="46"/>
        <v>1</v>
      </c>
      <c r="BB255" s="1">
        <f t="shared" si="47"/>
        <v>4</v>
      </c>
      <c r="BC255" s="1" t="s">
        <v>457</v>
      </c>
      <c r="BD255" s="1" t="s">
        <v>43</v>
      </c>
      <c r="BE255" s="1" t="s">
        <v>98</v>
      </c>
      <c r="BF255" s="1" t="b">
        <v>0</v>
      </c>
      <c r="BG255" s="1" t="str">
        <f>VLOOKUP(AM255,Group!$C:$H,5,0)</f>
        <v>Others</v>
      </c>
      <c r="BH255" s="1" t="str">
        <f>VLOOKUP(P255,others!$C:$G,5,0)</f>
        <v>MTX - India</v>
      </c>
    </row>
    <row r="256" spans="1:60" x14ac:dyDescent="0.25">
      <c r="A256" s="14">
        <v>46099.652928240743</v>
      </c>
      <c r="B256" s="14">
        <v>46099.882094907407</v>
      </c>
      <c r="C256" s="14">
        <v>46107.759930555556</v>
      </c>
      <c r="D256" s="14">
        <v>46107.98909722222</v>
      </c>
      <c r="E256" s="14">
        <v>46106.910474537035</v>
      </c>
      <c r="F256" s="14">
        <v>46107.98909722222</v>
      </c>
      <c r="G256" t="s">
        <v>470</v>
      </c>
      <c r="H256">
        <v>228</v>
      </c>
      <c r="I256">
        <v>1553.2166999999999</v>
      </c>
      <c r="J256" t="s">
        <v>104</v>
      </c>
      <c r="K256">
        <v>12830321</v>
      </c>
      <c r="L256" t="s">
        <v>1254</v>
      </c>
      <c r="M256" t="s">
        <v>101</v>
      </c>
      <c r="N256" t="s">
        <v>88</v>
      </c>
      <c r="O256" t="s">
        <v>131</v>
      </c>
      <c r="P256" t="s">
        <v>132</v>
      </c>
      <c r="Q256" t="s">
        <v>1328</v>
      </c>
      <c r="R256" t="s">
        <v>25</v>
      </c>
      <c r="S256">
        <v>25.6</v>
      </c>
      <c r="T256">
        <v>100</v>
      </c>
      <c r="U256" t="s">
        <v>100</v>
      </c>
      <c r="V256">
        <v>2</v>
      </c>
      <c r="X256" t="s">
        <v>469</v>
      </c>
      <c r="AA256">
        <v>1440</v>
      </c>
      <c r="AB256" t="s">
        <v>26</v>
      </c>
      <c r="AC256">
        <v>159</v>
      </c>
      <c r="AD256" t="s">
        <v>27</v>
      </c>
      <c r="AE256" t="s">
        <v>28</v>
      </c>
      <c r="AF256">
        <v>0</v>
      </c>
      <c r="AK256" s="12">
        <f t="shared" si="36"/>
        <v>46107</v>
      </c>
      <c r="AL256" s="1" t="str">
        <f t="shared" si="37"/>
        <v>Week13</v>
      </c>
      <c r="AM256" s="1" t="s">
        <v>102</v>
      </c>
      <c r="AN256" s="1" t="str">
        <f t="shared" si="38"/>
        <v>Go</v>
      </c>
      <c r="AO256" s="2">
        <f t="shared" si="39"/>
        <v>100</v>
      </c>
      <c r="AP256" s="1">
        <f t="shared" si="40"/>
        <v>0</v>
      </c>
      <c r="AQ256" s="1">
        <f t="shared" si="41"/>
        <v>0</v>
      </c>
      <c r="AR256" s="1" t="s">
        <v>95</v>
      </c>
      <c r="AS256" s="1" t="s">
        <v>96</v>
      </c>
      <c r="AT256" s="1" t="s">
        <v>96</v>
      </c>
      <c r="AU256" s="1" t="str">
        <f t="shared" si="42"/>
        <v>Minor</v>
      </c>
      <c r="AV256" s="1" t="str">
        <f t="shared" si="43"/>
        <v>12830321Pratheep Kumar</v>
      </c>
      <c r="AW256" s="1" t="str">
        <f t="shared" si="44"/>
        <v>Minor</v>
      </c>
      <c r="AX256" s="1">
        <f t="shared" si="45"/>
        <v>0</v>
      </c>
      <c r="AY256" s="1" t="s">
        <v>29</v>
      </c>
      <c r="AZ256" s="1" t="b">
        <v>0</v>
      </c>
      <c r="BA256" s="1">
        <f t="shared" si="46"/>
        <v>1</v>
      </c>
      <c r="BB256" s="1">
        <f t="shared" si="47"/>
        <v>2</v>
      </c>
      <c r="BC256" s="1" t="s">
        <v>132</v>
      </c>
      <c r="BD256" s="1" t="s">
        <v>43</v>
      </c>
      <c r="BE256" s="1" t="s">
        <v>98</v>
      </c>
      <c r="BF256" s="1" t="b">
        <v>0</v>
      </c>
      <c r="BG256" s="1" t="str">
        <f>VLOOKUP(AM256,Group!$C:$H,5,0)</f>
        <v>Top 25</v>
      </c>
      <c r="BH256" s="1" t="str">
        <f>VLOOKUP(P256,others!$C:$G,5,0)</f>
        <v>MT - India</v>
      </c>
    </row>
    <row r="257" spans="1:60" x14ac:dyDescent="0.25">
      <c r="A257" s="14">
        <v>46101.42769675926</v>
      </c>
      <c r="B257" s="14">
        <v>46101.656863425924</v>
      </c>
      <c r="C257" s="14">
        <v>46107.771979166668</v>
      </c>
      <c r="D257" s="14">
        <v>46108.001145833332</v>
      </c>
      <c r="E257" s="14">
        <v>46106.336319444446</v>
      </c>
      <c r="F257" s="14">
        <v>46108.001145833332</v>
      </c>
      <c r="G257" t="s">
        <v>470</v>
      </c>
      <c r="H257">
        <v>1025</v>
      </c>
      <c r="I257">
        <v>2397.35</v>
      </c>
      <c r="J257" t="s">
        <v>104</v>
      </c>
      <c r="K257">
        <v>12831054</v>
      </c>
      <c r="L257" t="s">
        <v>1388</v>
      </c>
      <c r="M257" t="s">
        <v>116</v>
      </c>
      <c r="N257" t="s">
        <v>88</v>
      </c>
      <c r="O257" t="s">
        <v>456</v>
      </c>
      <c r="P257" t="s">
        <v>457</v>
      </c>
      <c r="Q257" t="s">
        <v>24</v>
      </c>
      <c r="R257" t="s">
        <v>1241</v>
      </c>
      <c r="S257">
        <v>101.58</v>
      </c>
      <c r="T257">
        <v>96</v>
      </c>
      <c r="U257" t="s">
        <v>471</v>
      </c>
      <c r="V257">
        <v>1</v>
      </c>
      <c r="X257" t="s">
        <v>1251</v>
      </c>
      <c r="AA257">
        <v>1440</v>
      </c>
      <c r="AB257" t="s">
        <v>26</v>
      </c>
      <c r="AC257">
        <v>506</v>
      </c>
      <c r="AD257" t="s">
        <v>27</v>
      </c>
      <c r="AE257" t="s">
        <v>28</v>
      </c>
      <c r="AF257">
        <v>0</v>
      </c>
      <c r="AK257" s="12">
        <f t="shared" si="36"/>
        <v>46108</v>
      </c>
      <c r="AL257" s="1" t="str">
        <f t="shared" si="37"/>
        <v>Week13</v>
      </c>
      <c r="AM257" s="1" t="s">
        <v>119</v>
      </c>
      <c r="AN257" s="1" t="str">
        <f t="shared" si="38"/>
        <v>NoGo</v>
      </c>
      <c r="AO257" s="2">
        <f t="shared" si="39"/>
        <v>96.062216971844848</v>
      </c>
      <c r="AP257" s="1">
        <f t="shared" si="40"/>
        <v>1</v>
      </c>
      <c r="AQ257" s="1">
        <f t="shared" si="41"/>
        <v>4</v>
      </c>
      <c r="AR257" s="1" t="s">
        <v>95</v>
      </c>
      <c r="AS257" s="1" t="s">
        <v>93</v>
      </c>
      <c r="AT257" s="1" t="s">
        <v>93</v>
      </c>
      <c r="AU257" s="1" t="str">
        <f t="shared" si="42"/>
        <v>Major</v>
      </c>
      <c r="AV257" s="1" t="str">
        <f t="shared" si="43"/>
        <v>12831054Shiny Iype</v>
      </c>
      <c r="AW257" s="1" t="str">
        <f t="shared" si="44"/>
        <v>Major</v>
      </c>
      <c r="AX257" s="1">
        <f t="shared" si="45"/>
        <v>1</v>
      </c>
      <c r="AY257" s="1" t="s">
        <v>24</v>
      </c>
      <c r="AZ257" s="1" t="b">
        <v>1</v>
      </c>
      <c r="BA257" s="1">
        <f t="shared" si="46"/>
        <v>1</v>
      </c>
      <c r="BB257" s="1">
        <f t="shared" si="47"/>
        <v>1</v>
      </c>
      <c r="BC257" s="1" t="s">
        <v>457</v>
      </c>
      <c r="BD257" s="1" t="s">
        <v>43</v>
      </c>
      <c r="BE257" s="1" t="s">
        <v>1262</v>
      </c>
      <c r="BF257" s="1" t="b">
        <v>1</v>
      </c>
      <c r="BG257" s="1" t="str">
        <f>VLOOKUP(AM257,Group!$C:$H,5,0)</f>
        <v>Top 25</v>
      </c>
      <c r="BH257" s="1" t="str">
        <f>VLOOKUP(P257,others!$C:$G,5,0)</f>
        <v>MTX - India</v>
      </c>
    </row>
    <row r="258" spans="1:60" x14ac:dyDescent="0.25">
      <c r="A258" s="14">
        <v>46101.42769675926</v>
      </c>
      <c r="B258" s="14">
        <v>46101.656863425924</v>
      </c>
      <c r="C258" s="14">
        <v>46107.771979166668</v>
      </c>
      <c r="D258" s="14">
        <v>46108.001145833332</v>
      </c>
      <c r="E258" s="14">
        <v>46106.336319444446</v>
      </c>
      <c r="F258" s="14">
        <v>46108.001145833332</v>
      </c>
      <c r="G258" t="s">
        <v>470</v>
      </c>
      <c r="H258">
        <v>1025</v>
      </c>
      <c r="I258">
        <v>2397.35</v>
      </c>
      <c r="J258" t="s">
        <v>104</v>
      </c>
      <c r="K258">
        <v>12831054</v>
      </c>
      <c r="L258" t="s">
        <v>1388</v>
      </c>
      <c r="M258" t="s">
        <v>116</v>
      </c>
      <c r="N258" t="s">
        <v>88</v>
      </c>
      <c r="O258" t="s">
        <v>456</v>
      </c>
      <c r="P258" t="s">
        <v>457</v>
      </c>
      <c r="Q258" t="s">
        <v>24</v>
      </c>
      <c r="R258" t="s">
        <v>1241</v>
      </c>
      <c r="S258">
        <v>101.58</v>
      </c>
      <c r="T258">
        <v>96</v>
      </c>
      <c r="U258" t="s">
        <v>1243</v>
      </c>
      <c r="V258">
        <v>1</v>
      </c>
      <c r="X258" t="s">
        <v>1251</v>
      </c>
      <c r="AA258">
        <v>1440</v>
      </c>
      <c r="AB258" t="s">
        <v>26</v>
      </c>
      <c r="AC258">
        <v>506</v>
      </c>
      <c r="AD258" t="s">
        <v>27</v>
      </c>
      <c r="AE258" t="s">
        <v>28</v>
      </c>
      <c r="AF258">
        <v>0</v>
      </c>
      <c r="AK258" s="12">
        <f t="shared" ref="AK258:AK321" si="48">INT(D258)</f>
        <v>46108</v>
      </c>
      <c r="AL258" s="1" t="str">
        <f t="shared" ref="AL258:AL321" si="49">"Week"&amp;WEEKNUM(D258)</f>
        <v>Week13</v>
      </c>
      <c r="AM258" s="1" t="s">
        <v>119</v>
      </c>
      <c r="AN258" s="1" t="str">
        <f t="shared" ref="AN258:AN321" si="50">IF(AO258&gt;98.5,"Go","NoGo")</f>
        <v>NoGo</v>
      </c>
      <c r="AO258" s="2">
        <f t="shared" ref="AO258:AO321" si="51">100-(AQ258/S258*100)</f>
        <v>96.062216971844848</v>
      </c>
      <c r="AP258" s="1">
        <f t="shared" ref="AP258:AP321" si="52">IFERROR(AX258*V258,0)</f>
        <v>1</v>
      </c>
      <c r="AQ258" s="1">
        <f t="shared" ref="AQ258:AQ321" si="53">100-T258</f>
        <v>4</v>
      </c>
      <c r="AR258" s="1" t="s">
        <v>95</v>
      </c>
      <c r="AS258" s="1" t="s">
        <v>93</v>
      </c>
      <c r="AT258" s="1" t="s">
        <v>93</v>
      </c>
      <c r="AU258" s="1" t="str">
        <f t="shared" ref="AU258:AU321" si="54">IF(AX258="","",IF(AX258=1,"Major",IF(AX258=3,"Critical",IF(AX258=0,"Minor",""))))</f>
        <v>Major</v>
      </c>
      <c r="AV258" s="1" t="str">
        <f t="shared" ref="AV258:AV321" si="55">K258&amp;P258</f>
        <v>12831054Shiny Iype</v>
      </c>
      <c r="AW258" s="1" t="str">
        <f t="shared" ref="AW258:AW321" si="56">IF(U258="","",LEFT(U258,FIND("-",U258,1)-1))</f>
        <v>Major</v>
      </c>
      <c r="AX258" s="1">
        <f t="shared" ref="AX258:AX321" si="57">IF(AW258="Minor",0,IF(AW258="Major",1,IF(AW258="Critical",3,"")))</f>
        <v>1</v>
      </c>
      <c r="AY258" s="1" t="s">
        <v>24</v>
      </c>
      <c r="AZ258" s="1" t="b">
        <v>1</v>
      </c>
      <c r="BA258" s="1">
        <f t="shared" ref="BA258:BA321" si="58">IF(U258="","",COUNTIF(U258,U258:U258))</f>
        <v>1</v>
      </c>
      <c r="BB258" s="1">
        <f t="shared" ref="BB258:BB321" si="59">V258</f>
        <v>1</v>
      </c>
      <c r="BC258" s="1" t="s">
        <v>457</v>
      </c>
      <c r="BD258" s="1" t="s">
        <v>43</v>
      </c>
      <c r="BE258" s="1" t="s">
        <v>1262</v>
      </c>
      <c r="BF258" s="1" t="b">
        <v>1</v>
      </c>
      <c r="BG258" s="1" t="str">
        <f>VLOOKUP(AM258,Group!$C:$H,5,0)</f>
        <v>Top 25</v>
      </c>
      <c r="BH258" s="1" t="str">
        <f>VLOOKUP(P258,others!$C:$G,5,0)</f>
        <v>MTX - India</v>
      </c>
    </row>
    <row r="259" spans="1:60" x14ac:dyDescent="0.25">
      <c r="A259" s="14">
        <v>46101.42769675926</v>
      </c>
      <c r="B259" s="14">
        <v>46101.656863425924</v>
      </c>
      <c r="C259" s="14">
        <v>46107.771979166668</v>
      </c>
      <c r="D259" s="14">
        <v>46108.001145833332</v>
      </c>
      <c r="E259" s="14">
        <v>46106.336319444446</v>
      </c>
      <c r="F259" s="14">
        <v>46108.001145833332</v>
      </c>
      <c r="G259" t="s">
        <v>470</v>
      </c>
      <c r="H259">
        <v>1025</v>
      </c>
      <c r="I259">
        <v>2397.35</v>
      </c>
      <c r="J259" t="s">
        <v>104</v>
      </c>
      <c r="K259">
        <v>12831054</v>
      </c>
      <c r="L259" t="s">
        <v>1388</v>
      </c>
      <c r="M259" t="s">
        <v>116</v>
      </c>
      <c r="N259" t="s">
        <v>88</v>
      </c>
      <c r="O259" t="s">
        <v>456</v>
      </c>
      <c r="P259" t="s">
        <v>457</v>
      </c>
      <c r="Q259" t="s">
        <v>24</v>
      </c>
      <c r="R259" t="s">
        <v>1241</v>
      </c>
      <c r="S259">
        <v>101.58</v>
      </c>
      <c r="T259">
        <v>96</v>
      </c>
      <c r="U259" t="s">
        <v>472</v>
      </c>
      <c r="V259">
        <v>2</v>
      </c>
      <c r="X259" t="s">
        <v>1251</v>
      </c>
      <c r="AA259">
        <v>1440</v>
      </c>
      <c r="AB259" t="s">
        <v>26</v>
      </c>
      <c r="AC259">
        <v>506</v>
      </c>
      <c r="AD259" t="s">
        <v>27</v>
      </c>
      <c r="AE259" t="s">
        <v>28</v>
      </c>
      <c r="AF259">
        <v>0</v>
      </c>
      <c r="AK259" s="12">
        <f t="shared" si="48"/>
        <v>46108</v>
      </c>
      <c r="AL259" s="1" t="str">
        <f t="shared" si="49"/>
        <v>Week13</v>
      </c>
      <c r="AM259" s="1" t="s">
        <v>119</v>
      </c>
      <c r="AN259" s="1" t="str">
        <f t="shared" si="50"/>
        <v>NoGo</v>
      </c>
      <c r="AO259" s="2">
        <f t="shared" si="51"/>
        <v>96.062216971844848</v>
      </c>
      <c r="AP259" s="1">
        <f t="shared" si="52"/>
        <v>2</v>
      </c>
      <c r="AQ259" s="1">
        <f t="shared" si="53"/>
        <v>4</v>
      </c>
      <c r="AR259" s="1" t="s">
        <v>95</v>
      </c>
      <c r="AS259" s="1" t="s">
        <v>93</v>
      </c>
      <c r="AT259" s="1" t="s">
        <v>93</v>
      </c>
      <c r="AU259" s="1" t="str">
        <f t="shared" si="54"/>
        <v>Major</v>
      </c>
      <c r="AV259" s="1" t="str">
        <f t="shared" si="55"/>
        <v>12831054Shiny Iype</v>
      </c>
      <c r="AW259" s="1" t="str">
        <f t="shared" si="56"/>
        <v>Major</v>
      </c>
      <c r="AX259" s="1">
        <f t="shared" si="57"/>
        <v>1</v>
      </c>
      <c r="AY259" s="1" t="s">
        <v>24</v>
      </c>
      <c r="AZ259" s="1" t="b">
        <v>1</v>
      </c>
      <c r="BA259" s="1">
        <f t="shared" si="58"/>
        <v>1</v>
      </c>
      <c r="BB259" s="1">
        <f t="shared" si="59"/>
        <v>2</v>
      </c>
      <c r="BC259" s="1" t="s">
        <v>457</v>
      </c>
      <c r="BD259" s="1" t="s">
        <v>43</v>
      </c>
      <c r="BE259" s="1" t="s">
        <v>1262</v>
      </c>
      <c r="BF259" s="1" t="b">
        <v>1</v>
      </c>
      <c r="BG259" s="1" t="str">
        <f>VLOOKUP(AM259,Group!$C:$H,5,0)</f>
        <v>Top 25</v>
      </c>
      <c r="BH259" s="1" t="str">
        <f>VLOOKUP(P259,others!$C:$G,5,0)</f>
        <v>MTX - India</v>
      </c>
    </row>
    <row r="260" spans="1:60" x14ac:dyDescent="0.25">
      <c r="A260" s="14">
        <v>46101.42769675926</v>
      </c>
      <c r="B260" s="14">
        <v>46101.656863425924</v>
      </c>
      <c r="C260" s="14">
        <v>46107.771979166668</v>
      </c>
      <c r="D260" s="14">
        <v>46108.001145833332</v>
      </c>
      <c r="E260" s="14">
        <v>46106.336319444446</v>
      </c>
      <c r="F260" s="14">
        <v>46108.001145833332</v>
      </c>
      <c r="G260" t="s">
        <v>470</v>
      </c>
      <c r="H260">
        <v>1025</v>
      </c>
      <c r="I260">
        <v>2397.35</v>
      </c>
      <c r="J260" t="s">
        <v>104</v>
      </c>
      <c r="K260">
        <v>12831054</v>
      </c>
      <c r="L260" t="s">
        <v>1388</v>
      </c>
      <c r="M260" t="s">
        <v>116</v>
      </c>
      <c r="N260" t="s">
        <v>88</v>
      </c>
      <c r="O260" t="s">
        <v>456</v>
      </c>
      <c r="P260" t="s">
        <v>457</v>
      </c>
      <c r="Q260" t="s">
        <v>24</v>
      </c>
      <c r="R260" t="s">
        <v>1241</v>
      </c>
      <c r="S260">
        <v>101.58</v>
      </c>
      <c r="T260">
        <v>96</v>
      </c>
      <c r="U260" t="s">
        <v>100</v>
      </c>
      <c r="V260">
        <v>18</v>
      </c>
      <c r="X260" t="s">
        <v>1251</v>
      </c>
      <c r="AA260">
        <v>1440</v>
      </c>
      <c r="AB260" t="s">
        <v>26</v>
      </c>
      <c r="AC260">
        <v>506</v>
      </c>
      <c r="AD260" t="s">
        <v>27</v>
      </c>
      <c r="AE260" t="s">
        <v>28</v>
      </c>
      <c r="AF260">
        <v>0</v>
      </c>
      <c r="AK260" s="12">
        <f t="shared" si="48"/>
        <v>46108</v>
      </c>
      <c r="AL260" s="1" t="str">
        <f t="shared" si="49"/>
        <v>Week13</v>
      </c>
      <c r="AM260" s="1" t="s">
        <v>119</v>
      </c>
      <c r="AN260" s="1" t="str">
        <f t="shared" si="50"/>
        <v>NoGo</v>
      </c>
      <c r="AO260" s="2">
        <f t="shared" si="51"/>
        <v>96.062216971844848</v>
      </c>
      <c r="AP260" s="1">
        <f t="shared" si="52"/>
        <v>0</v>
      </c>
      <c r="AQ260" s="1">
        <f t="shared" si="53"/>
        <v>4</v>
      </c>
      <c r="AR260" s="1" t="s">
        <v>95</v>
      </c>
      <c r="AS260" s="1" t="s">
        <v>93</v>
      </c>
      <c r="AT260" s="1" t="s">
        <v>93</v>
      </c>
      <c r="AU260" s="1" t="str">
        <f t="shared" si="54"/>
        <v>Minor</v>
      </c>
      <c r="AV260" s="1" t="str">
        <f t="shared" si="55"/>
        <v>12831054Shiny Iype</v>
      </c>
      <c r="AW260" s="1" t="str">
        <f t="shared" si="56"/>
        <v>Minor</v>
      </c>
      <c r="AX260" s="1">
        <f t="shared" si="57"/>
        <v>0</v>
      </c>
      <c r="AY260" s="1" t="s">
        <v>24</v>
      </c>
      <c r="AZ260" s="1" t="b">
        <v>0</v>
      </c>
      <c r="BA260" s="1">
        <f t="shared" si="58"/>
        <v>1</v>
      </c>
      <c r="BB260" s="1">
        <f t="shared" si="59"/>
        <v>18</v>
      </c>
      <c r="BC260" s="1" t="s">
        <v>457</v>
      </c>
      <c r="BD260" s="1" t="s">
        <v>43</v>
      </c>
      <c r="BE260" s="1" t="s">
        <v>1262</v>
      </c>
      <c r="BF260" s="1" t="b">
        <v>0</v>
      </c>
      <c r="BG260" s="1" t="str">
        <f>VLOOKUP(AM260,Group!$C:$H,5,0)</f>
        <v>Top 25</v>
      </c>
      <c r="BH260" s="1" t="str">
        <f>VLOOKUP(P260,others!$C:$G,5,0)</f>
        <v>MTX - India</v>
      </c>
    </row>
    <row r="261" spans="1:60" x14ac:dyDescent="0.25">
      <c r="A261" s="14">
        <v>46097.705370370371</v>
      </c>
      <c r="B261" s="14">
        <v>46097.934537037036</v>
      </c>
      <c r="C261" s="14">
        <v>46108.236712962964</v>
      </c>
      <c r="D261" s="14">
        <v>46108.465879629628</v>
      </c>
      <c r="E261" s="14">
        <v>46106.910381944443</v>
      </c>
      <c r="F261" s="14">
        <v>46108.465879629628</v>
      </c>
      <c r="G261" t="s">
        <v>470</v>
      </c>
      <c r="H261">
        <v>1451</v>
      </c>
      <c r="I261">
        <v>2239.9167000000002</v>
      </c>
      <c r="J261" t="s">
        <v>104</v>
      </c>
      <c r="K261">
        <v>12829472</v>
      </c>
      <c r="L261" t="s">
        <v>1272</v>
      </c>
      <c r="M261" t="s">
        <v>101</v>
      </c>
      <c r="N261" t="s">
        <v>88</v>
      </c>
      <c r="O261" t="s">
        <v>456</v>
      </c>
      <c r="P261" t="s">
        <v>457</v>
      </c>
      <c r="Q261" t="s">
        <v>24</v>
      </c>
      <c r="R261" t="s">
        <v>25</v>
      </c>
      <c r="S261">
        <v>46.55</v>
      </c>
      <c r="T261">
        <v>100</v>
      </c>
      <c r="U261" t="s">
        <v>100</v>
      </c>
      <c r="V261">
        <v>4</v>
      </c>
      <c r="X261" t="s">
        <v>469</v>
      </c>
      <c r="AA261">
        <v>1440</v>
      </c>
      <c r="AB261" t="s">
        <v>26</v>
      </c>
      <c r="AC261">
        <v>175</v>
      </c>
      <c r="AD261" t="s">
        <v>27</v>
      </c>
      <c r="AE261" t="s">
        <v>28</v>
      </c>
      <c r="AF261">
        <v>0</v>
      </c>
      <c r="AK261" s="12">
        <f t="shared" si="48"/>
        <v>46108</v>
      </c>
      <c r="AL261" s="1" t="str">
        <f t="shared" si="49"/>
        <v>Week13</v>
      </c>
      <c r="AM261" s="1" t="s">
        <v>102</v>
      </c>
      <c r="AN261" s="1" t="str">
        <f t="shared" si="50"/>
        <v>Go</v>
      </c>
      <c r="AO261" s="2">
        <f t="shared" si="51"/>
        <v>100</v>
      </c>
      <c r="AP261" s="1">
        <f t="shared" si="52"/>
        <v>0</v>
      </c>
      <c r="AQ261" s="1">
        <f t="shared" si="53"/>
        <v>0</v>
      </c>
      <c r="AR261" s="1" t="s">
        <v>95</v>
      </c>
      <c r="AS261" s="1" t="s">
        <v>93</v>
      </c>
      <c r="AT261" s="1" t="s">
        <v>93</v>
      </c>
      <c r="AU261" s="1" t="str">
        <f t="shared" si="54"/>
        <v>Minor</v>
      </c>
      <c r="AV261" s="1" t="str">
        <f t="shared" si="55"/>
        <v>12829472Shiny Iype</v>
      </c>
      <c r="AW261" s="1" t="str">
        <f t="shared" si="56"/>
        <v>Minor</v>
      </c>
      <c r="AX261" s="1">
        <f t="shared" si="57"/>
        <v>0</v>
      </c>
      <c r="AY261" s="1" t="s">
        <v>24</v>
      </c>
      <c r="AZ261" s="1" t="b">
        <v>0</v>
      </c>
      <c r="BA261" s="1">
        <f t="shared" si="58"/>
        <v>1</v>
      </c>
      <c r="BB261" s="1">
        <f t="shared" si="59"/>
        <v>4</v>
      </c>
      <c r="BC261" s="1" t="s">
        <v>457</v>
      </c>
      <c r="BD261" s="1" t="s">
        <v>43</v>
      </c>
      <c r="BE261" s="1" t="s">
        <v>98</v>
      </c>
      <c r="BF261" s="1" t="b">
        <v>0</v>
      </c>
      <c r="BG261" s="1" t="str">
        <f>VLOOKUP(AM261,Group!$C:$H,5,0)</f>
        <v>Top 25</v>
      </c>
      <c r="BH261" s="1" t="str">
        <f>VLOOKUP(P261,others!$C:$G,5,0)</f>
        <v>MTX - India</v>
      </c>
    </row>
    <row r="262" spans="1:60" x14ac:dyDescent="0.25">
      <c r="A262" s="14">
        <v>46103.435636574075</v>
      </c>
      <c r="B262" s="14">
        <v>46103.664803240739</v>
      </c>
      <c r="C262" s="14">
        <v>46108.249166666668</v>
      </c>
      <c r="D262" s="14">
        <v>46108.478333333333</v>
      </c>
      <c r="E262" s="14">
        <v>46106.911145833335</v>
      </c>
      <c r="F262" s="14">
        <v>46108.478333333333</v>
      </c>
      <c r="G262" t="s">
        <v>470</v>
      </c>
      <c r="H262">
        <v>790</v>
      </c>
      <c r="I262">
        <v>2256.75</v>
      </c>
      <c r="J262" t="s">
        <v>104</v>
      </c>
      <c r="K262">
        <v>12831367</v>
      </c>
      <c r="L262" t="s">
        <v>1388</v>
      </c>
      <c r="M262" t="s">
        <v>116</v>
      </c>
      <c r="N262" t="s">
        <v>88</v>
      </c>
      <c r="O262" t="s">
        <v>131</v>
      </c>
      <c r="P262" t="s">
        <v>132</v>
      </c>
      <c r="Q262" t="s">
        <v>1328</v>
      </c>
      <c r="R262" t="s">
        <v>25</v>
      </c>
      <c r="S262">
        <v>82.37</v>
      </c>
      <c r="T262">
        <v>100</v>
      </c>
      <c r="U262" t="s">
        <v>100</v>
      </c>
      <c r="V262">
        <v>3</v>
      </c>
      <c r="X262" t="s">
        <v>1251</v>
      </c>
      <c r="AA262">
        <v>1440</v>
      </c>
      <c r="AB262" t="s">
        <v>26</v>
      </c>
      <c r="AC262">
        <v>383</v>
      </c>
      <c r="AD262" t="s">
        <v>27</v>
      </c>
      <c r="AE262" t="s">
        <v>28</v>
      </c>
      <c r="AF262">
        <v>0</v>
      </c>
      <c r="AK262" s="12">
        <f t="shared" si="48"/>
        <v>46108</v>
      </c>
      <c r="AL262" s="1" t="str">
        <f t="shared" si="49"/>
        <v>Week13</v>
      </c>
      <c r="AM262" s="1" t="s">
        <v>119</v>
      </c>
      <c r="AN262" s="1" t="str">
        <f t="shared" si="50"/>
        <v>Go</v>
      </c>
      <c r="AO262" s="2">
        <f t="shared" si="51"/>
        <v>100</v>
      </c>
      <c r="AP262" s="1">
        <f t="shared" si="52"/>
        <v>0</v>
      </c>
      <c r="AQ262" s="1">
        <f t="shared" si="53"/>
        <v>0</v>
      </c>
      <c r="AR262" s="1" t="s">
        <v>95</v>
      </c>
      <c r="AS262" s="1" t="s">
        <v>96</v>
      </c>
      <c r="AT262" s="1" t="s">
        <v>96</v>
      </c>
      <c r="AU262" s="1" t="str">
        <f t="shared" si="54"/>
        <v>Minor</v>
      </c>
      <c r="AV262" s="1" t="str">
        <f t="shared" si="55"/>
        <v>12831367Pratheep Kumar</v>
      </c>
      <c r="AW262" s="1" t="str">
        <f t="shared" si="56"/>
        <v>Minor</v>
      </c>
      <c r="AX262" s="1">
        <f t="shared" si="57"/>
        <v>0</v>
      </c>
      <c r="AY262" s="1" t="s">
        <v>29</v>
      </c>
      <c r="AZ262" s="1" t="b">
        <v>0</v>
      </c>
      <c r="BA262" s="1">
        <f t="shared" si="58"/>
        <v>1</v>
      </c>
      <c r="BB262" s="1">
        <f t="shared" si="59"/>
        <v>3</v>
      </c>
      <c r="BC262" s="1" t="s">
        <v>132</v>
      </c>
      <c r="BD262" s="1" t="s">
        <v>43</v>
      </c>
      <c r="BE262" s="1" t="s">
        <v>98</v>
      </c>
      <c r="BF262" s="1" t="b">
        <v>0</v>
      </c>
      <c r="BG262" s="1" t="str">
        <f>VLOOKUP(AM262,Group!$C:$H,5,0)</f>
        <v>Top 25</v>
      </c>
      <c r="BH262" s="1" t="str">
        <f>VLOOKUP(P262,others!$C:$G,5,0)</f>
        <v>MT - India</v>
      </c>
    </row>
    <row r="263" spans="1:60" x14ac:dyDescent="0.25">
      <c r="A263" s="14">
        <v>46101.982037037036</v>
      </c>
      <c r="B263" s="14">
        <v>46102.2112037037</v>
      </c>
      <c r="C263" s="14">
        <v>46108.278784722221</v>
      </c>
      <c r="D263" s="14">
        <v>46108.507951388892</v>
      </c>
      <c r="E263" s="14">
        <v>46106.336412037039</v>
      </c>
      <c r="F263" s="14">
        <v>46108.507951388892</v>
      </c>
      <c r="G263" t="s">
        <v>470</v>
      </c>
      <c r="H263">
        <v>2587</v>
      </c>
      <c r="I263">
        <v>3127.0167000000001</v>
      </c>
      <c r="J263" t="s">
        <v>104</v>
      </c>
      <c r="K263">
        <v>12831266</v>
      </c>
      <c r="L263" t="s">
        <v>1336</v>
      </c>
      <c r="M263" t="s">
        <v>136</v>
      </c>
      <c r="N263" t="s">
        <v>88</v>
      </c>
      <c r="O263" t="s">
        <v>465</v>
      </c>
      <c r="P263" t="s">
        <v>153</v>
      </c>
      <c r="Q263" t="s">
        <v>1328</v>
      </c>
      <c r="R263" t="s">
        <v>25</v>
      </c>
      <c r="S263">
        <v>194.68</v>
      </c>
      <c r="T263">
        <v>100</v>
      </c>
      <c r="U263" t="s">
        <v>100</v>
      </c>
      <c r="V263">
        <v>4</v>
      </c>
      <c r="X263" t="s">
        <v>1337</v>
      </c>
      <c r="AA263">
        <v>1440</v>
      </c>
      <c r="AB263" t="s">
        <v>26</v>
      </c>
      <c r="AC263">
        <v>1023</v>
      </c>
      <c r="AD263" t="s">
        <v>27</v>
      </c>
      <c r="AE263" t="s">
        <v>28</v>
      </c>
      <c r="AF263">
        <v>0</v>
      </c>
      <c r="AK263" s="12">
        <f t="shared" si="48"/>
        <v>46108</v>
      </c>
      <c r="AL263" s="1" t="str">
        <f t="shared" si="49"/>
        <v>Week13</v>
      </c>
      <c r="AM263" s="1" t="s">
        <v>138</v>
      </c>
      <c r="AN263" s="1" t="str">
        <f t="shared" si="50"/>
        <v>Go</v>
      </c>
      <c r="AO263" s="2">
        <f t="shared" si="51"/>
        <v>100</v>
      </c>
      <c r="AP263" s="1">
        <f t="shared" si="52"/>
        <v>0</v>
      </c>
      <c r="AQ263" s="1">
        <f t="shared" si="53"/>
        <v>0</v>
      </c>
      <c r="AR263" s="1" t="s">
        <v>96</v>
      </c>
      <c r="AS263" s="1" t="s">
        <v>96</v>
      </c>
      <c r="AT263" s="1" t="s">
        <v>96</v>
      </c>
      <c r="AU263" s="1" t="str">
        <f t="shared" si="54"/>
        <v>Minor</v>
      </c>
      <c r="AV263" s="1" t="str">
        <f t="shared" si="55"/>
        <v>12831266Sivasankari A</v>
      </c>
      <c r="AW263" s="1" t="str">
        <f t="shared" si="56"/>
        <v>Minor</v>
      </c>
      <c r="AX263" s="1">
        <f t="shared" si="57"/>
        <v>0</v>
      </c>
      <c r="AY263" s="1" t="s">
        <v>29</v>
      </c>
      <c r="AZ263" s="1" t="b">
        <v>0</v>
      </c>
      <c r="BA263" s="1">
        <f t="shared" si="58"/>
        <v>1</v>
      </c>
      <c r="BB263" s="1">
        <f t="shared" si="59"/>
        <v>4</v>
      </c>
      <c r="BC263" s="1" t="s">
        <v>153</v>
      </c>
      <c r="BD263" s="1" t="s">
        <v>43</v>
      </c>
      <c r="BE263" s="1" t="s">
        <v>98</v>
      </c>
      <c r="BF263" s="1" t="b">
        <v>0</v>
      </c>
      <c r="BG263" s="1" t="str">
        <f>VLOOKUP(AM263,Group!$C:$H,5,0)</f>
        <v>Top 25</v>
      </c>
      <c r="BH263" s="1" t="str">
        <f>VLOOKUP(P263,others!$C:$G,5,0)</f>
        <v>VR QA - India</v>
      </c>
    </row>
    <row r="264" spans="1:60" x14ac:dyDescent="0.25">
      <c r="A264" s="14">
        <v>46097.767048611109</v>
      </c>
      <c r="B264" s="14">
        <v>46097.996215277781</v>
      </c>
      <c r="C264" s="14">
        <v>46110.266724537039</v>
      </c>
      <c r="D264" s="14">
        <v>46110.495891203704</v>
      </c>
      <c r="E264" s="14">
        <v>46107.446122685185</v>
      </c>
      <c r="F264" s="14">
        <v>46110.495891203704</v>
      </c>
      <c r="G264" t="s">
        <v>470</v>
      </c>
      <c r="H264">
        <v>1433</v>
      </c>
      <c r="I264">
        <v>4391.6666999999998</v>
      </c>
      <c r="J264" t="s">
        <v>104</v>
      </c>
      <c r="K264">
        <v>12829528</v>
      </c>
      <c r="L264" t="s">
        <v>1355</v>
      </c>
      <c r="M264" t="s">
        <v>101</v>
      </c>
      <c r="N264" t="s">
        <v>88</v>
      </c>
      <c r="O264" t="s">
        <v>456</v>
      </c>
      <c r="P264" t="s">
        <v>457</v>
      </c>
      <c r="Q264" t="s">
        <v>24</v>
      </c>
      <c r="R264" t="s">
        <v>25</v>
      </c>
      <c r="S264">
        <v>37.69</v>
      </c>
      <c r="T264">
        <v>99</v>
      </c>
      <c r="U264" t="s">
        <v>471</v>
      </c>
      <c r="V264">
        <v>1</v>
      </c>
      <c r="X264" t="s">
        <v>469</v>
      </c>
      <c r="AA264">
        <v>1440</v>
      </c>
      <c r="AB264" t="s">
        <v>26</v>
      </c>
      <c r="AC264">
        <v>176</v>
      </c>
      <c r="AD264" t="s">
        <v>27</v>
      </c>
      <c r="AE264" t="s">
        <v>28</v>
      </c>
      <c r="AF264">
        <v>0</v>
      </c>
      <c r="AK264" s="12">
        <f t="shared" si="48"/>
        <v>46110</v>
      </c>
      <c r="AL264" s="1" t="str">
        <f t="shared" si="49"/>
        <v>Week14</v>
      </c>
      <c r="AM264" s="1" t="s">
        <v>102</v>
      </c>
      <c r="AN264" s="1" t="str">
        <f t="shared" si="50"/>
        <v>NoGo</v>
      </c>
      <c r="AO264" s="2">
        <f t="shared" si="51"/>
        <v>97.34677633324489</v>
      </c>
      <c r="AP264" s="1">
        <f t="shared" si="52"/>
        <v>1</v>
      </c>
      <c r="AQ264" s="1">
        <f t="shared" si="53"/>
        <v>1</v>
      </c>
      <c r="AR264" s="1" t="s">
        <v>95</v>
      </c>
      <c r="AS264" s="1" t="s">
        <v>93</v>
      </c>
      <c r="AT264" s="1" t="s">
        <v>93</v>
      </c>
      <c r="AU264" s="1" t="str">
        <f t="shared" si="54"/>
        <v>Major</v>
      </c>
      <c r="AV264" s="1" t="str">
        <f t="shared" si="55"/>
        <v>12829528Shiny Iype</v>
      </c>
      <c r="AW264" s="1" t="str">
        <f t="shared" si="56"/>
        <v>Major</v>
      </c>
      <c r="AX264" s="1">
        <f t="shared" si="57"/>
        <v>1</v>
      </c>
      <c r="AY264" s="1" t="s">
        <v>24</v>
      </c>
      <c r="AZ264" s="1" t="b">
        <v>1</v>
      </c>
      <c r="BA264" s="1">
        <f t="shared" si="58"/>
        <v>1</v>
      </c>
      <c r="BB264" s="1">
        <f t="shared" si="59"/>
        <v>1</v>
      </c>
      <c r="BC264" s="1" t="s">
        <v>457</v>
      </c>
      <c r="BD264" s="1" t="s">
        <v>43</v>
      </c>
      <c r="BE264" s="1" t="s">
        <v>98</v>
      </c>
      <c r="BF264" s="1" t="b">
        <v>1</v>
      </c>
      <c r="BG264" s="1" t="str">
        <f>VLOOKUP(AM264,Group!$C:$H,5,0)</f>
        <v>Top 25</v>
      </c>
      <c r="BH264" s="1" t="str">
        <f>VLOOKUP(P264,others!$C:$G,5,0)</f>
        <v>MTX - India</v>
      </c>
    </row>
    <row r="265" spans="1:60" x14ac:dyDescent="0.25">
      <c r="A265" s="14">
        <v>46097.767048611109</v>
      </c>
      <c r="B265" s="14">
        <v>46097.996215277781</v>
      </c>
      <c r="C265" s="14">
        <v>46110.266724537039</v>
      </c>
      <c r="D265" s="14">
        <v>46110.495891203704</v>
      </c>
      <c r="E265" s="14">
        <v>46107.446122685185</v>
      </c>
      <c r="F265" s="14">
        <v>46110.495891203704</v>
      </c>
      <c r="G265" t="s">
        <v>470</v>
      </c>
      <c r="H265">
        <v>1433</v>
      </c>
      <c r="I265">
        <v>4391.6666999999998</v>
      </c>
      <c r="J265" t="s">
        <v>104</v>
      </c>
      <c r="K265">
        <v>12829528</v>
      </c>
      <c r="L265" t="s">
        <v>1355</v>
      </c>
      <c r="M265" t="s">
        <v>101</v>
      </c>
      <c r="N265" t="s">
        <v>88</v>
      </c>
      <c r="O265" t="s">
        <v>456</v>
      </c>
      <c r="P265" t="s">
        <v>457</v>
      </c>
      <c r="Q265" t="s">
        <v>24</v>
      </c>
      <c r="R265" t="s">
        <v>25</v>
      </c>
      <c r="S265">
        <v>37.69</v>
      </c>
      <c r="T265">
        <v>99</v>
      </c>
      <c r="U265" t="s">
        <v>100</v>
      </c>
      <c r="V265">
        <v>1</v>
      </c>
      <c r="X265" t="s">
        <v>469</v>
      </c>
      <c r="AA265">
        <v>1440</v>
      </c>
      <c r="AB265" t="s">
        <v>26</v>
      </c>
      <c r="AC265">
        <v>176</v>
      </c>
      <c r="AD265" t="s">
        <v>27</v>
      </c>
      <c r="AE265" t="s">
        <v>28</v>
      </c>
      <c r="AF265">
        <v>0</v>
      </c>
      <c r="AK265" s="12">
        <f t="shared" si="48"/>
        <v>46110</v>
      </c>
      <c r="AL265" s="1" t="str">
        <f t="shared" si="49"/>
        <v>Week14</v>
      </c>
      <c r="AM265" s="1" t="s">
        <v>102</v>
      </c>
      <c r="AN265" s="1" t="str">
        <f t="shared" si="50"/>
        <v>NoGo</v>
      </c>
      <c r="AO265" s="2">
        <f t="shared" si="51"/>
        <v>97.34677633324489</v>
      </c>
      <c r="AP265" s="1">
        <f t="shared" si="52"/>
        <v>0</v>
      </c>
      <c r="AQ265" s="1">
        <f t="shared" si="53"/>
        <v>1</v>
      </c>
      <c r="AR265" s="1" t="s">
        <v>95</v>
      </c>
      <c r="AS265" s="1" t="s">
        <v>93</v>
      </c>
      <c r="AT265" s="1" t="s">
        <v>93</v>
      </c>
      <c r="AU265" s="1" t="str">
        <f t="shared" si="54"/>
        <v>Minor</v>
      </c>
      <c r="AV265" s="1" t="str">
        <f t="shared" si="55"/>
        <v>12829528Shiny Iype</v>
      </c>
      <c r="AW265" s="1" t="str">
        <f t="shared" si="56"/>
        <v>Minor</v>
      </c>
      <c r="AX265" s="1">
        <f t="shared" si="57"/>
        <v>0</v>
      </c>
      <c r="AY265" s="1" t="s">
        <v>24</v>
      </c>
      <c r="AZ265" s="1" t="b">
        <v>0</v>
      </c>
      <c r="BA265" s="1">
        <f t="shared" si="58"/>
        <v>1</v>
      </c>
      <c r="BB265" s="1">
        <f t="shared" si="59"/>
        <v>1</v>
      </c>
      <c r="BC265" s="1" t="s">
        <v>457</v>
      </c>
      <c r="BD265" s="1" t="s">
        <v>43</v>
      </c>
      <c r="BE265" s="1" t="s">
        <v>98</v>
      </c>
      <c r="BF265" s="1" t="b">
        <v>0</v>
      </c>
      <c r="BG265" s="1" t="str">
        <f>VLOOKUP(AM265,Group!$C:$H,5,0)</f>
        <v>Top 25</v>
      </c>
      <c r="BH265" s="1" t="str">
        <f>VLOOKUP(P265,others!$C:$G,5,0)</f>
        <v>MTX - India</v>
      </c>
    </row>
    <row r="266" spans="1:60" x14ac:dyDescent="0.25">
      <c r="A266" s="14">
        <v>46099.716678240744</v>
      </c>
      <c r="B266" s="14">
        <v>46099.945844907408</v>
      </c>
      <c r="C266" s="14">
        <v>46110.274710648147</v>
      </c>
      <c r="D266" s="14">
        <v>46110.503877314812</v>
      </c>
      <c r="E266" s="14">
        <v>46107.446238425924</v>
      </c>
      <c r="F266" s="14">
        <v>46110.503877314812</v>
      </c>
      <c r="G266" t="s">
        <v>470</v>
      </c>
      <c r="H266">
        <v>678</v>
      </c>
      <c r="I266">
        <v>4403</v>
      </c>
      <c r="J266" t="s">
        <v>104</v>
      </c>
      <c r="K266">
        <v>12830403</v>
      </c>
      <c r="L266" t="s">
        <v>1249</v>
      </c>
      <c r="M266" t="s">
        <v>101</v>
      </c>
      <c r="N266" t="s">
        <v>88</v>
      </c>
      <c r="O266" t="s">
        <v>456</v>
      </c>
      <c r="P266" t="s">
        <v>457</v>
      </c>
      <c r="Q266" t="s">
        <v>24</v>
      </c>
      <c r="R266" t="s">
        <v>1241</v>
      </c>
      <c r="S266">
        <v>30.58</v>
      </c>
      <c r="T266">
        <v>93</v>
      </c>
      <c r="U266" t="s">
        <v>471</v>
      </c>
      <c r="V266">
        <v>2</v>
      </c>
      <c r="X266" t="s">
        <v>469</v>
      </c>
      <c r="AA266">
        <v>1440</v>
      </c>
      <c r="AB266" t="s">
        <v>26</v>
      </c>
      <c r="AC266">
        <v>151</v>
      </c>
      <c r="AD266" t="s">
        <v>27</v>
      </c>
      <c r="AE266" t="s">
        <v>28</v>
      </c>
      <c r="AF266">
        <v>0</v>
      </c>
      <c r="AK266" s="12">
        <f t="shared" si="48"/>
        <v>46110</v>
      </c>
      <c r="AL266" s="1" t="str">
        <f t="shared" si="49"/>
        <v>Week14</v>
      </c>
      <c r="AM266" s="1" t="s">
        <v>102</v>
      </c>
      <c r="AN266" s="1" t="str">
        <f t="shared" si="50"/>
        <v>NoGo</v>
      </c>
      <c r="AO266" s="2">
        <f t="shared" si="51"/>
        <v>77.109221713538261</v>
      </c>
      <c r="AP266" s="1">
        <f t="shared" si="52"/>
        <v>2</v>
      </c>
      <c r="AQ266" s="1">
        <f t="shared" si="53"/>
        <v>7</v>
      </c>
      <c r="AR266" s="1" t="s">
        <v>95</v>
      </c>
      <c r="AS266" s="1" t="s">
        <v>93</v>
      </c>
      <c r="AT266" s="1" t="s">
        <v>93</v>
      </c>
      <c r="AU266" s="1" t="str">
        <f t="shared" si="54"/>
        <v>Major</v>
      </c>
      <c r="AV266" s="1" t="str">
        <f t="shared" si="55"/>
        <v>12830403Shiny Iype</v>
      </c>
      <c r="AW266" s="1" t="str">
        <f t="shared" si="56"/>
        <v>Major</v>
      </c>
      <c r="AX266" s="1">
        <f t="shared" si="57"/>
        <v>1</v>
      </c>
      <c r="AY266" s="1" t="s">
        <v>24</v>
      </c>
      <c r="AZ266" s="1" t="b">
        <v>1</v>
      </c>
      <c r="BA266" s="1">
        <f t="shared" si="58"/>
        <v>1</v>
      </c>
      <c r="BB266" s="1">
        <f t="shared" si="59"/>
        <v>2</v>
      </c>
      <c r="BC266" s="1" t="s">
        <v>457</v>
      </c>
      <c r="BD266" s="1" t="s">
        <v>43</v>
      </c>
      <c r="BE266" s="1" t="s">
        <v>98</v>
      </c>
      <c r="BF266" s="1" t="b">
        <v>1</v>
      </c>
      <c r="BG266" s="1" t="str">
        <f>VLOOKUP(AM266,Group!$C:$H,5,0)</f>
        <v>Top 25</v>
      </c>
      <c r="BH266" s="1" t="str">
        <f>VLOOKUP(P266,others!$C:$G,5,0)</f>
        <v>MTX - India</v>
      </c>
    </row>
    <row r="267" spans="1:60" x14ac:dyDescent="0.25">
      <c r="A267" s="14">
        <v>46099.716678240744</v>
      </c>
      <c r="B267" s="14">
        <v>46099.945844907408</v>
      </c>
      <c r="C267" s="14">
        <v>46110.274710648147</v>
      </c>
      <c r="D267" s="14">
        <v>46110.503877314812</v>
      </c>
      <c r="E267" s="14">
        <v>46107.446238425924</v>
      </c>
      <c r="F267" s="14">
        <v>46110.503877314812</v>
      </c>
      <c r="G267" t="s">
        <v>470</v>
      </c>
      <c r="H267">
        <v>678</v>
      </c>
      <c r="I267">
        <v>4403</v>
      </c>
      <c r="J267" t="s">
        <v>104</v>
      </c>
      <c r="K267">
        <v>12830403</v>
      </c>
      <c r="L267" t="s">
        <v>1249</v>
      </c>
      <c r="M267" t="s">
        <v>101</v>
      </c>
      <c r="N267" t="s">
        <v>88</v>
      </c>
      <c r="O267" t="s">
        <v>456</v>
      </c>
      <c r="P267" t="s">
        <v>457</v>
      </c>
      <c r="Q267" t="s">
        <v>24</v>
      </c>
      <c r="R267" t="s">
        <v>1241</v>
      </c>
      <c r="S267">
        <v>30.58</v>
      </c>
      <c r="T267">
        <v>93</v>
      </c>
      <c r="U267" t="s">
        <v>472</v>
      </c>
      <c r="V267">
        <v>5</v>
      </c>
      <c r="X267" t="s">
        <v>469</v>
      </c>
      <c r="AA267">
        <v>1440</v>
      </c>
      <c r="AB267" t="s">
        <v>26</v>
      </c>
      <c r="AC267">
        <v>151</v>
      </c>
      <c r="AD267" t="s">
        <v>27</v>
      </c>
      <c r="AE267" t="s">
        <v>28</v>
      </c>
      <c r="AF267">
        <v>0</v>
      </c>
      <c r="AK267" s="12">
        <f t="shared" si="48"/>
        <v>46110</v>
      </c>
      <c r="AL267" s="1" t="str">
        <f t="shared" si="49"/>
        <v>Week14</v>
      </c>
      <c r="AM267" s="1" t="s">
        <v>102</v>
      </c>
      <c r="AN267" s="1" t="str">
        <f t="shared" si="50"/>
        <v>NoGo</v>
      </c>
      <c r="AO267" s="2">
        <f t="shared" si="51"/>
        <v>77.109221713538261</v>
      </c>
      <c r="AP267" s="1">
        <f t="shared" si="52"/>
        <v>5</v>
      </c>
      <c r="AQ267" s="1">
        <f t="shared" si="53"/>
        <v>7</v>
      </c>
      <c r="AR267" s="1" t="s">
        <v>95</v>
      </c>
      <c r="AS267" s="1" t="s">
        <v>93</v>
      </c>
      <c r="AT267" s="1" t="s">
        <v>93</v>
      </c>
      <c r="AU267" s="1" t="str">
        <f t="shared" si="54"/>
        <v>Major</v>
      </c>
      <c r="AV267" s="1" t="str">
        <f t="shared" si="55"/>
        <v>12830403Shiny Iype</v>
      </c>
      <c r="AW267" s="1" t="str">
        <f t="shared" si="56"/>
        <v>Major</v>
      </c>
      <c r="AX267" s="1">
        <f t="shared" si="57"/>
        <v>1</v>
      </c>
      <c r="AY267" s="1" t="s">
        <v>24</v>
      </c>
      <c r="AZ267" s="1" t="b">
        <v>1</v>
      </c>
      <c r="BA267" s="1">
        <f t="shared" si="58"/>
        <v>1</v>
      </c>
      <c r="BB267" s="1">
        <f t="shared" si="59"/>
        <v>5</v>
      </c>
      <c r="BC267" s="1" t="s">
        <v>457</v>
      </c>
      <c r="BD267" s="1" t="s">
        <v>43</v>
      </c>
      <c r="BE267" s="1" t="s">
        <v>98</v>
      </c>
      <c r="BF267" s="1" t="b">
        <v>1</v>
      </c>
      <c r="BG267" s="1" t="str">
        <f>VLOOKUP(AM267,Group!$C:$H,5,0)</f>
        <v>Top 25</v>
      </c>
      <c r="BH267" s="1" t="str">
        <f>VLOOKUP(P267,others!$C:$G,5,0)</f>
        <v>MTX - India</v>
      </c>
    </row>
    <row r="268" spans="1:60" x14ac:dyDescent="0.25">
      <c r="A268" s="14">
        <v>46099.716678240744</v>
      </c>
      <c r="B268" s="14">
        <v>46099.945844907408</v>
      </c>
      <c r="C268" s="14">
        <v>46110.274710648147</v>
      </c>
      <c r="D268" s="14">
        <v>46110.503877314812</v>
      </c>
      <c r="E268" s="14">
        <v>46107.446238425924</v>
      </c>
      <c r="F268" s="14">
        <v>46110.503877314812</v>
      </c>
      <c r="G268" t="s">
        <v>470</v>
      </c>
      <c r="H268">
        <v>678</v>
      </c>
      <c r="I268">
        <v>4403</v>
      </c>
      <c r="J268" t="s">
        <v>104</v>
      </c>
      <c r="K268">
        <v>12830403</v>
      </c>
      <c r="L268" t="s">
        <v>1249</v>
      </c>
      <c r="M268" t="s">
        <v>101</v>
      </c>
      <c r="N268" t="s">
        <v>88</v>
      </c>
      <c r="O268" t="s">
        <v>456</v>
      </c>
      <c r="P268" t="s">
        <v>457</v>
      </c>
      <c r="Q268" t="s">
        <v>24</v>
      </c>
      <c r="R268" t="s">
        <v>1241</v>
      </c>
      <c r="S268">
        <v>30.58</v>
      </c>
      <c r="T268">
        <v>93</v>
      </c>
      <c r="U268" t="s">
        <v>100</v>
      </c>
      <c r="V268">
        <v>8</v>
      </c>
      <c r="X268" t="s">
        <v>469</v>
      </c>
      <c r="AA268">
        <v>1440</v>
      </c>
      <c r="AB268" t="s">
        <v>26</v>
      </c>
      <c r="AC268">
        <v>151</v>
      </c>
      <c r="AD268" t="s">
        <v>27</v>
      </c>
      <c r="AE268" t="s">
        <v>28</v>
      </c>
      <c r="AF268">
        <v>0</v>
      </c>
      <c r="AK268" s="12">
        <f t="shared" si="48"/>
        <v>46110</v>
      </c>
      <c r="AL268" s="1" t="str">
        <f t="shared" si="49"/>
        <v>Week14</v>
      </c>
      <c r="AM268" s="1" t="s">
        <v>102</v>
      </c>
      <c r="AN268" s="1" t="str">
        <f t="shared" si="50"/>
        <v>NoGo</v>
      </c>
      <c r="AO268" s="2">
        <f t="shared" si="51"/>
        <v>77.109221713538261</v>
      </c>
      <c r="AP268" s="1">
        <f t="shared" si="52"/>
        <v>0</v>
      </c>
      <c r="AQ268" s="1">
        <f t="shared" si="53"/>
        <v>7</v>
      </c>
      <c r="AR268" s="1" t="s">
        <v>95</v>
      </c>
      <c r="AS268" s="1" t="s">
        <v>93</v>
      </c>
      <c r="AT268" s="1" t="s">
        <v>93</v>
      </c>
      <c r="AU268" s="1" t="str">
        <f t="shared" si="54"/>
        <v>Minor</v>
      </c>
      <c r="AV268" s="1" t="str">
        <f t="shared" si="55"/>
        <v>12830403Shiny Iype</v>
      </c>
      <c r="AW268" s="1" t="str">
        <f t="shared" si="56"/>
        <v>Minor</v>
      </c>
      <c r="AX268" s="1">
        <f t="shared" si="57"/>
        <v>0</v>
      </c>
      <c r="AY268" s="1" t="s">
        <v>24</v>
      </c>
      <c r="AZ268" s="1" t="b">
        <v>0</v>
      </c>
      <c r="BA268" s="1">
        <f t="shared" si="58"/>
        <v>1</v>
      </c>
      <c r="BB268" s="1">
        <f t="shared" si="59"/>
        <v>8</v>
      </c>
      <c r="BC268" s="1" t="s">
        <v>457</v>
      </c>
      <c r="BD268" s="1" t="s">
        <v>43</v>
      </c>
      <c r="BE268" s="1" t="s">
        <v>98</v>
      </c>
      <c r="BF268" s="1" t="b">
        <v>0</v>
      </c>
      <c r="BG268" s="1" t="str">
        <f>VLOOKUP(AM268,Group!$C:$H,5,0)</f>
        <v>Top 25</v>
      </c>
      <c r="BH268" s="1" t="str">
        <f>VLOOKUP(P268,others!$C:$G,5,0)</f>
        <v>MTX - India</v>
      </c>
    </row>
    <row r="269" spans="1:60" x14ac:dyDescent="0.25">
      <c r="A269" s="14">
        <v>46101.705034722225</v>
      </c>
      <c r="B269" s="14">
        <v>46101.934201388889</v>
      </c>
      <c r="C269" s="14">
        <v>46110.277754629627</v>
      </c>
      <c r="D269" s="14">
        <v>46110.506921296299</v>
      </c>
      <c r="E269" s="14">
        <v>46107.447210648148</v>
      </c>
      <c r="F269" s="14">
        <v>46110.506921296299</v>
      </c>
      <c r="G269" t="s">
        <v>470</v>
      </c>
      <c r="H269">
        <v>817</v>
      </c>
      <c r="I269">
        <v>4405.9832999999999</v>
      </c>
      <c r="J269" t="s">
        <v>104</v>
      </c>
      <c r="K269">
        <v>12831219</v>
      </c>
      <c r="L269" t="s">
        <v>1254</v>
      </c>
      <c r="M269" t="s">
        <v>101</v>
      </c>
      <c r="N269" t="s">
        <v>88</v>
      </c>
      <c r="O269" t="s">
        <v>131</v>
      </c>
      <c r="P269" t="s">
        <v>132</v>
      </c>
      <c r="Q269" t="s">
        <v>1328</v>
      </c>
      <c r="R269" t="s">
        <v>25</v>
      </c>
      <c r="S269">
        <v>30.15</v>
      </c>
      <c r="T269">
        <v>100</v>
      </c>
      <c r="V269">
        <v>0</v>
      </c>
      <c r="X269" t="s">
        <v>469</v>
      </c>
      <c r="AA269">
        <v>1440</v>
      </c>
      <c r="AB269" t="s">
        <v>26</v>
      </c>
      <c r="AC269">
        <v>152</v>
      </c>
      <c r="AD269" t="s">
        <v>27</v>
      </c>
      <c r="AE269" t="s">
        <v>28</v>
      </c>
      <c r="AF269">
        <v>0</v>
      </c>
      <c r="AK269" s="12">
        <f t="shared" si="48"/>
        <v>46110</v>
      </c>
      <c r="AL269" s="1" t="str">
        <f t="shared" si="49"/>
        <v>Week14</v>
      </c>
      <c r="AM269" s="1" t="s">
        <v>102</v>
      </c>
      <c r="AN269" s="1" t="str">
        <f t="shared" si="50"/>
        <v>Go</v>
      </c>
      <c r="AO269" s="2">
        <f t="shared" si="51"/>
        <v>100</v>
      </c>
      <c r="AP269" s="1">
        <f t="shared" si="52"/>
        <v>0</v>
      </c>
      <c r="AQ269" s="1">
        <f t="shared" si="53"/>
        <v>0</v>
      </c>
      <c r="AR269" s="1" t="s">
        <v>95</v>
      </c>
      <c r="AS269" s="1" t="s">
        <v>96</v>
      </c>
      <c r="AT269" s="1" t="s">
        <v>96</v>
      </c>
      <c r="AU269" s="1" t="str">
        <f t="shared" si="54"/>
        <v/>
      </c>
      <c r="AV269" s="1" t="str">
        <f t="shared" si="55"/>
        <v>12831219Pratheep Kumar</v>
      </c>
      <c r="AW269" s="1" t="str">
        <f t="shared" si="56"/>
        <v/>
      </c>
      <c r="AX269" s="1" t="str">
        <f t="shared" si="57"/>
        <v/>
      </c>
      <c r="AY269" s="1" t="s">
        <v>29</v>
      </c>
      <c r="AZ269" s="1" t="b">
        <v>0</v>
      </c>
      <c r="BA269" s="1" t="str">
        <f t="shared" si="58"/>
        <v/>
      </c>
      <c r="BB269" s="1">
        <f t="shared" si="59"/>
        <v>0</v>
      </c>
      <c r="BC269" s="1" t="s">
        <v>132</v>
      </c>
      <c r="BD269" s="1" t="s">
        <v>43</v>
      </c>
      <c r="BE269" s="1" t="s">
        <v>98</v>
      </c>
      <c r="BF269" s="1" t="b">
        <v>0</v>
      </c>
      <c r="BG269" s="1" t="str">
        <f>VLOOKUP(AM269,Group!$C:$H,5,0)</f>
        <v>Top 25</v>
      </c>
      <c r="BH269" s="1" t="str">
        <f>VLOOKUP(P269,others!$C:$G,5,0)</f>
        <v>MT - India</v>
      </c>
    </row>
    <row r="270" spans="1:60" x14ac:dyDescent="0.25">
      <c r="A270" s="14">
        <v>46106.675115740742</v>
      </c>
      <c r="B270" s="14">
        <v>46106.904282407406</v>
      </c>
      <c r="C270" s="14">
        <v>46110.291076388887</v>
      </c>
      <c r="D270" s="14">
        <v>46110.520243055558</v>
      </c>
      <c r="E270" s="14">
        <v>46109.298437500001</v>
      </c>
      <c r="F270" s="14">
        <v>46110.520243055558</v>
      </c>
      <c r="G270" t="s">
        <v>470</v>
      </c>
      <c r="H270">
        <v>1134</v>
      </c>
      <c r="I270">
        <v>1759.4</v>
      </c>
      <c r="J270" t="s">
        <v>104</v>
      </c>
      <c r="K270">
        <v>12832444</v>
      </c>
      <c r="L270" t="s">
        <v>1372</v>
      </c>
      <c r="M270" t="s">
        <v>116</v>
      </c>
      <c r="N270" t="s">
        <v>88</v>
      </c>
      <c r="O270" t="s">
        <v>1371</v>
      </c>
      <c r="P270" t="s">
        <v>482</v>
      </c>
      <c r="Q270" t="s">
        <v>24</v>
      </c>
      <c r="R270" t="s">
        <v>25</v>
      </c>
      <c r="S270">
        <v>172.89</v>
      </c>
      <c r="T270">
        <v>99</v>
      </c>
      <c r="U270" t="s">
        <v>1255</v>
      </c>
      <c r="V270">
        <v>1</v>
      </c>
      <c r="X270" t="s">
        <v>1251</v>
      </c>
      <c r="AA270">
        <v>1440</v>
      </c>
      <c r="AB270" t="s">
        <v>26</v>
      </c>
      <c r="AC270">
        <v>879</v>
      </c>
      <c r="AD270" t="s">
        <v>27</v>
      </c>
      <c r="AE270" t="s">
        <v>28</v>
      </c>
      <c r="AF270">
        <v>0</v>
      </c>
      <c r="AK270" s="12">
        <f t="shared" si="48"/>
        <v>46110</v>
      </c>
      <c r="AL270" s="1" t="str">
        <f t="shared" si="49"/>
        <v>Week14</v>
      </c>
      <c r="AM270" s="1" t="s">
        <v>119</v>
      </c>
      <c r="AN270" s="1" t="str">
        <f t="shared" si="50"/>
        <v>Go</v>
      </c>
      <c r="AO270" s="2">
        <f t="shared" si="51"/>
        <v>99.421597547573597</v>
      </c>
      <c r="AP270" s="1">
        <f t="shared" si="52"/>
        <v>1</v>
      </c>
      <c r="AQ270" s="1">
        <f t="shared" si="53"/>
        <v>1</v>
      </c>
      <c r="AR270" s="1" t="s">
        <v>95</v>
      </c>
      <c r="AS270" s="1" t="s">
        <v>93</v>
      </c>
      <c r="AT270" s="1" t="s">
        <v>93</v>
      </c>
      <c r="AU270" s="1" t="str">
        <f t="shared" si="54"/>
        <v>Major</v>
      </c>
      <c r="AV270" s="1" t="str">
        <f t="shared" si="55"/>
        <v>12832444Chintul Sutaria</v>
      </c>
      <c r="AW270" s="1" t="str">
        <f t="shared" si="56"/>
        <v>Major</v>
      </c>
      <c r="AX270" s="1">
        <f t="shared" si="57"/>
        <v>1</v>
      </c>
      <c r="AY270" s="1" t="s">
        <v>24</v>
      </c>
      <c r="AZ270" s="1" t="b">
        <v>1</v>
      </c>
      <c r="BA270" s="1">
        <f t="shared" si="58"/>
        <v>1</v>
      </c>
      <c r="BB270" s="1">
        <f t="shared" si="59"/>
        <v>1</v>
      </c>
      <c r="BC270" s="1" t="s">
        <v>482</v>
      </c>
      <c r="BD270" s="1" t="s">
        <v>43</v>
      </c>
      <c r="BE270" s="1" t="s">
        <v>98</v>
      </c>
      <c r="BF270" s="1" t="b">
        <v>1</v>
      </c>
      <c r="BG270" s="1" t="str">
        <f>VLOOKUP(AM270,Group!$C:$H,5,0)</f>
        <v>Top 25</v>
      </c>
      <c r="BH270" s="1" t="str">
        <f>VLOOKUP(P270,others!$C:$G,5,0)</f>
        <v>QA</v>
      </c>
    </row>
    <row r="271" spans="1:60" x14ac:dyDescent="0.25">
      <c r="A271" s="14">
        <v>46106.675115740742</v>
      </c>
      <c r="B271" s="14">
        <v>46106.904282407406</v>
      </c>
      <c r="C271" s="14">
        <v>46110.291076388887</v>
      </c>
      <c r="D271" s="14">
        <v>46110.520243055558</v>
      </c>
      <c r="E271" s="14">
        <v>46109.298437500001</v>
      </c>
      <c r="F271" s="14">
        <v>46110.520243055558</v>
      </c>
      <c r="G271" t="s">
        <v>470</v>
      </c>
      <c r="H271">
        <v>1134</v>
      </c>
      <c r="I271">
        <v>1759.4</v>
      </c>
      <c r="J271" t="s">
        <v>104</v>
      </c>
      <c r="K271">
        <v>12832444</v>
      </c>
      <c r="L271" t="s">
        <v>1372</v>
      </c>
      <c r="M271" t="s">
        <v>116</v>
      </c>
      <c r="N271" t="s">
        <v>88</v>
      </c>
      <c r="O271" t="s">
        <v>1371</v>
      </c>
      <c r="P271" t="s">
        <v>482</v>
      </c>
      <c r="Q271" t="s">
        <v>24</v>
      </c>
      <c r="R271" t="s">
        <v>25</v>
      </c>
      <c r="S271">
        <v>172.89</v>
      </c>
      <c r="T271">
        <v>99</v>
      </c>
      <c r="U271" t="s">
        <v>100</v>
      </c>
      <c r="V271">
        <v>4</v>
      </c>
      <c r="X271" t="s">
        <v>1251</v>
      </c>
      <c r="AA271">
        <v>1440</v>
      </c>
      <c r="AB271" t="s">
        <v>26</v>
      </c>
      <c r="AC271">
        <v>879</v>
      </c>
      <c r="AD271" t="s">
        <v>27</v>
      </c>
      <c r="AE271" t="s">
        <v>28</v>
      </c>
      <c r="AF271">
        <v>0</v>
      </c>
      <c r="AK271" s="12">
        <f t="shared" si="48"/>
        <v>46110</v>
      </c>
      <c r="AL271" s="1" t="str">
        <f t="shared" si="49"/>
        <v>Week14</v>
      </c>
      <c r="AM271" s="1" t="s">
        <v>119</v>
      </c>
      <c r="AN271" s="1" t="str">
        <f t="shared" si="50"/>
        <v>Go</v>
      </c>
      <c r="AO271" s="2">
        <f t="shared" si="51"/>
        <v>99.421597547573597</v>
      </c>
      <c r="AP271" s="1">
        <f t="shared" si="52"/>
        <v>0</v>
      </c>
      <c r="AQ271" s="1">
        <f t="shared" si="53"/>
        <v>1</v>
      </c>
      <c r="AR271" s="1" t="s">
        <v>95</v>
      </c>
      <c r="AS271" s="1" t="s">
        <v>93</v>
      </c>
      <c r="AT271" s="1" t="s">
        <v>93</v>
      </c>
      <c r="AU271" s="1" t="str">
        <f t="shared" si="54"/>
        <v>Minor</v>
      </c>
      <c r="AV271" s="1" t="str">
        <f t="shared" si="55"/>
        <v>12832444Chintul Sutaria</v>
      </c>
      <c r="AW271" s="1" t="str">
        <f t="shared" si="56"/>
        <v>Minor</v>
      </c>
      <c r="AX271" s="1">
        <f t="shared" si="57"/>
        <v>0</v>
      </c>
      <c r="AY271" s="1" t="s">
        <v>24</v>
      </c>
      <c r="AZ271" s="1" t="b">
        <v>0</v>
      </c>
      <c r="BA271" s="1">
        <f t="shared" si="58"/>
        <v>1</v>
      </c>
      <c r="BB271" s="1">
        <f t="shared" si="59"/>
        <v>4</v>
      </c>
      <c r="BC271" s="1" t="s">
        <v>482</v>
      </c>
      <c r="BD271" s="1" t="s">
        <v>43</v>
      </c>
      <c r="BE271" s="1" t="s">
        <v>98</v>
      </c>
      <c r="BF271" s="1" t="b">
        <v>0</v>
      </c>
      <c r="BG271" s="1" t="str">
        <f>VLOOKUP(AM271,Group!$C:$H,5,0)</f>
        <v>Top 25</v>
      </c>
      <c r="BH271" s="1" t="str">
        <f>VLOOKUP(P271,others!$C:$G,5,0)</f>
        <v>QA</v>
      </c>
    </row>
    <row r="272" spans="1:60" x14ac:dyDescent="0.25">
      <c r="A272" s="14">
        <v>46100.727129629631</v>
      </c>
      <c r="B272" s="14">
        <v>46100.956296296295</v>
      </c>
      <c r="C272" s="14">
        <v>46110.531817129631</v>
      </c>
      <c r="D272" s="14">
        <v>46110.760983796295</v>
      </c>
      <c r="E272" s="14">
        <v>46107.446770833332</v>
      </c>
      <c r="F272" s="14">
        <v>46110.760983796295</v>
      </c>
      <c r="G272" t="s">
        <v>470</v>
      </c>
      <c r="H272">
        <v>5043</v>
      </c>
      <c r="I272">
        <v>4772.4666999999999</v>
      </c>
      <c r="J272" t="s">
        <v>104</v>
      </c>
      <c r="K272">
        <v>12830890</v>
      </c>
      <c r="L272" t="s">
        <v>1272</v>
      </c>
      <c r="M272" t="s">
        <v>101</v>
      </c>
      <c r="N272" t="s">
        <v>88</v>
      </c>
      <c r="O272" t="s">
        <v>456</v>
      </c>
      <c r="P272" t="s">
        <v>457</v>
      </c>
      <c r="Q272" t="s">
        <v>24</v>
      </c>
      <c r="R272" t="s">
        <v>1241</v>
      </c>
      <c r="S272">
        <v>36.340000000000003</v>
      </c>
      <c r="T272">
        <v>98</v>
      </c>
      <c r="U272" t="s">
        <v>471</v>
      </c>
      <c r="V272">
        <v>1</v>
      </c>
      <c r="X272" t="s">
        <v>469</v>
      </c>
      <c r="AA272">
        <v>1440</v>
      </c>
      <c r="AB272" t="s">
        <v>26</v>
      </c>
      <c r="AC272">
        <v>128</v>
      </c>
      <c r="AD272" t="s">
        <v>27</v>
      </c>
      <c r="AE272" t="s">
        <v>28</v>
      </c>
      <c r="AF272">
        <v>0</v>
      </c>
      <c r="AK272" s="12">
        <f t="shared" si="48"/>
        <v>46110</v>
      </c>
      <c r="AL272" s="1" t="str">
        <f t="shared" si="49"/>
        <v>Week14</v>
      </c>
      <c r="AM272" s="1" t="s">
        <v>102</v>
      </c>
      <c r="AN272" s="1" t="str">
        <f t="shared" si="50"/>
        <v>NoGo</v>
      </c>
      <c r="AO272" s="2">
        <f t="shared" si="51"/>
        <v>94.496422674738582</v>
      </c>
      <c r="AP272" s="1">
        <f t="shared" si="52"/>
        <v>1</v>
      </c>
      <c r="AQ272" s="1">
        <f t="shared" si="53"/>
        <v>2</v>
      </c>
      <c r="AR272" s="1" t="s">
        <v>95</v>
      </c>
      <c r="AS272" s="1" t="s">
        <v>93</v>
      </c>
      <c r="AT272" s="1" t="s">
        <v>93</v>
      </c>
      <c r="AU272" s="1" t="str">
        <f t="shared" si="54"/>
        <v>Major</v>
      </c>
      <c r="AV272" s="1" t="str">
        <f t="shared" si="55"/>
        <v>12830890Shiny Iype</v>
      </c>
      <c r="AW272" s="1" t="str">
        <f t="shared" si="56"/>
        <v>Major</v>
      </c>
      <c r="AX272" s="1">
        <f t="shared" si="57"/>
        <v>1</v>
      </c>
      <c r="AY272" s="1" t="s">
        <v>24</v>
      </c>
      <c r="AZ272" s="1" t="b">
        <v>1</v>
      </c>
      <c r="BA272" s="1">
        <f t="shared" si="58"/>
        <v>1</v>
      </c>
      <c r="BB272" s="1">
        <f t="shared" si="59"/>
        <v>1</v>
      </c>
      <c r="BC272" s="1" t="s">
        <v>457</v>
      </c>
      <c r="BD272" s="1" t="s">
        <v>43</v>
      </c>
      <c r="BE272" s="1" t="s">
        <v>98</v>
      </c>
      <c r="BF272" s="1" t="b">
        <v>1</v>
      </c>
      <c r="BG272" s="1" t="str">
        <f>VLOOKUP(AM272,Group!$C:$H,5,0)</f>
        <v>Top 25</v>
      </c>
      <c r="BH272" s="1" t="str">
        <f>VLOOKUP(P272,others!$C:$G,5,0)</f>
        <v>MTX - India</v>
      </c>
    </row>
    <row r="273" spans="1:60" x14ac:dyDescent="0.25">
      <c r="A273" s="14">
        <v>46100.727129629631</v>
      </c>
      <c r="B273" s="14">
        <v>46100.956296296295</v>
      </c>
      <c r="C273" s="14">
        <v>46110.531817129631</v>
      </c>
      <c r="D273" s="14">
        <v>46110.760983796295</v>
      </c>
      <c r="E273" s="14">
        <v>46107.446770833332</v>
      </c>
      <c r="F273" s="14">
        <v>46110.760983796295</v>
      </c>
      <c r="G273" t="s">
        <v>470</v>
      </c>
      <c r="H273">
        <v>5043</v>
      </c>
      <c r="I273">
        <v>4772.4666999999999</v>
      </c>
      <c r="J273" t="s">
        <v>104</v>
      </c>
      <c r="K273">
        <v>12830890</v>
      </c>
      <c r="L273" t="s">
        <v>1272</v>
      </c>
      <c r="M273" t="s">
        <v>101</v>
      </c>
      <c r="N273" t="s">
        <v>88</v>
      </c>
      <c r="O273" t="s">
        <v>456</v>
      </c>
      <c r="P273" t="s">
        <v>457</v>
      </c>
      <c r="Q273" t="s">
        <v>24</v>
      </c>
      <c r="R273" t="s">
        <v>1241</v>
      </c>
      <c r="S273">
        <v>36.340000000000003</v>
      </c>
      <c r="T273">
        <v>98</v>
      </c>
      <c r="U273" t="s">
        <v>472</v>
      </c>
      <c r="V273">
        <v>1</v>
      </c>
      <c r="X273" t="s">
        <v>469</v>
      </c>
      <c r="AA273">
        <v>1440</v>
      </c>
      <c r="AB273" t="s">
        <v>26</v>
      </c>
      <c r="AC273">
        <v>128</v>
      </c>
      <c r="AD273" t="s">
        <v>27</v>
      </c>
      <c r="AE273" t="s">
        <v>28</v>
      </c>
      <c r="AF273">
        <v>0</v>
      </c>
      <c r="AK273" s="12">
        <f t="shared" si="48"/>
        <v>46110</v>
      </c>
      <c r="AL273" s="1" t="str">
        <f t="shared" si="49"/>
        <v>Week14</v>
      </c>
      <c r="AM273" s="1" t="s">
        <v>102</v>
      </c>
      <c r="AN273" s="1" t="str">
        <f t="shared" si="50"/>
        <v>NoGo</v>
      </c>
      <c r="AO273" s="2">
        <f t="shared" si="51"/>
        <v>94.496422674738582</v>
      </c>
      <c r="AP273" s="1">
        <f t="shared" si="52"/>
        <v>1</v>
      </c>
      <c r="AQ273" s="1">
        <f t="shared" si="53"/>
        <v>2</v>
      </c>
      <c r="AR273" s="1" t="s">
        <v>95</v>
      </c>
      <c r="AS273" s="1" t="s">
        <v>93</v>
      </c>
      <c r="AT273" s="1" t="s">
        <v>93</v>
      </c>
      <c r="AU273" s="1" t="str">
        <f t="shared" si="54"/>
        <v>Major</v>
      </c>
      <c r="AV273" s="1" t="str">
        <f t="shared" si="55"/>
        <v>12830890Shiny Iype</v>
      </c>
      <c r="AW273" s="1" t="str">
        <f t="shared" si="56"/>
        <v>Major</v>
      </c>
      <c r="AX273" s="1">
        <f t="shared" si="57"/>
        <v>1</v>
      </c>
      <c r="AY273" s="1" t="s">
        <v>24</v>
      </c>
      <c r="AZ273" s="1" t="b">
        <v>1</v>
      </c>
      <c r="BA273" s="1">
        <f t="shared" si="58"/>
        <v>1</v>
      </c>
      <c r="BB273" s="1">
        <f t="shared" si="59"/>
        <v>1</v>
      </c>
      <c r="BC273" s="1" t="s">
        <v>457</v>
      </c>
      <c r="BD273" s="1" t="s">
        <v>43</v>
      </c>
      <c r="BE273" s="1" t="s">
        <v>98</v>
      </c>
      <c r="BF273" s="1" t="b">
        <v>1</v>
      </c>
      <c r="BG273" s="1" t="str">
        <f>VLOOKUP(AM273,Group!$C:$H,5,0)</f>
        <v>Top 25</v>
      </c>
      <c r="BH273" s="1" t="str">
        <f>VLOOKUP(P273,others!$C:$G,5,0)</f>
        <v>MTX - India</v>
      </c>
    </row>
    <row r="274" spans="1:60" x14ac:dyDescent="0.25">
      <c r="A274" s="14">
        <v>46100.727129629631</v>
      </c>
      <c r="B274" s="14">
        <v>46100.956296296295</v>
      </c>
      <c r="C274" s="14">
        <v>46110.531817129631</v>
      </c>
      <c r="D274" s="14">
        <v>46110.760983796295</v>
      </c>
      <c r="E274" s="14">
        <v>46107.446770833332</v>
      </c>
      <c r="F274" s="14">
        <v>46110.760983796295</v>
      </c>
      <c r="G274" t="s">
        <v>470</v>
      </c>
      <c r="H274">
        <v>5043</v>
      </c>
      <c r="I274">
        <v>4772.4666999999999</v>
      </c>
      <c r="J274" t="s">
        <v>104</v>
      </c>
      <c r="K274">
        <v>12830890</v>
      </c>
      <c r="L274" t="s">
        <v>1272</v>
      </c>
      <c r="M274" t="s">
        <v>101</v>
      </c>
      <c r="N274" t="s">
        <v>88</v>
      </c>
      <c r="O274" t="s">
        <v>456</v>
      </c>
      <c r="P274" t="s">
        <v>457</v>
      </c>
      <c r="Q274" t="s">
        <v>24</v>
      </c>
      <c r="R274" t="s">
        <v>1241</v>
      </c>
      <c r="S274">
        <v>36.340000000000003</v>
      </c>
      <c r="T274">
        <v>98</v>
      </c>
      <c r="U274" t="s">
        <v>100</v>
      </c>
      <c r="V274">
        <v>4</v>
      </c>
      <c r="X274" t="s">
        <v>469</v>
      </c>
      <c r="AA274">
        <v>1440</v>
      </c>
      <c r="AB274" t="s">
        <v>26</v>
      </c>
      <c r="AC274">
        <v>128</v>
      </c>
      <c r="AD274" t="s">
        <v>27</v>
      </c>
      <c r="AE274" t="s">
        <v>28</v>
      </c>
      <c r="AF274">
        <v>0</v>
      </c>
      <c r="AK274" s="12">
        <f t="shared" si="48"/>
        <v>46110</v>
      </c>
      <c r="AL274" s="1" t="str">
        <f t="shared" si="49"/>
        <v>Week14</v>
      </c>
      <c r="AM274" s="1" t="s">
        <v>102</v>
      </c>
      <c r="AN274" s="1" t="str">
        <f t="shared" si="50"/>
        <v>NoGo</v>
      </c>
      <c r="AO274" s="2">
        <f t="shared" si="51"/>
        <v>94.496422674738582</v>
      </c>
      <c r="AP274" s="1">
        <f t="shared" si="52"/>
        <v>0</v>
      </c>
      <c r="AQ274" s="1">
        <f t="shared" si="53"/>
        <v>2</v>
      </c>
      <c r="AR274" s="1" t="s">
        <v>95</v>
      </c>
      <c r="AS274" s="1" t="s">
        <v>93</v>
      </c>
      <c r="AT274" s="1" t="s">
        <v>93</v>
      </c>
      <c r="AU274" s="1" t="str">
        <f t="shared" si="54"/>
        <v>Minor</v>
      </c>
      <c r="AV274" s="1" t="str">
        <f t="shared" si="55"/>
        <v>12830890Shiny Iype</v>
      </c>
      <c r="AW274" s="1" t="str">
        <f t="shared" si="56"/>
        <v>Minor</v>
      </c>
      <c r="AX274" s="1">
        <f t="shared" si="57"/>
        <v>0</v>
      </c>
      <c r="AY274" s="1" t="s">
        <v>24</v>
      </c>
      <c r="AZ274" s="1" t="b">
        <v>0</v>
      </c>
      <c r="BA274" s="1">
        <f t="shared" si="58"/>
        <v>1</v>
      </c>
      <c r="BB274" s="1">
        <f t="shared" si="59"/>
        <v>4</v>
      </c>
      <c r="BC274" s="1" t="s">
        <v>457</v>
      </c>
      <c r="BD274" s="1" t="s">
        <v>43</v>
      </c>
      <c r="BE274" s="1" t="s">
        <v>98</v>
      </c>
      <c r="BF274" s="1" t="b">
        <v>0</v>
      </c>
      <c r="BG274" s="1" t="str">
        <f>VLOOKUP(AM274,Group!$C:$H,5,0)</f>
        <v>Top 25</v>
      </c>
      <c r="BH274" s="1" t="str">
        <f>VLOOKUP(P274,others!$C:$G,5,0)</f>
        <v>MTX - India</v>
      </c>
    </row>
    <row r="275" spans="1:60" x14ac:dyDescent="0.25">
      <c r="A275" s="14">
        <v>46099.718726851854</v>
      </c>
      <c r="B275" s="14">
        <v>46099.947893518518</v>
      </c>
      <c r="C275" s="14">
        <v>46110.53869212963</v>
      </c>
      <c r="D275" s="14">
        <v>46110.767858796295</v>
      </c>
      <c r="E275" s="14">
        <v>46107.446296296293</v>
      </c>
      <c r="F275" s="14">
        <v>46110.767858796295</v>
      </c>
      <c r="G275" t="s">
        <v>470</v>
      </c>
      <c r="H275">
        <v>563</v>
      </c>
      <c r="I275">
        <v>4783.05</v>
      </c>
      <c r="J275" t="s">
        <v>104</v>
      </c>
      <c r="K275">
        <v>12830411</v>
      </c>
      <c r="L275" t="s">
        <v>1249</v>
      </c>
      <c r="M275" t="s">
        <v>101</v>
      </c>
      <c r="N275" t="s">
        <v>88</v>
      </c>
      <c r="O275" t="s">
        <v>456</v>
      </c>
      <c r="P275" t="s">
        <v>457</v>
      </c>
      <c r="Q275" t="s">
        <v>24</v>
      </c>
      <c r="R275" t="s">
        <v>1241</v>
      </c>
      <c r="S275">
        <v>26.98</v>
      </c>
      <c r="T275">
        <v>95</v>
      </c>
      <c r="U275" t="s">
        <v>471</v>
      </c>
      <c r="V275">
        <v>1</v>
      </c>
      <c r="X275" t="s">
        <v>469</v>
      </c>
      <c r="AA275">
        <v>1440</v>
      </c>
      <c r="AB275" t="s">
        <v>26</v>
      </c>
      <c r="AC275">
        <v>140</v>
      </c>
      <c r="AD275" t="s">
        <v>27</v>
      </c>
      <c r="AE275" t="s">
        <v>28</v>
      </c>
      <c r="AF275">
        <v>0</v>
      </c>
      <c r="AK275" s="12">
        <f t="shared" si="48"/>
        <v>46110</v>
      </c>
      <c r="AL275" s="1" t="str">
        <f t="shared" si="49"/>
        <v>Week14</v>
      </c>
      <c r="AM275" s="1" t="s">
        <v>102</v>
      </c>
      <c r="AN275" s="1" t="str">
        <f t="shared" si="50"/>
        <v>NoGo</v>
      </c>
      <c r="AO275" s="2">
        <f t="shared" si="51"/>
        <v>81.467753891771679</v>
      </c>
      <c r="AP275" s="1">
        <f t="shared" si="52"/>
        <v>1</v>
      </c>
      <c r="AQ275" s="1">
        <f t="shared" si="53"/>
        <v>5</v>
      </c>
      <c r="AR275" s="1" t="s">
        <v>95</v>
      </c>
      <c r="AS275" s="1" t="s">
        <v>93</v>
      </c>
      <c r="AT275" s="1" t="s">
        <v>93</v>
      </c>
      <c r="AU275" s="1" t="str">
        <f t="shared" si="54"/>
        <v>Major</v>
      </c>
      <c r="AV275" s="1" t="str">
        <f t="shared" si="55"/>
        <v>12830411Shiny Iype</v>
      </c>
      <c r="AW275" s="1" t="str">
        <f t="shared" si="56"/>
        <v>Major</v>
      </c>
      <c r="AX275" s="1">
        <f t="shared" si="57"/>
        <v>1</v>
      </c>
      <c r="AY275" s="1" t="s">
        <v>24</v>
      </c>
      <c r="AZ275" s="1" t="b">
        <v>1</v>
      </c>
      <c r="BA275" s="1">
        <f t="shared" si="58"/>
        <v>1</v>
      </c>
      <c r="BB275" s="1">
        <f t="shared" si="59"/>
        <v>1</v>
      </c>
      <c r="BC275" s="1" t="s">
        <v>457</v>
      </c>
      <c r="BD275" s="1" t="s">
        <v>43</v>
      </c>
      <c r="BE275" s="1" t="s">
        <v>98</v>
      </c>
      <c r="BF275" s="1" t="b">
        <v>1</v>
      </c>
      <c r="BG275" s="1" t="str">
        <f>VLOOKUP(AM275,Group!$C:$H,5,0)</f>
        <v>Top 25</v>
      </c>
      <c r="BH275" s="1" t="str">
        <f>VLOOKUP(P275,others!$C:$G,5,0)</f>
        <v>MTX - India</v>
      </c>
    </row>
    <row r="276" spans="1:60" x14ac:dyDescent="0.25">
      <c r="A276" s="14">
        <v>46099.718726851854</v>
      </c>
      <c r="B276" s="14">
        <v>46099.947893518518</v>
      </c>
      <c r="C276" s="14">
        <v>46110.53869212963</v>
      </c>
      <c r="D276" s="14">
        <v>46110.767858796295</v>
      </c>
      <c r="E276" s="14">
        <v>46107.446296296293</v>
      </c>
      <c r="F276" s="14">
        <v>46110.767858796295</v>
      </c>
      <c r="G276" t="s">
        <v>470</v>
      </c>
      <c r="H276">
        <v>563</v>
      </c>
      <c r="I276">
        <v>4783.05</v>
      </c>
      <c r="J276" t="s">
        <v>104</v>
      </c>
      <c r="K276">
        <v>12830411</v>
      </c>
      <c r="L276" t="s">
        <v>1249</v>
      </c>
      <c r="M276" t="s">
        <v>101</v>
      </c>
      <c r="N276" t="s">
        <v>88</v>
      </c>
      <c r="O276" t="s">
        <v>456</v>
      </c>
      <c r="P276" t="s">
        <v>457</v>
      </c>
      <c r="Q276" t="s">
        <v>24</v>
      </c>
      <c r="R276" t="s">
        <v>1241</v>
      </c>
      <c r="S276">
        <v>26.98</v>
      </c>
      <c r="T276">
        <v>95</v>
      </c>
      <c r="U276" t="s">
        <v>472</v>
      </c>
      <c r="V276">
        <v>4</v>
      </c>
      <c r="X276" t="s">
        <v>469</v>
      </c>
      <c r="AA276">
        <v>1440</v>
      </c>
      <c r="AB276" t="s">
        <v>26</v>
      </c>
      <c r="AC276">
        <v>140</v>
      </c>
      <c r="AD276" t="s">
        <v>27</v>
      </c>
      <c r="AE276" t="s">
        <v>28</v>
      </c>
      <c r="AF276">
        <v>0</v>
      </c>
      <c r="AK276" s="12">
        <f t="shared" si="48"/>
        <v>46110</v>
      </c>
      <c r="AL276" s="1" t="str">
        <f t="shared" si="49"/>
        <v>Week14</v>
      </c>
      <c r="AM276" s="1" t="s">
        <v>102</v>
      </c>
      <c r="AN276" s="1" t="str">
        <f t="shared" si="50"/>
        <v>NoGo</v>
      </c>
      <c r="AO276" s="2">
        <f t="shared" si="51"/>
        <v>81.467753891771679</v>
      </c>
      <c r="AP276" s="1">
        <f t="shared" si="52"/>
        <v>4</v>
      </c>
      <c r="AQ276" s="1">
        <f t="shared" si="53"/>
        <v>5</v>
      </c>
      <c r="AR276" s="1" t="s">
        <v>95</v>
      </c>
      <c r="AS276" s="1" t="s">
        <v>93</v>
      </c>
      <c r="AT276" s="1" t="s">
        <v>93</v>
      </c>
      <c r="AU276" s="1" t="str">
        <f t="shared" si="54"/>
        <v>Major</v>
      </c>
      <c r="AV276" s="1" t="str">
        <f t="shared" si="55"/>
        <v>12830411Shiny Iype</v>
      </c>
      <c r="AW276" s="1" t="str">
        <f t="shared" si="56"/>
        <v>Major</v>
      </c>
      <c r="AX276" s="1">
        <f t="shared" si="57"/>
        <v>1</v>
      </c>
      <c r="AY276" s="1" t="s">
        <v>24</v>
      </c>
      <c r="AZ276" s="1" t="b">
        <v>1</v>
      </c>
      <c r="BA276" s="1">
        <f t="shared" si="58"/>
        <v>1</v>
      </c>
      <c r="BB276" s="1">
        <f t="shared" si="59"/>
        <v>4</v>
      </c>
      <c r="BC276" s="1" t="s">
        <v>457</v>
      </c>
      <c r="BD276" s="1" t="s">
        <v>43</v>
      </c>
      <c r="BE276" s="1" t="s">
        <v>98</v>
      </c>
      <c r="BF276" s="1" t="b">
        <v>1</v>
      </c>
      <c r="BG276" s="1" t="str">
        <f>VLOOKUP(AM276,Group!$C:$H,5,0)</f>
        <v>Top 25</v>
      </c>
      <c r="BH276" s="1" t="str">
        <f>VLOOKUP(P276,others!$C:$G,5,0)</f>
        <v>MTX - India</v>
      </c>
    </row>
    <row r="277" spans="1:60" x14ac:dyDescent="0.25">
      <c r="A277" s="14">
        <v>46099.718726851854</v>
      </c>
      <c r="B277" s="14">
        <v>46099.947893518518</v>
      </c>
      <c r="C277" s="14">
        <v>46110.53869212963</v>
      </c>
      <c r="D277" s="14">
        <v>46110.767858796295</v>
      </c>
      <c r="E277" s="14">
        <v>46107.446296296293</v>
      </c>
      <c r="F277" s="14">
        <v>46110.767858796295</v>
      </c>
      <c r="G277" t="s">
        <v>470</v>
      </c>
      <c r="H277">
        <v>563</v>
      </c>
      <c r="I277">
        <v>4783.05</v>
      </c>
      <c r="J277" t="s">
        <v>104</v>
      </c>
      <c r="K277">
        <v>12830411</v>
      </c>
      <c r="L277" t="s">
        <v>1249</v>
      </c>
      <c r="M277" t="s">
        <v>101</v>
      </c>
      <c r="N277" t="s">
        <v>88</v>
      </c>
      <c r="O277" t="s">
        <v>456</v>
      </c>
      <c r="P277" t="s">
        <v>457</v>
      </c>
      <c r="Q277" t="s">
        <v>24</v>
      </c>
      <c r="R277" t="s">
        <v>1241</v>
      </c>
      <c r="S277">
        <v>26.98</v>
      </c>
      <c r="T277">
        <v>95</v>
      </c>
      <c r="U277" t="s">
        <v>100</v>
      </c>
      <c r="V277">
        <v>2</v>
      </c>
      <c r="X277" t="s">
        <v>469</v>
      </c>
      <c r="AA277">
        <v>1440</v>
      </c>
      <c r="AB277" t="s">
        <v>26</v>
      </c>
      <c r="AC277">
        <v>140</v>
      </c>
      <c r="AD277" t="s">
        <v>27</v>
      </c>
      <c r="AE277" t="s">
        <v>28</v>
      </c>
      <c r="AF277">
        <v>0</v>
      </c>
      <c r="AK277" s="12">
        <f t="shared" si="48"/>
        <v>46110</v>
      </c>
      <c r="AL277" s="1" t="str">
        <f t="shared" si="49"/>
        <v>Week14</v>
      </c>
      <c r="AM277" s="1" t="s">
        <v>102</v>
      </c>
      <c r="AN277" s="1" t="str">
        <f t="shared" si="50"/>
        <v>NoGo</v>
      </c>
      <c r="AO277" s="2">
        <f t="shared" si="51"/>
        <v>81.467753891771679</v>
      </c>
      <c r="AP277" s="1">
        <f t="shared" si="52"/>
        <v>0</v>
      </c>
      <c r="AQ277" s="1">
        <f t="shared" si="53"/>
        <v>5</v>
      </c>
      <c r="AR277" s="1" t="s">
        <v>95</v>
      </c>
      <c r="AS277" s="1" t="s">
        <v>93</v>
      </c>
      <c r="AT277" s="1" t="s">
        <v>93</v>
      </c>
      <c r="AU277" s="1" t="str">
        <f t="shared" si="54"/>
        <v>Minor</v>
      </c>
      <c r="AV277" s="1" t="str">
        <f t="shared" si="55"/>
        <v>12830411Shiny Iype</v>
      </c>
      <c r="AW277" s="1" t="str">
        <f t="shared" si="56"/>
        <v>Minor</v>
      </c>
      <c r="AX277" s="1">
        <f t="shared" si="57"/>
        <v>0</v>
      </c>
      <c r="AY277" s="1" t="s">
        <v>24</v>
      </c>
      <c r="AZ277" s="1" t="b">
        <v>0</v>
      </c>
      <c r="BA277" s="1">
        <f t="shared" si="58"/>
        <v>1</v>
      </c>
      <c r="BB277" s="1">
        <f t="shared" si="59"/>
        <v>2</v>
      </c>
      <c r="BC277" s="1" t="s">
        <v>457</v>
      </c>
      <c r="BD277" s="1" t="s">
        <v>43</v>
      </c>
      <c r="BE277" s="1" t="s">
        <v>98</v>
      </c>
      <c r="BF277" s="1" t="b">
        <v>0</v>
      </c>
      <c r="BG277" s="1" t="str">
        <f>VLOOKUP(AM277,Group!$C:$H,5,0)</f>
        <v>Top 25</v>
      </c>
      <c r="BH277" s="1" t="str">
        <f>VLOOKUP(P277,others!$C:$G,5,0)</f>
        <v>MTX - India</v>
      </c>
    </row>
    <row r="278" spans="1:60" x14ac:dyDescent="0.25">
      <c r="A278" s="14">
        <v>46101.805787037039</v>
      </c>
      <c r="B278" s="14">
        <v>46102.034953703704</v>
      </c>
      <c r="C278" s="14">
        <v>46110.540879629632</v>
      </c>
      <c r="D278" s="14">
        <v>46110.770046296297</v>
      </c>
      <c r="E278" s="14">
        <v>46107.447025462963</v>
      </c>
      <c r="F278" s="14">
        <v>46110.770046296297</v>
      </c>
      <c r="G278" t="s">
        <v>470</v>
      </c>
      <c r="H278">
        <v>164</v>
      </c>
      <c r="I278">
        <v>4785.1499999999996</v>
      </c>
      <c r="J278" t="s">
        <v>104</v>
      </c>
      <c r="K278">
        <v>12831186</v>
      </c>
      <c r="L278" t="s">
        <v>1238</v>
      </c>
      <c r="M278" t="s">
        <v>1238</v>
      </c>
      <c r="N278" t="s">
        <v>88</v>
      </c>
      <c r="O278" t="s">
        <v>1350</v>
      </c>
      <c r="P278" t="s">
        <v>480</v>
      </c>
      <c r="Q278" t="s">
        <v>29</v>
      </c>
      <c r="R278" t="s">
        <v>25</v>
      </c>
      <c r="S278">
        <v>17.12</v>
      </c>
      <c r="T278">
        <v>100</v>
      </c>
      <c r="V278">
        <v>0</v>
      </c>
      <c r="X278" t="s">
        <v>1389</v>
      </c>
      <c r="AA278">
        <v>1440</v>
      </c>
      <c r="AB278" t="s">
        <v>26</v>
      </c>
      <c r="AC278">
        <v>94</v>
      </c>
      <c r="AD278" t="s">
        <v>27</v>
      </c>
      <c r="AE278" t="s">
        <v>28</v>
      </c>
      <c r="AF278">
        <v>0</v>
      </c>
      <c r="AK278" s="12">
        <f t="shared" si="48"/>
        <v>46110</v>
      </c>
      <c r="AL278" s="1" t="str">
        <f t="shared" si="49"/>
        <v>Week14</v>
      </c>
      <c r="AM278" s="1" t="s">
        <v>1239</v>
      </c>
      <c r="AN278" s="1" t="str">
        <f t="shared" si="50"/>
        <v>Go</v>
      </c>
      <c r="AO278" s="2">
        <f t="shared" si="51"/>
        <v>100</v>
      </c>
      <c r="AP278" s="1">
        <f t="shared" si="52"/>
        <v>0</v>
      </c>
      <c r="AQ278" s="1">
        <f t="shared" si="53"/>
        <v>0</v>
      </c>
      <c r="AR278" s="1" t="s">
        <v>96</v>
      </c>
      <c r="AS278" s="1" t="s">
        <v>96</v>
      </c>
      <c r="AT278" s="1" t="s">
        <v>96</v>
      </c>
      <c r="AU278" s="1" t="str">
        <f t="shared" si="54"/>
        <v/>
      </c>
      <c r="AV278" s="1" t="str">
        <f t="shared" si="55"/>
        <v>12831186Savitha Arun</v>
      </c>
      <c r="AW278" s="1" t="str">
        <f t="shared" si="56"/>
        <v/>
      </c>
      <c r="AX278" s="1" t="str">
        <f t="shared" si="57"/>
        <v/>
      </c>
      <c r="AY278" s="1" t="s">
        <v>29</v>
      </c>
      <c r="AZ278" s="1" t="b">
        <v>0</v>
      </c>
      <c r="BA278" s="1" t="str">
        <f t="shared" si="58"/>
        <v/>
      </c>
      <c r="BB278" s="1">
        <f t="shared" si="59"/>
        <v>0</v>
      </c>
      <c r="BC278" s="1" t="s">
        <v>478</v>
      </c>
      <c r="BD278" s="1" t="s">
        <v>1269</v>
      </c>
      <c r="BE278" s="1" t="s">
        <v>98</v>
      </c>
      <c r="BF278" s="1" t="b">
        <v>0</v>
      </c>
      <c r="BG278" s="1" t="str">
        <f>VLOOKUP(AM278,Group!$C:$H,5,0)</f>
        <v>Others</v>
      </c>
      <c r="BH278" s="1" t="str">
        <f>VLOOKUP(P278,others!$C:$G,5,0)</f>
        <v>QA - India</v>
      </c>
    </row>
    <row r="279" spans="1:60" x14ac:dyDescent="0.25">
      <c r="A279" s="14">
        <v>46104.478495370371</v>
      </c>
      <c r="B279" s="14">
        <v>46104.707662037035</v>
      </c>
      <c r="C279" s="14">
        <v>46110.590046296296</v>
      </c>
      <c r="D279" s="14">
        <v>46110.819212962961</v>
      </c>
      <c r="E279" s="14">
        <v>46109.297951388886</v>
      </c>
      <c r="F279" s="14">
        <v>46110.819212962961</v>
      </c>
      <c r="G279" t="s">
        <v>470</v>
      </c>
      <c r="H279">
        <v>17351</v>
      </c>
      <c r="I279">
        <v>2190.6167</v>
      </c>
      <c r="J279" t="s">
        <v>104</v>
      </c>
      <c r="K279">
        <v>12831539</v>
      </c>
      <c r="L279" t="s">
        <v>1390</v>
      </c>
      <c r="M279" t="s">
        <v>116</v>
      </c>
      <c r="N279" t="s">
        <v>88</v>
      </c>
      <c r="O279" t="s">
        <v>1371</v>
      </c>
      <c r="P279" t="s">
        <v>482</v>
      </c>
      <c r="Q279" t="s">
        <v>24</v>
      </c>
      <c r="R279" t="s">
        <v>25</v>
      </c>
      <c r="S279">
        <v>143.41999999999999</v>
      </c>
      <c r="T279">
        <v>99</v>
      </c>
      <c r="U279" t="s">
        <v>471</v>
      </c>
      <c r="V279">
        <v>1</v>
      </c>
      <c r="X279" t="s">
        <v>1251</v>
      </c>
      <c r="AA279">
        <v>1440</v>
      </c>
      <c r="AB279" t="s">
        <v>26</v>
      </c>
      <c r="AC279">
        <v>1190</v>
      </c>
      <c r="AD279" t="s">
        <v>27</v>
      </c>
      <c r="AE279" t="s">
        <v>28</v>
      </c>
      <c r="AF279">
        <v>0</v>
      </c>
      <c r="AK279" s="12">
        <f t="shared" si="48"/>
        <v>46110</v>
      </c>
      <c r="AL279" s="1" t="str">
        <f t="shared" si="49"/>
        <v>Week14</v>
      </c>
      <c r="AM279" s="1" t="s">
        <v>119</v>
      </c>
      <c r="AN279" s="1" t="str">
        <f t="shared" si="50"/>
        <v>Go</v>
      </c>
      <c r="AO279" s="2">
        <f t="shared" si="51"/>
        <v>99.302747176126061</v>
      </c>
      <c r="AP279" s="1">
        <f t="shared" si="52"/>
        <v>1</v>
      </c>
      <c r="AQ279" s="1">
        <f t="shared" si="53"/>
        <v>1</v>
      </c>
      <c r="AR279" s="1" t="s">
        <v>95</v>
      </c>
      <c r="AS279" s="1" t="s">
        <v>93</v>
      </c>
      <c r="AT279" s="1" t="s">
        <v>93</v>
      </c>
      <c r="AU279" s="1" t="str">
        <f t="shared" si="54"/>
        <v>Major</v>
      </c>
      <c r="AV279" s="1" t="str">
        <f t="shared" si="55"/>
        <v>12831539Chintul Sutaria</v>
      </c>
      <c r="AW279" s="1" t="str">
        <f t="shared" si="56"/>
        <v>Major</v>
      </c>
      <c r="AX279" s="1">
        <f t="shared" si="57"/>
        <v>1</v>
      </c>
      <c r="AY279" s="1" t="s">
        <v>24</v>
      </c>
      <c r="AZ279" s="1" t="b">
        <v>0</v>
      </c>
      <c r="BA279" s="1">
        <f t="shared" si="58"/>
        <v>1</v>
      </c>
      <c r="BB279" s="1">
        <f t="shared" si="59"/>
        <v>1</v>
      </c>
      <c r="BC279" s="1" t="s">
        <v>482</v>
      </c>
      <c r="BD279" s="1" t="s">
        <v>43</v>
      </c>
      <c r="BE279" s="1" t="s">
        <v>98</v>
      </c>
      <c r="BF279" s="1" t="b">
        <v>0</v>
      </c>
      <c r="BG279" s="1" t="str">
        <f>VLOOKUP(AM279,Group!$C:$H,5,0)</f>
        <v>Top 25</v>
      </c>
      <c r="BH279" s="1" t="str">
        <f>VLOOKUP(P279,others!$C:$G,5,0)</f>
        <v>QA</v>
      </c>
    </row>
    <row r="280" spans="1:60" x14ac:dyDescent="0.25">
      <c r="A280" s="14">
        <v>46105.343715277777</v>
      </c>
      <c r="B280" s="14">
        <v>46105.572881944441</v>
      </c>
      <c r="C280" s="14">
        <v>46110.601817129631</v>
      </c>
      <c r="D280" s="14">
        <v>46110.830983796295</v>
      </c>
      <c r="E280" s="14">
        <v>46109.298043981478</v>
      </c>
      <c r="F280" s="14">
        <v>46110.830983796295</v>
      </c>
      <c r="G280" t="s">
        <v>470</v>
      </c>
      <c r="H280">
        <v>1000</v>
      </c>
      <c r="I280">
        <v>2207.4333000000001</v>
      </c>
      <c r="J280" t="s">
        <v>104</v>
      </c>
      <c r="K280">
        <v>12831858</v>
      </c>
      <c r="L280" t="s">
        <v>1281</v>
      </c>
      <c r="M280" t="s">
        <v>115</v>
      </c>
      <c r="N280" t="s">
        <v>1284</v>
      </c>
      <c r="O280" t="s">
        <v>1371</v>
      </c>
      <c r="P280" t="s">
        <v>482</v>
      </c>
      <c r="Q280" t="s">
        <v>24</v>
      </c>
      <c r="R280" t="s">
        <v>1241</v>
      </c>
      <c r="S280">
        <v>68.8</v>
      </c>
      <c r="T280">
        <v>98</v>
      </c>
      <c r="U280" t="s">
        <v>471</v>
      </c>
      <c r="V280">
        <v>2</v>
      </c>
      <c r="X280" t="s">
        <v>1285</v>
      </c>
      <c r="AA280">
        <v>240</v>
      </c>
      <c r="AB280" t="s">
        <v>26</v>
      </c>
      <c r="AC280">
        <v>628</v>
      </c>
      <c r="AD280" t="s">
        <v>1286</v>
      </c>
      <c r="AE280" t="s">
        <v>28</v>
      </c>
      <c r="AF280">
        <v>1</v>
      </c>
      <c r="AK280" s="12">
        <f t="shared" si="48"/>
        <v>46110</v>
      </c>
      <c r="AL280" s="1" t="str">
        <f t="shared" si="49"/>
        <v>Week14</v>
      </c>
      <c r="AM280" s="1" t="s">
        <v>118</v>
      </c>
      <c r="AN280" s="1" t="str">
        <f t="shared" si="50"/>
        <v>NoGo</v>
      </c>
      <c r="AO280" s="2">
        <f t="shared" si="51"/>
        <v>97.093023255813961</v>
      </c>
      <c r="AP280" s="1">
        <f t="shared" si="52"/>
        <v>2</v>
      </c>
      <c r="AQ280" s="1">
        <f t="shared" si="53"/>
        <v>2</v>
      </c>
      <c r="AR280" s="1" t="s">
        <v>96</v>
      </c>
      <c r="AS280" s="1" t="s">
        <v>93</v>
      </c>
      <c r="AT280" s="1" t="s">
        <v>96</v>
      </c>
      <c r="AU280" s="1" t="str">
        <f t="shared" si="54"/>
        <v>Major</v>
      </c>
      <c r="AV280" s="1" t="str">
        <f t="shared" si="55"/>
        <v>12831858Chintul Sutaria</v>
      </c>
      <c r="AW280" s="1" t="str">
        <f t="shared" si="56"/>
        <v>Major</v>
      </c>
      <c r="AX280" s="1">
        <f t="shared" si="57"/>
        <v>1</v>
      </c>
      <c r="AY280" s="1" t="s">
        <v>24</v>
      </c>
      <c r="AZ280" s="1" t="b">
        <v>1</v>
      </c>
      <c r="BA280" s="1">
        <f t="shared" si="58"/>
        <v>1</v>
      </c>
      <c r="BB280" s="1">
        <f t="shared" si="59"/>
        <v>2</v>
      </c>
      <c r="BC280" s="1" t="s">
        <v>103</v>
      </c>
      <c r="BD280" s="1" t="s">
        <v>1269</v>
      </c>
      <c r="BE280" s="1" t="s">
        <v>98</v>
      </c>
      <c r="BF280" s="1" t="b">
        <v>1</v>
      </c>
      <c r="BG280" s="1" t="str">
        <f>VLOOKUP(AM280,Group!$C:$H,5,0)</f>
        <v>Top 25</v>
      </c>
      <c r="BH280" s="1" t="str">
        <f>VLOOKUP(P280,others!$C:$G,5,0)</f>
        <v>QA</v>
      </c>
    </row>
    <row r="281" spans="1:60" x14ac:dyDescent="0.25">
      <c r="A281" s="14">
        <v>46105.343715277777</v>
      </c>
      <c r="B281" s="14">
        <v>46105.572881944441</v>
      </c>
      <c r="C281" s="14">
        <v>46110.601817129631</v>
      </c>
      <c r="D281" s="14">
        <v>46110.830983796295</v>
      </c>
      <c r="E281" s="14">
        <v>46109.298043981478</v>
      </c>
      <c r="F281" s="14">
        <v>46110.830983796295</v>
      </c>
      <c r="G281" t="s">
        <v>470</v>
      </c>
      <c r="H281">
        <v>1000</v>
      </c>
      <c r="I281">
        <v>2207.4333000000001</v>
      </c>
      <c r="J281" t="s">
        <v>104</v>
      </c>
      <c r="K281">
        <v>12831858</v>
      </c>
      <c r="L281" t="s">
        <v>1281</v>
      </c>
      <c r="M281" t="s">
        <v>115</v>
      </c>
      <c r="N281" t="s">
        <v>1284</v>
      </c>
      <c r="O281" t="s">
        <v>1371</v>
      </c>
      <c r="P281" t="s">
        <v>482</v>
      </c>
      <c r="Q281" t="s">
        <v>24</v>
      </c>
      <c r="R281" t="s">
        <v>1241</v>
      </c>
      <c r="S281">
        <v>68.8</v>
      </c>
      <c r="T281">
        <v>98</v>
      </c>
      <c r="U281" t="s">
        <v>100</v>
      </c>
      <c r="V281">
        <v>8</v>
      </c>
      <c r="X281" t="s">
        <v>1285</v>
      </c>
      <c r="AA281">
        <v>240</v>
      </c>
      <c r="AB281" t="s">
        <v>26</v>
      </c>
      <c r="AC281">
        <v>628</v>
      </c>
      <c r="AD281" t="s">
        <v>1286</v>
      </c>
      <c r="AE281" t="s">
        <v>28</v>
      </c>
      <c r="AF281">
        <v>1</v>
      </c>
      <c r="AK281" s="12">
        <f t="shared" si="48"/>
        <v>46110</v>
      </c>
      <c r="AL281" s="1" t="str">
        <f t="shared" si="49"/>
        <v>Week14</v>
      </c>
      <c r="AM281" s="1" t="s">
        <v>118</v>
      </c>
      <c r="AN281" s="1" t="str">
        <f t="shared" si="50"/>
        <v>NoGo</v>
      </c>
      <c r="AO281" s="2">
        <f t="shared" si="51"/>
        <v>97.093023255813961</v>
      </c>
      <c r="AP281" s="1">
        <f t="shared" si="52"/>
        <v>0</v>
      </c>
      <c r="AQ281" s="1">
        <f t="shared" si="53"/>
        <v>2</v>
      </c>
      <c r="AR281" s="1" t="s">
        <v>96</v>
      </c>
      <c r="AS281" s="1" t="s">
        <v>93</v>
      </c>
      <c r="AT281" s="1" t="s">
        <v>96</v>
      </c>
      <c r="AU281" s="1" t="str">
        <f t="shared" si="54"/>
        <v>Minor</v>
      </c>
      <c r="AV281" s="1" t="str">
        <f t="shared" si="55"/>
        <v>12831858Chintul Sutaria</v>
      </c>
      <c r="AW281" s="1" t="str">
        <f t="shared" si="56"/>
        <v>Minor</v>
      </c>
      <c r="AX281" s="1">
        <f t="shared" si="57"/>
        <v>0</v>
      </c>
      <c r="AY281" s="1" t="s">
        <v>24</v>
      </c>
      <c r="AZ281" s="1" t="b">
        <v>0</v>
      </c>
      <c r="BA281" s="1">
        <f t="shared" si="58"/>
        <v>1</v>
      </c>
      <c r="BB281" s="1">
        <f t="shared" si="59"/>
        <v>8</v>
      </c>
      <c r="BC281" s="1" t="s">
        <v>103</v>
      </c>
      <c r="BD281" s="1" t="s">
        <v>1269</v>
      </c>
      <c r="BE281" s="1" t="s">
        <v>98</v>
      </c>
      <c r="BF281" s="1" t="b">
        <v>0</v>
      </c>
      <c r="BG281" s="1" t="str">
        <f>VLOOKUP(AM281,Group!$C:$H,5,0)</f>
        <v>Top 25</v>
      </c>
      <c r="BH281" s="1" t="str">
        <f>VLOOKUP(P281,others!$C:$G,5,0)</f>
        <v>QA</v>
      </c>
    </row>
    <row r="282" spans="1:60" x14ac:dyDescent="0.25">
      <c r="A282" s="14">
        <v>46100.810358796298</v>
      </c>
      <c r="B282" s="14">
        <v>46101.039525462962</v>
      </c>
      <c r="C282" s="14">
        <v>46110.618842592594</v>
      </c>
      <c r="D282" s="14">
        <v>46110.848009259258</v>
      </c>
      <c r="E282" s="14">
        <v>46107.446620370371</v>
      </c>
      <c r="F282" s="14">
        <v>46110.848009259258</v>
      </c>
      <c r="G282" t="s">
        <v>470</v>
      </c>
      <c r="H282">
        <v>187</v>
      </c>
      <c r="I282">
        <v>4898</v>
      </c>
      <c r="J282" t="s">
        <v>104</v>
      </c>
      <c r="K282">
        <v>12830817</v>
      </c>
      <c r="L282" t="s">
        <v>1238</v>
      </c>
      <c r="M282" t="s">
        <v>1238</v>
      </c>
      <c r="N282" t="s">
        <v>88</v>
      </c>
      <c r="O282" t="s">
        <v>1350</v>
      </c>
      <c r="P282" t="s">
        <v>480</v>
      </c>
      <c r="Q282" t="s">
        <v>29</v>
      </c>
      <c r="R282" t="s">
        <v>25</v>
      </c>
      <c r="S282">
        <v>10.23</v>
      </c>
      <c r="T282">
        <v>100</v>
      </c>
      <c r="V282">
        <v>0</v>
      </c>
      <c r="X282" t="s">
        <v>1364</v>
      </c>
      <c r="AA282">
        <v>1440</v>
      </c>
      <c r="AB282" t="s">
        <v>26</v>
      </c>
      <c r="AC282">
        <v>89</v>
      </c>
      <c r="AD282" t="s">
        <v>27</v>
      </c>
      <c r="AE282" t="s">
        <v>28</v>
      </c>
      <c r="AF282">
        <v>0</v>
      </c>
      <c r="AK282" s="12">
        <f t="shared" si="48"/>
        <v>46110</v>
      </c>
      <c r="AL282" s="1" t="str">
        <f t="shared" si="49"/>
        <v>Week14</v>
      </c>
      <c r="AM282" s="1" t="s">
        <v>1239</v>
      </c>
      <c r="AN282" s="1" t="str">
        <f t="shared" si="50"/>
        <v>Go</v>
      </c>
      <c r="AO282" s="2">
        <f t="shared" si="51"/>
        <v>100</v>
      </c>
      <c r="AP282" s="1">
        <f t="shared" si="52"/>
        <v>0</v>
      </c>
      <c r="AQ282" s="1">
        <f t="shared" si="53"/>
        <v>0</v>
      </c>
      <c r="AR282" s="1" t="s">
        <v>96</v>
      </c>
      <c r="AS282" s="1" t="s">
        <v>96</v>
      </c>
      <c r="AT282" s="1" t="s">
        <v>96</v>
      </c>
      <c r="AU282" s="1" t="str">
        <f t="shared" si="54"/>
        <v/>
      </c>
      <c r="AV282" s="1" t="str">
        <f t="shared" si="55"/>
        <v>12830817Savitha Arun</v>
      </c>
      <c r="AW282" s="1" t="str">
        <f t="shared" si="56"/>
        <v/>
      </c>
      <c r="AX282" s="1" t="str">
        <f t="shared" si="57"/>
        <v/>
      </c>
      <c r="AY282" s="1" t="s">
        <v>29</v>
      </c>
      <c r="AZ282" s="1" t="b">
        <v>0</v>
      </c>
      <c r="BA282" s="1" t="str">
        <f t="shared" si="58"/>
        <v/>
      </c>
      <c r="BB282" s="1">
        <f t="shared" si="59"/>
        <v>0</v>
      </c>
      <c r="BC282" s="1" t="s">
        <v>166</v>
      </c>
      <c r="BD282" s="1" t="s">
        <v>43</v>
      </c>
      <c r="BE282" s="1" t="s">
        <v>98</v>
      </c>
      <c r="BF282" s="1" t="b">
        <v>0</v>
      </c>
      <c r="BG282" s="1" t="str">
        <f>VLOOKUP(AM282,Group!$C:$H,5,0)</f>
        <v>Others</v>
      </c>
      <c r="BH282" s="1" t="str">
        <f>VLOOKUP(P282,others!$C:$G,5,0)</f>
        <v>QA - India</v>
      </c>
    </row>
    <row r="283" spans="1:60" x14ac:dyDescent="0.25">
      <c r="A283" s="14">
        <v>46101.557673611111</v>
      </c>
      <c r="B283" s="14">
        <v>46101.786840277775</v>
      </c>
      <c r="C283" s="14">
        <v>46110.626122685186</v>
      </c>
      <c r="D283" s="14">
        <v>46110.85528935185</v>
      </c>
      <c r="E283" s="14">
        <v>46107.446956018517</v>
      </c>
      <c r="F283" s="14">
        <v>46110.85528935185</v>
      </c>
      <c r="G283" t="s">
        <v>470</v>
      </c>
      <c r="H283">
        <v>617</v>
      </c>
      <c r="I283">
        <v>4908</v>
      </c>
      <c r="J283" t="s">
        <v>104</v>
      </c>
      <c r="K283">
        <v>12831090</v>
      </c>
      <c r="L283" t="s">
        <v>1287</v>
      </c>
      <c r="M283" t="s">
        <v>121</v>
      </c>
      <c r="N283" t="s">
        <v>88</v>
      </c>
      <c r="O283" t="s">
        <v>1350</v>
      </c>
      <c r="P283" t="s">
        <v>480</v>
      </c>
      <c r="Q283" t="s">
        <v>29</v>
      </c>
      <c r="R283" t="s">
        <v>1241</v>
      </c>
      <c r="S283">
        <v>39.32</v>
      </c>
      <c r="T283">
        <v>98</v>
      </c>
      <c r="U283" t="s">
        <v>471</v>
      </c>
      <c r="V283">
        <v>2</v>
      </c>
      <c r="X283" t="s">
        <v>1256</v>
      </c>
      <c r="AA283">
        <v>1440</v>
      </c>
      <c r="AB283" t="s">
        <v>26</v>
      </c>
      <c r="AC283">
        <v>248</v>
      </c>
      <c r="AD283" t="s">
        <v>27</v>
      </c>
      <c r="AE283" t="s">
        <v>28</v>
      </c>
      <c r="AF283">
        <v>5</v>
      </c>
      <c r="AK283" s="12">
        <f t="shared" si="48"/>
        <v>46110</v>
      </c>
      <c r="AL283" s="1" t="str">
        <f t="shared" si="49"/>
        <v>Week14</v>
      </c>
      <c r="AM283" s="1" t="s">
        <v>122</v>
      </c>
      <c r="AN283" s="1" t="str">
        <f t="shared" si="50"/>
        <v>NoGo</v>
      </c>
      <c r="AO283" s="2">
        <f t="shared" si="51"/>
        <v>94.913530010172934</v>
      </c>
      <c r="AP283" s="1">
        <f t="shared" si="52"/>
        <v>2</v>
      </c>
      <c r="AQ283" s="1">
        <f t="shared" si="53"/>
        <v>2</v>
      </c>
      <c r="AR283" s="1" t="s">
        <v>96</v>
      </c>
      <c r="AS283" s="1" t="s">
        <v>96</v>
      </c>
      <c r="AT283" s="1" t="s">
        <v>96</v>
      </c>
      <c r="AU283" s="1" t="str">
        <f t="shared" si="54"/>
        <v>Major</v>
      </c>
      <c r="AV283" s="1" t="str">
        <f t="shared" si="55"/>
        <v>12831090Savitha Arun</v>
      </c>
      <c r="AW283" s="1" t="str">
        <f t="shared" si="56"/>
        <v>Major</v>
      </c>
      <c r="AX283" s="1">
        <f t="shared" si="57"/>
        <v>1</v>
      </c>
      <c r="AY283" s="1" t="s">
        <v>29</v>
      </c>
      <c r="AZ283" s="1" t="b">
        <v>1</v>
      </c>
      <c r="BA283" s="1">
        <f t="shared" si="58"/>
        <v>1</v>
      </c>
      <c r="BB283" s="1">
        <f t="shared" si="59"/>
        <v>2</v>
      </c>
      <c r="BC283" s="1" t="s">
        <v>478</v>
      </c>
      <c r="BD283" s="1" t="s">
        <v>1269</v>
      </c>
      <c r="BE283" s="1" t="s">
        <v>1262</v>
      </c>
      <c r="BF283" s="1" t="b">
        <v>1</v>
      </c>
      <c r="BG283" s="1" t="str">
        <f>VLOOKUP(AM283,Group!$C:$H,5,0)</f>
        <v>Top 25</v>
      </c>
      <c r="BH283" s="1" t="str">
        <f>VLOOKUP(P283,others!$C:$G,5,0)</f>
        <v>QA - India</v>
      </c>
    </row>
    <row r="284" spans="1:60" x14ac:dyDescent="0.25">
      <c r="A284" s="14">
        <v>46101.557673611111</v>
      </c>
      <c r="B284" s="14">
        <v>46101.786840277775</v>
      </c>
      <c r="C284" s="14">
        <v>46110.626122685186</v>
      </c>
      <c r="D284" s="14">
        <v>46110.85528935185</v>
      </c>
      <c r="E284" s="14">
        <v>46107.446956018517</v>
      </c>
      <c r="F284" s="14">
        <v>46110.85528935185</v>
      </c>
      <c r="G284" t="s">
        <v>470</v>
      </c>
      <c r="H284">
        <v>617</v>
      </c>
      <c r="I284">
        <v>4908</v>
      </c>
      <c r="J284" t="s">
        <v>104</v>
      </c>
      <c r="K284">
        <v>12831090</v>
      </c>
      <c r="L284" t="s">
        <v>1287</v>
      </c>
      <c r="M284" t="s">
        <v>121</v>
      </c>
      <c r="N284" t="s">
        <v>88</v>
      </c>
      <c r="O284" t="s">
        <v>1350</v>
      </c>
      <c r="P284" t="s">
        <v>480</v>
      </c>
      <c r="Q284" t="s">
        <v>29</v>
      </c>
      <c r="R284" t="s">
        <v>1241</v>
      </c>
      <c r="S284">
        <v>39.32</v>
      </c>
      <c r="T284">
        <v>98</v>
      </c>
      <c r="U284" t="s">
        <v>100</v>
      </c>
      <c r="V284">
        <v>3</v>
      </c>
      <c r="X284" t="s">
        <v>1256</v>
      </c>
      <c r="AA284">
        <v>1440</v>
      </c>
      <c r="AB284" t="s">
        <v>26</v>
      </c>
      <c r="AC284">
        <v>248</v>
      </c>
      <c r="AD284" t="s">
        <v>27</v>
      </c>
      <c r="AE284" t="s">
        <v>28</v>
      </c>
      <c r="AF284">
        <v>5</v>
      </c>
      <c r="AK284" s="12">
        <f t="shared" si="48"/>
        <v>46110</v>
      </c>
      <c r="AL284" s="1" t="str">
        <f t="shared" si="49"/>
        <v>Week14</v>
      </c>
      <c r="AM284" s="1" t="s">
        <v>122</v>
      </c>
      <c r="AN284" s="1" t="str">
        <f t="shared" si="50"/>
        <v>NoGo</v>
      </c>
      <c r="AO284" s="2">
        <f t="shared" si="51"/>
        <v>94.913530010172934</v>
      </c>
      <c r="AP284" s="1">
        <f t="shared" si="52"/>
        <v>0</v>
      </c>
      <c r="AQ284" s="1">
        <f t="shared" si="53"/>
        <v>2</v>
      </c>
      <c r="AR284" s="1" t="s">
        <v>96</v>
      </c>
      <c r="AS284" s="1" t="s">
        <v>96</v>
      </c>
      <c r="AT284" s="1" t="s">
        <v>96</v>
      </c>
      <c r="AU284" s="1" t="str">
        <f t="shared" si="54"/>
        <v>Minor</v>
      </c>
      <c r="AV284" s="1" t="str">
        <f t="shared" si="55"/>
        <v>12831090Savitha Arun</v>
      </c>
      <c r="AW284" s="1" t="str">
        <f t="shared" si="56"/>
        <v>Minor</v>
      </c>
      <c r="AX284" s="1">
        <f t="shared" si="57"/>
        <v>0</v>
      </c>
      <c r="AY284" s="1" t="s">
        <v>29</v>
      </c>
      <c r="AZ284" s="1" t="b">
        <v>0</v>
      </c>
      <c r="BA284" s="1">
        <f t="shared" si="58"/>
        <v>1</v>
      </c>
      <c r="BB284" s="1">
        <f t="shared" si="59"/>
        <v>3</v>
      </c>
      <c r="BC284" s="1" t="s">
        <v>478</v>
      </c>
      <c r="BD284" s="1" t="s">
        <v>1269</v>
      </c>
      <c r="BE284" s="1" t="s">
        <v>1262</v>
      </c>
      <c r="BF284" s="1" t="b">
        <v>0</v>
      </c>
      <c r="BG284" s="1" t="str">
        <f>VLOOKUP(AM284,Group!$C:$H,5,0)</f>
        <v>Top 25</v>
      </c>
      <c r="BH284" s="1" t="str">
        <f>VLOOKUP(P284,others!$C:$G,5,0)</f>
        <v>QA - India</v>
      </c>
    </row>
    <row r="285" spans="1:60" x14ac:dyDescent="0.25">
      <c r="A285" s="14">
        <v>46101.590624999997</v>
      </c>
      <c r="B285" s="14">
        <v>46101.819791666669</v>
      </c>
      <c r="C285" s="14">
        <v>46110.631435185183</v>
      </c>
      <c r="D285" s="14">
        <v>46110.860601851855</v>
      </c>
      <c r="E285" s="14">
        <v>46106.911307870374</v>
      </c>
      <c r="F285" s="14">
        <v>46110.860601851855</v>
      </c>
      <c r="G285" t="s">
        <v>470</v>
      </c>
      <c r="H285">
        <v>1893</v>
      </c>
      <c r="I285">
        <v>5686.9832999999999</v>
      </c>
      <c r="J285" t="s">
        <v>104</v>
      </c>
      <c r="K285">
        <v>12831130</v>
      </c>
      <c r="L285" t="s">
        <v>1391</v>
      </c>
      <c r="M285" t="s">
        <v>116</v>
      </c>
      <c r="N285" t="s">
        <v>88</v>
      </c>
      <c r="O285" t="s">
        <v>1351</v>
      </c>
      <c r="P285" t="s">
        <v>1096</v>
      </c>
      <c r="Q285" t="s">
        <v>24</v>
      </c>
      <c r="R285" t="s">
        <v>25</v>
      </c>
      <c r="S285">
        <v>65.77</v>
      </c>
      <c r="T285">
        <v>100</v>
      </c>
      <c r="V285">
        <v>0</v>
      </c>
      <c r="X285" t="s">
        <v>1245</v>
      </c>
      <c r="AA285">
        <v>1440</v>
      </c>
      <c r="AB285" t="s">
        <v>26</v>
      </c>
      <c r="AC285">
        <v>353</v>
      </c>
      <c r="AD285" t="s">
        <v>27</v>
      </c>
      <c r="AE285" t="s">
        <v>28</v>
      </c>
      <c r="AF285">
        <v>0</v>
      </c>
      <c r="AK285" s="12">
        <f t="shared" si="48"/>
        <v>46110</v>
      </c>
      <c r="AL285" s="1" t="str">
        <f t="shared" si="49"/>
        <v>Week14</v>
      </c>
      <c r="AM285" s="1" t="s">
        <v>119</v>
      </c>
      <c r="AN285" s="1" t="str">
        <f t="shared" si="50"/>
        <v>Go</v>
      </c>
      <c r="AO285" s="2">
        <f t="shared" si="51"/>
        <v>100</v>
      </c>
      <c r="AP285" s="1">
        <f t="shared" si="52"/>
        <v>0</v>
      </c>
      <c r="AQ285" s="1">
        <f t="shared" si="53"/>
        <v>0</v>
      </c>
      <c r="AR285" s="1" t="s">
        <v>95</v>
      </c>
      <c r="AS285" s="1" t="s">
        <v>93</v>
      </c>
      <c r="AT285" s="1" t="s">
        <v>93</v>
      </c>
      <c r="AU285" s="1" t="str">
        <f t="shared" si="54"/>
        <v/>
      </c>
      <c r="AV285" s="1" t="str">
        <f t="shared" si="55"/>
        <v>12831130Tejas Patel</v>
      </c>
      <c r="AW285" s="1" t="str">
        <f t="shared" si="56"/>
        <v/>
      </c>
      <c r="AX285" s="1" t="str">
        <f t="shared" si="57"/>
        <v/>
      </c>
      <c r="AY285" s="1" t="s">
        <v>24</v>
      </c>
      <c r="AZ285" s="1" t="b">
        <v>0</v>
      </c>
      <c r="BA285" s="1" t="str">
        <f t="shared" si="58"/>
        <v/>
      </c>
      <c r="BB285" s="1">
        <f t="shared" si="59"/>
        <v>0</v>
      </c>
      <c r="BC285" s="1" t="s">
        <v>1096</v>
      </c>
      <c r="BD285" s="1" t="s">
        <v>43</v>
      </c>
      <c r="BE285" s="1" t="s">
        <v>98</v>
      </c>
      <c r="BF285" s="1" t="b">
        <v>0</v>
      </c>
      <c r="BG285" s="1" t="str">
        <f>VLOOKUP(AM285,Group!$C:$H,5,0)</f>
        <v>Top 25</v>
      </c>
      <c r="BH285" s="1" t="str">
        <f>VLOOKUP(P285,others!$C:$G,5,0)</f>
        <v>QA</v>
      </c>
    </row>
    <row r="286" spans="1:60" x14ac:dyDescent="0.25">
      <c r="A286" s="14">
        <v>46105.555462962962</v>
      </c>
      <c r="B286" s="14">
        <v>46105.784629629627</v>
      </c>
      <c r="C286" s="14">
        <v>46110.639386574076</v>
      </c>
      <c r="D286" s="14">
        <v>46110.86855324074</v>
      </c>
      <c r="E286" s="14">
        <v>46109.298217592594</v>
      </c>
      <c r="F286" s="14">
        <v>46110.86855324074</v>
      </c>
      <c r="G286" t="s">
        <v>470</v>
      </c>
      <c r="H286">
        <v>658</v>
      </c>
      <c r="I286">
        <v>2261.2833000000001</v>
      </c>
      <c r="J286" t="s">
        <v>104</v>
      </c>
      <c r="K286">
        <v>12831951</v>
      </c>
      <c r="L286" t="s">
        <v>1352</v>
      </c>
      <c r="M286" t="s">
        <v>116</v>
      </c>
      <c r="N286" t="s">
        <v>88</v>
      </c>
      <c r="O286" t="s">
        <v>1371</v>
      </c>
      <c r="P286" t="s">
        <v>482</v>
      </c>
      <c r="Q286" t="s">
        <v>24</v>
      </c>
      <c r="R286" t="s">
        <v>25</v>
      </c>
      <c r="S286">
        <v>84.48</v>
      </c>
      <c r="T286">
        <v>100</v>
      </c>
      <c r="U286" t="s">
        <v>100</v>
      </c>
      <c r="V286">
        <v>1</v>
      </c>
      <c r="X286" t="s">
        <v>1251</v>
      </c>
      <c r="AA286">
        <v>1440</v>
      </c>
      <c r="AB286" t="s">
        <v>26</v>
      </c>
      <c r="AC286">
        <v>460</v>
      </c>
      <c r="AD286" t="s">
        <v>27</v>
      </c>
      <c r="AE286" t="s">
        <v>28</v>
      </c>
      <c r="AF286">
        <v>1</v>
      </c>
      <c r="AK286" s="12">
        <f t="shared" si="48"/>
        <v>46110</v>
      </c>
      <c r="AL286" s="1" t="str">
        <f t="shared" si="49"/>
        <v>Week14</v>
      </c>
      <c r="AM286" s="1" t="s">
        <v>119</v>
      </c>
      <c r="AN286" s="1" t="str">
        <f t="shared" si="50"/>
        <v>Go</v>
      </c>
      <c r="AO286" s="2">
        <f t="shared" si="51"/>
        <v>100</v>
      </c>
      <c r="AP286" s="1">
        <f t="shared" si="52"/>
        <v>0</v>
      </c>
      <c r="AQ286" s="1">
        <f t="shared" si="53"/>
        <v>0</v>
      </c>
      <c r="AR286" s="1" t="s">
        <v>95</v>
      </c>
      <c r="AS286" s="1" t="s">
        <v>93</v>
      </c>
      <c r="AT286" s="1" t="s">
        <v>93</v>
      </c>
      <c r="AU286" s="1" t="str">
        <f t="shared" si="54"/>
        <v>Minor</v>
      </c>
      <c r="AV286" s="1" t="str">
        <f t="shared" si="55"/>
        <v>12831951Chintul Sutaria</v>
      </c>
      <c r="AW286" s="1" t="str">
        <f t="shared" si="56"/>
        <v>Minor</v>
      </c>
      <c r="AX286" s="1">
        <f t="shared" si="57"/>
        <v>0</v>
      </c>
      <c r="AY286" s="1" t="s">
        <v>24</v>
      </c>
      <c r="AZ286" s="1" t="b">
        <v>0</v>
      </c>
      <c r="BA286" s="1">
        <f t="shared" si="58"/>
        <v>1</v>
      </c>
      <c r="BB286" s="1">
        <f t="shared" si="59"/>
        <v>1</v>
      </c>
      <c r="BC286" s="1" t="s">
        <v>1105</v>
      </c>
      <c r="BD286" s="1" t="s">
        <v>1269</v>
      </c>
      <c r="BE286" s="1" t="s">
        <v>98</v>
      </c>
      <c r="BF286" s="1" t="b">
        <v>0</v>
      </c>
      <c r="BG286" s="1" t="str">
        <f>VLOOKUP(AM286,Group!$C:$H,5,0)</f>
        <v>Top 25</v>
      </c>
      <c r="BH286" s="1" t="str">
        <f>VLOOKUP(P286,others!$C:$G,5,0)</f>
        <v>QA</v>
      </c>
    </row>
    <row r="287" spans="1:60" x14ac:dyDescent="0.25">
      <c r="A287" s="14">
        <v>46101.805902777778</v>
      </c>
      <c r="B287" s="14">
        <v>46102.035069444442</v>
      </c>
      <c r="C287" s="14">
        <v>46110.646944444445</v>
      </c>
      <c r="D287" s="14">
        <v>46110.876111111109</v>
      </c>
      <c r="E287" s="14">
        <v>46107.447141203702</v>
      </c>
      <c r="F287" s="14">
        <v>46110.876111111109</v>
      </c>
      <c r="G287" t="s">
        <v>470</v>
      </c>
      <c r="H287">
        <v>945</v>
      </c>
      <c r="I287">
        <v>4937.7166999999999</v>
      </c>
      <c r="J287" t="s">
        <v>104</v>
      </c>
      <c r="K287">
        <v>12831188</v>
      </c>
      <c r="L287" t="s">
        <v>1238</v>
      </c>
      <c r="M287" t="s">
        <v>1238</v>
      </c>
      <c r="N287" t="s">
        <v>88</v>
      </c>
      <c r="O287" t="s">
        <v>1350</v>
      </c>
      <c r="P287" t="s">
        <v>480</v>
      </c>
      <c r="Q287" t="s">
        <v>29</v>
      </c>
      <c r="R287" t="s">
        <v>1241</v>
      </c>
      <c r="S287">
        <v>58.65</v>
      </c>
      <c r="T287">
        <v>97</v>
      </c>
      <c r="U287" t="s">
        <v>471</v>
      </c>
      <c r="V287">
        <v>3</v>
      </c>
      <c r="X287" t="s">
        <v>1242</v>
      </c>
      <c r="AA287">
        <v>1440</v>
      </c>
      <c r="AB287" t="s">
        <v>26</v>
      </c>
      <c r="AC287">
        <v>365</v>
      </c>
      <c r="AD287" t="s">
        <v>27</v>
      </c>
      <c r="AE287" t="s">
        <v>28</v>
      </c>
      <c r="AF287">
        <v>0</v>
      </c>
      <c r="AK287" s="12">
        <f t="shared" si="48"/>
        <v>46110</v>
      </c>
      <c r="AL287" s="1" t="str">
        <f t="shared" si="49"/>
        <v>Week14</v>
      </c>
      <c r="AM287" s="1" t="s">
        <v>1239</v>
      </c>
      <c r="AN287" s="1" t="str">
        <f t="shared" si="50"/>
        <v>NoGo</v>
      </c>
      <c r="AO287" s="2">
        <f t="shared" si="51"/>
        <v>94.884910485933503</v>
      </c>
      <c r="AP287" s="1">
        <f t="shared" si="52"/>
        <v>3</v>
      </c>
      <c r="AQ287" s="1">
        <f t="shared" si="53"/>
        <v>3</v>
      </c>
      <c r="AR287" s="1" t="s">
        <v>96</v>
      </c>
      <c r="AS287" s="1" t="s">
        <v>96</v>
      </c>
      <c r="AT287" s="1" t="s">
        <v>96</v>
      </c>
      <c r="AU287" s="1" t="str">
        <f t="shared" si="54"/>
        <v>Major</v>
      </c>
      <c r="AV287" s="1" t="str">
        <f t="shared" si="55"/>
        <v>12831188Savitha Arun</v>
      </c>
      <c r="AW287" s="1" t="str">
        <f t="shared" si="56"/>
        <v>Major</v>
      </c>
      <c r="AX287" s="1">
        <f t="shared" si="57"/>
        <v>1</v>
      </c>
      <c r="AY287" s="1" t="s">
        <v>29</v>
      </c>
      <c r="AZ287" s="1" t="b">
        <v>1</v>
      </c>
      <c r="BA287" s="1">
        <f t="shared" si="58"/>
        <v>1</v>
      </c>
      <c r="BB287" s="1">
        <f t="shared" si="59"/>
        <v>3</v>
      </c>
      <c r="BC287" s="1" t="s">
        <v>478</v>
      </c>
      <c r="BD287" s="1" t="s">
        <v>1269</v>
      </c>
      <c r="BE287" s="1" t="s">
        <v>98</v>
      </c>
      <c r="BF287" s="1" t="b">
        <v>1</v>
      </c>
      <c r="BG287" s="1" t="str">
        <f>VLOOKUP(AM287,Group!$C:$H,5,0)</f>
        <v>Others</v>
      </c>
      <c r="BH287" s="1" t="str">
        <f>VLOOKUP(P287,others!$C:$G,5,0)</f>
        <v>QA - India</v>
      </c>
    </row>
    <row r="288" spans="1:60" x14ac:dyDescent="0.25">
      <c r="A288" s="14">
        <v>46101.805902777778</v>
      </c>
      <c r="B288" s="14">
        <v>46102.035069444442</v>
      </c>
      <c r="C288" s="14">
        <v>46110.646944444445</v>
      </c>
      <c r="D288" s="14">
        <v>46110.876111111109</v>
      </c>
      <c r="E288" s="14">
        <v>46107.447141203702</v>
      </c>
      <c r="F288" s="14">
        <v>46110.876111111109</v>
      </c>
      <c r="G288" t="s">
        <v>470</v>
      </c>
      <c r="H288">
        <v>945</v>
      </c>
      <c r="I288">
        <v>4937.7166999999999</v>
      </c>
      <c r="J288" t="s">
        <v>104</v>
      </c>
      <c r="K288">
        <v>12831188</v>
      </c>
      <c r="L288" t="s">
        <v>1238</v>
      </c>
      <c r="M288" t="s">
        <v>1238</v>
      </c>
      <c r="N288" t="s">
        <v>88</v>
      </c>
      <c r="O288" t="s">
        <v>1350</v>
      </c>
      <c r="P288" t="s">
        <v>480</v>
      </c>
      <c r="Q288" t="s">
        <v>29</v>
      </c>
      <c r="R288" t="s">
        <v>1241</v>
      </c>
      <c r="S288">
        <v>58.65</v>
      </c>
      <c r="T288">
        <v>97</v>
      </c>
      <c r="U288" t="s">
        <v>100</v>
      </c>
      <c r="V288">
        <v>1</v>
      </c>
      <c r="X288" t="s">
        <v>1242</v>
      </c>
      <c r="AA288">
        <v>1440</v>
      </c>
      <c r="AB288" t="s">
        <v>26</v>
      </c>
      <c r="AC288">
        <v>365</v>
      </c>
      <c r="AD288" t="s">
        <v>27</v>
      </c>
      <c r="AE288" t="s">
        <v>28</v>
      </c>
      <c r="AF288">
        <v>0</v>
      </c>
      <c r="AK288" s="12">
        <f t="shared" si="48"/>
        <v>46110</v>
      </c>
      <c r="AL288" s="1" t="str">
        <f t="shared" si="49"/>
        <v>Week14</v>
      </c>
      <c r="AM288" s="1" t="s">
        <v>1239</v>
      </c>
      <c r="AN288" s="1" t="str">
        <f t="shared" si="50"/>
        <v>NoGo</v>
      </c>
      <c r="AO288" s="2">
        <f t="shared" si="51"/>
        <v>94.884910485933503</v>
      </c>
      <c r="AP288" s="1">
        <f t="shared" si="52"/>
        <v>0</v>
      </c>
      <c r="AQ288" s="1">
        <f t="shared" si="53"/>
        <v>3</v>
      </c>
      <c r="AR288" s="1" t="s">
        <v>96</v>
      </c>
      <c r="AS288" s="1" t="s">
        <v>96</v>
      </c>
      <c r="AT288" s="1" t="s">
        <v>96</v>
      </c>
      <c r="AU288" s="1" t="str">
        <f t="shared" si="54"/>
        <v>Minor</v>
      </c>
      <c r="AV288" s="1" t="str">
        <f t="shared" si="55"/>
        <v>12831188Savitha Arun</v>
      </c>
      <c r="AW288" s="1" t="str">
        <f t="shared" si="56"/>
        <v>Minor</v>
      </c>
      <c r="AX288" s="1">
        <f t="shared" si="57"/>
        <v>0</v>
      </c>
      <c r="AY288" s="1" t="s">
        <v>29</v>
      </c>
      <c r="AZ288" s="1" t="b">
        <v>0</v>
      </c>
      <c r="BA288" s="1">
        <f t="shared" si="58"/>
        <v>1</v>
      </c>
      <c r="BB288" s="1">
        <f t="shared" si="59"/>
        <v>1</v>
      </c>
      <c r="BC288" s="1" t="s">
        <v>478</v>
      </c>
      <c r="BD288" s="1" t="s">
        <v>1269</v>
      </c>
      <c r="BE288" s="1" t="s">
        <v>98</v>
      </c>
      <c r="BF288" s="1" t="b">
        <v>0</v>
      </c>
      <c r="BG288" s="1" t="str">
        <f>VLOOKUP(AM288,Group!$C:$H,5,0)</f>
        <v>Others</v>
      </c>
      <c r="BH288" s="1" t="str">
        <f>VLOOKUP(P288,others!$C:$G,5,0)</f>
        <v>QA - India</v>
      </c>
    </row>
    <row r="289" spans="1:60" x14ac:dyDescent="0.25">
      <c r="A289" s="14">
        <v>46100.69908564815</v>
      </c>
      <c r="B289" s="14">
        <v>46100.928252314814</v>
      </c>
      <c r="C289" s="14">
        <v>46110.741828703707</v>
      </c>
      <c r="D289" s="14">
        <v>46110.970995370371</v>
      </c>
      <c r="E289" s="14">
        <v>46107.446435185186</v>
      </c>
      <c r="F289" s="14">
        <v>46110.970995370371</v>
      </c>
      <c r="G289" t="s">
        <v>470</v>
      </c>
      <c r="H289">
        <v>257</v>
      </c>
      <c r="I289">
        <v>5075.3666999999996</v>
      </c>
      <c r="J289" t="s">
        <v>104</v>
      </c>
      <c r="K289">
        <v>12830770</v>
      </c>
      <c r="L289" t="s">
        <v>1281</v>
      </c>
      <c r="M289" t="s">
        <v>115</v>
      </c>
      <c r="N289" t="s">
        <v>88</v>
      </c>
      <c r="O289" t="s">
        <v>1350</v>
      </c>
      <c r="P289" t="s">
        <v>480</v>
      </c>
      <c r="Q289" t="s">
        <v>29</v>
      </c>
      <c r="R289" t="s">
        <v>25</v>
      </c>
      <c r="S289">
        <v>25.23</v>
      </c>
      <c r="T289">
        <v>100</v>
      </c>
      <c r="U289" t="s">
        <v>100</v>
      </c>
      <c r="V289">
        <v>5</v>
      </c>
      <c r="X289" t="s">
        <v>1271</v>
      </c>
      <c r="AA289">
        <v>1440</v>
      </c>
      <c r="AB289" t="s">
        <v>26</v>
      </c>
      <c r="AC289">
        <v>164</v>
      </c>
      <c r="AD289" t="s">
        <v>27</v>
      </c>
      <c r="AE289" t="s">
        <v>28</v>
      </c>
      <c r="AF289">
        <v>0</v>
      </c>
      <c r="AK289" s="12">
        <f t="shared" si="48"/>
        <v>46110</v>
      </c>
      <c r="AL289" s="1" t="str">
        <f t="shared" si="49"/>
        <v>Week14</v>
      </c>
      <c r="AM289" s="1" t="s">
        <v>118</v>
      </c>
      <c r="AN289" s="1" t="str">
        <f t="shared" si="50"/>
        <v>Go</v>
      </c>
      <c r="AO289" s="2">
        <f t="shared" si="51"/>
        <v>100</v>
      </c>
      <c r="AP289" s="1">
        <f t="shared" si="52"/>
        <v>0</v>
      </c>
      <c r="AQ289" s="1">
        <f t="shared" si="53"/>
        <v>0</v>
      </c>
      <c r="AR289" s="1" t="s">
        <v>96</v>
      </c>
      <c r="AS289" s="1" t="s">
        <v>96</v>
      </c>
      <c r="AT289" s="1" t="s">
        <v>96</v>
      </c>
      <c r="AU289" s="1" t="str">
        <f t="shared" si="54"/>
        <v>Minor</v>
      </c>
      <c r="AV289" s="1" t="str">
        <f t="shared" si="55"/>
        <v>12830770Savitha Arun</v>
      </c>
      <c r="AW289" s="1" t="str">
        <f t="shared" si="56"/>
        <v>Minor</v>
      </c>
      <c r="AX289" s="1">
        <f t="shared" si="57"/>
        <v>0</v>
      </c>
      <c r="AY289" s="1" t="s">
        <v>29</v>
      </c>
      <c r="AZ289" s="1" t="b">
        <v>0</v>
      </c>
      <c r="BA289" s="1">
        <f t="shared" si="58"/>
        <v>1</v>
      </c>
      <c r="BB289" s="1">
        <f t="shared" si="59"/>
        <v>5</v>
      </c>
      <c r="BC289" s="1" t="s">
        <v>486</v>
      </c>
      <c r="BD289" s="1" t="s">
        <v>1269</v>
      </c>
      <c r="BE289" s="1" t="s">
        <v>98</v>
      </c>
      <c r="BF289" s="1" t="b">
        <v>0</v>
      </c>
      <c r="BG289" s="1" t="str">
        <f>VLOOKUP(AM289,Group!$C:$H,5,0)</f>
        <v>Top 25</v>
      </c>
      <c r="BH289" s="1" t="str">
        <f>VLOOKUP(P289,others!$C:$G,5,0)</f>
        <v>QA - India</v>
      </c>
    </row>
    <row r="290" spans="1:60" x14ac:dyDescent="0.25">
      <c r="A290" s="14">
        <v>46105.500798611109</v>
      </c>
      <c r="B290" s="14">
        <v>46105.72996527778</v>
      </c>
      <c r="C290" s="14">
        <v>46110.746122685188</v>
      </c>
      <c r="D290" s="14">
        <v>46110.975289351853</v>
      </c>
      <c r="E290" s="14">
        <v>46109.298321759263</v>
      </c>
      <c r="F290" s="14">
        <v>46110.975289351853</v>
      </c>
      <c r="G290" t="s">
        <v>470</v>
      </c>
      <c r="H290">
        <v>362</v>
      </c>
      <c r="I290">
        <v>2414.8332999999998</v>
      </c>
      <c r="J290" t="s">
        <v>104</v>
      </c>
      <c r="K290">
        <v>12831916</v>
      </c>
      <c r="L290" t="s">
        <v>1334</v>
      </c>
      <c r="M290" t="s">
        <v>136</v>
      </c>
      <c r="N290" t="s">
        <v>88</v>
      </c>
      <c r="O290" t="s">
        <v>465</v>
      </c>
      <c r="P290" t="s">
        <v>153</v>
      </c>
      <c r="Q290" t="s">
        <v>1328</v>
      </c>
      <c r="R290" t="s">
        <v>25</v>
      </c>
      <c r="S290">
        <v>101.34</v>
      </c>
      <c r="T290">
        <v>100</v>
      </c>
      <c r="V290">
        <v>0</v>
      </c>
      <c r="X290" t="s">
        <v>1335</v>
      </c>
      <c r="AA290">
        <v>1440</v>
      </c>
      <c r="AB290" t="s">
        <v>26</v>
      </c>
      <c r="AC290">
        <v>419</v>
      </c>
      <c r="AD290" t="s">
        <v>27</v>
      </c>
      <c r="AE290" t="s">
        <v>28</v>
      </c>
      <c r="AF290">
        <v>0</v>
      </c>
      <c r="AK290" s="12">
        <f t="shared" si="48"/>
        <v>46110</v>
      </c>
      <c r="AL290" s="1" t="str">
        <f t="shared" si="49"/>
        <v>Week14</v>
      </c>
      <c r="AM290" s="1" t="s">
        <v>138</v>
      </c>
      <c r="AN290" s="1" t="str">
        <f t="shared" si="50"/>
        <v>Go</v>
      </c>
      <c r="AO290" s="2">
        <f t="shared" si="51"/>
        <v>100</v>
      </c>
      <c r="AP290" s="1">
        <f t="shared" si="52"/>
        <v>0</v>
      </c>
      <c r="AQ290" s="1">
        <f t="shared" si="53"/>
        <v>0</v>
      </c>
      <c r="AR290" s="1" t="s">
        <v>96</v>
      </c>
      <c r="AS290" s="1" t="s">
        <v>96</v>
      </c>
      <c r="AT290" s="1" t="s">
        <v>96</v>
      </c>
      <c r="AU290" s="1" t="str">
        <f t="shared" si="54"/>
        <v/>
      </c>
      <c r="AV290" s="1" t="str">
        <f t="shared" si="55"/>
        <v>12831916Sivasankari A</v>
      </c>
      <c r="AW290" s="1" t="str">
        <f t="shared" si="56"/>
        <v/>
      </c>
      <c r="AX290" s="1" t="str">
        <f t="shared" si="57"/>
        <v/>
      </c>
      <c r="AY290" s="1" t="s">
        <v>29</v>
      </c>
      <c r="AZ290" s="1" t="b">
        <v>0</v>
      </c>
      <c r="BA290" s="1" t="str">
        <f t="shared" si="58"/>
        <v/>
      </c>
      <c r="BB290" s="1">
        <f t="shared" si="59"/>
        <v>0</v>
      </c>
      <c r="BC290" s="1" t="s">
        <v>153</v>
      </c>
      <c r="BD290" s="1" t="s">
        <v>43</v>
      </c>
      <c r="BE290" s="1" t="s">
        <v>98</v>
      </c>
      <c r="BF290" s="1" t="b">
        <v>0</v>
      </c>
      <c r="BG290" s="1" t="str">
        <f>VLOOKUP(AM290,Group!$C:$H,5,0)</f>
        <v>Top 25</v>
      </c>
      <c r="BH290" s="1" t="str">
        <f>VLOOKUP(P290,others!$C:$G,5,0)</f>
        <v>VR QA - India</v>
      </c>
    </row>
    <row r="291" spans="1:60" x14ac:dyDescent="0.25">
      <c r="A291" s="14">
        <v>46104.540613425925</v>
      </c>
      <c r="B291" s="14">
        <v>46104.769780092596</v>
      </c>
      <c r="C291" s="14">
        <v>46110.753506944442</v>
      </c>
      <c r="D291" s="14">
        <v>46110.982673611114</v>
      </c>
      <c r="E291" s="14">
        <v>46109.298113425924</v>
      </c>
      <c r="F291" s="14">
        <v>46110.982673611114</v>
      </c>
      <c r="G291" t="s">
        <v>470</v>
      </c>
      <c r="H291">
        <v>1644</v>
      </c>
      <c r="I291">
        <v>2425.7667000000001</v>
      </c>
      <c r="J291" t="s">
        <v>104</v>
      </c>
      <c r="K291">
        <v>12831559</v>
      </c>
      <c r="L291" t="s">
        <v>1390</v>
      </c>
      <c r="M291" t="s">
        <v>116</v>
      </c>
      <c r="N291" t="s">
        <v>88</v>
      </c>
      <c r="O291" t="s">
        <v>1371</v>
      </c>
      <c r="P291" t="s">
        <v>482</v>
      </c>
      <c r="Q291" t="s">
        <v>24</v>
      </c>
      <c r="R291" t="s">
        <v>25</v>
      </c>
      <c r="S291">
        <v>88.17</v>
      </c>
      <c r="T291">
        <v>100</v>
      </c>
      <c r="V291">
        <v>0</v>
      </c>
      <c r="X291" t="s">
        <v>1251</v>
      </c>
      <c r="AA291">
        <v>1440</v>
      </c>
      <c r="AB291" t="s">
        <v>26</v>
      </c>
      <c r="AC291">
        <v>816</v>
      </c>
      <c r="AD291" t="s">
        <v>27</v>
      </c>
      <c r="AE291" t="s">
        <v>28</v>
      </c>
      <c r="AF291">
        <v>0</v>
      </c>
      <c r="AK291" s="12">
        <f t="shared" si="48"/>
        <v>46110</v>
      </c>
      <c r="AL291" s="1" t="str">
        <f t="shared" si="49"/>
        <v>Week14</v>
      </c>
      <c r="AM291" s="1" t="s">
        <v>119</v>
      </c>
      <c r="AN291" s="1" t="str">
        <f t="shared" si="50"/>
        <v>Go</v>
      </c>
      <c r="AO291" s="2">
        <f t="shared" si="51"/>
        <v>100</v>
      </c>
      <c r="AP291" s="1">
        <f t="shared" si="52"/>
        <v>0</v>
      </c>
      <c r="AQ291" s="1">
        <f t="shared" si="53"/>
        <v>0</v>
      </c>
      <c r="AR291" s="1" t="s">
        <v>95</v>
      </c>
      <c r="AS291" s="1" t="s">
        <v>93</v>
      </c>
      <c r="AT291" s="1" t="s">
        <v>93</v>
      </c>
      <c r="AU291" s="1" t="str">
        <f t="shared" si="54"/>
        <v/>
      </c>
      <c r="AV291" s="1" t="str">
        <f t="shared" si="55"/>
        <v>12831559Chintul Sutaria</v>
      </c>
      <c r="AW291" s="1" t="str">
        <f t="shared" si="56"/>
        <v/>
      </c>
      <c r="AX291" s="1" t="str">
        <f t="shared" si="57"/>
        <v/>
      </c>
      <c r="AY291" s="1" t="s">
        <v>24</v>
      </c>
      <c r="AZ291" s="1" t="b">
        <v>0</v>
      </c>
      <c r="BA291" s="1" t="str">
        <f t="shared" si="58"/>
        <v/>
      </c>
      <c r="BB291" s="1">
        <f t="shared" si="59"/>
        <v>0</v>
      </c>
      <c r="BC291" s="1" t="s">
        <v>482</v>
      </c>
      <c r="BD291" s="1" t="s">
        <v>43</v>
      </c>
      <c r="BE291" s="1" t="s">
        <v>98</v>
      </c>
      <c r="BF291" s="1" t="b">
        <v>0</v>
      </c>
      <c r="BG291" s="1" t="str">
        <f>VLOOKUP(AM291,Group!$C:$H,5,0)</f>
        <v>Top 25</v>
      </c>
      <c r="BH291" s="1" t="str">
        <f>VLOOKUP(P291,others!$C:$G,5,0)</f>
        <v>QA</v>
      </c>
    </row>
    <row r="292" spans="1:60" x14ac:dyDescent="0.25">
      <c r="A292" s="14">
        <v>46100.728368055556</v>
      </c>
      <c r="B292" s="14">
        <v>46100.95753472222</v>
      </c>
      <c r="C292" s="14">
        <v>46110.756261574075</v>
      </c>
      <c r="D292" s="14">
        <v>46110.98542824074</v>
      </c>
      <c r="E292" s="14">
        <v>46107.446840277778</v>
      </c>
      <c r="F292" s="14">
        <v>46110.98542824074</v>
      </c>
      <c r="G292" t="s">
        <v>470</v>
      </c>
      <c r="H292">
        <v>219</v>
      </c>
      <c r="I292">
        <v>5095.5667000000003</v>
      </c>
      <c r="J292" t="s">
        <v>104</v>
      </c>
      <c r="K292">
        <v>12830892</v>
      </c>
      <c r="L292" t="s">
        <v>1272</v>
      </c>
      <c r="M292" t="s">
        <v>101</v>
      </c>
      <c r="N292" t="s">
        <v>88</v>
      </c>
      <c r="O292" t="s">
        <v>131</v>
      </c>
      <c r="P292" t="s">
        <v>132</v>
      </c>
      <c r="Q292" t="s">
        <v>1328</v>
      </c>
      <c r="R292" t="s">
        <v>25</v>
      </c>
      <c r="S292">
        <v>42.18</v>
      </c>
      <c r="T292">
        <v>99</v>
      </c>
      <c r="U292" t="s">
        <v>471</v>
      </c>
      <c r="V292">
        <v>1</v>
      </c>
      <c r="X292" t="s">
        <v>469</v>
      </c>
      <c r="AA292">
        <v>1440</v>
      </c>
      <c r="AB292" t="s">
        <v>26</v>
      </c>
      <c r="AC292">
        <v>141</v>
      </c>
      <c r="AD292" t="s">
        <v>27</v>
      </c>
      <c r="AE292" t="s">
        <v>28</v>
      </c>
      <c r="AF292">
        <v>0</v>
      </c>
      <c r="AK292" s="12">
        <f t="shared" si="48"/>
        <v>46110</v>
      </c>
      <c r="AL292" s="1" t="str">
        <f t="shared" si="49"/>
        <v>Week14</v>
      </c>
      <c r="AM292" s="1" t="s">
        <v>102</v>
      </c>
      <c r="AN292" s="1" t="str">
        <f t="shared" si="50"/>
        <v>NoGo</v>
      </c>
      <c r="AO292" s="2">
        <f t="shared" si="51"/>
        <v>97.629208155523941</v>
      </c>
      <c r="AP292" s="1">
        <f t="shared" si="52"/>
        <v>1</v>
      </c>
      <c r="AQ292" s="1">
        <f t="shared" si="53"/>
        <v>1</v>
      </c>
      <c r="AR292" s="1" t="s">
        <v>95</v>
      </c>
      <c r="AS292" s="1" t="s">
        <v>96</v>
      </c>
      <c r="AT292" s="1" t="s">
        <v>96</v>
      </c>
      <c r="AU292" s="1" t="str">
        <f t="shared" si="54"/>
        <v>Major</v>
      </c>
      <c r="AV292" s="1" t="str">
        <f t="shared" si="55"/>
        <v>12830892Pratheep Kumar</v>
      </c>
      <c r="AW292" s="1" t="str">
        <f t="shared" si="56"/>
        <v>Major</v>
      </c>
      <c r="AX292" s="1">
        <f t="shared" si="57"/>
        <v>1</v>
      </c>
      <c r="AY292" s="1" t="s">
        <v>29</v>
      </c>
      <c r="AZ292" s="1" t="b">
        <v>1</v>
      </c>
      <c r="BA292" s="1">
        <f t="shared" si="58"/>
        <v>1</v>
      </c>
      <c r="BB292" s="1">
        <f t="shared" si="59"/>
        <v>1</v>
      </c>
      <c r="BC292" s="1" t="s">
        <v>132</v>
      </c>
      <c r="BD292" s="1" t="s">
        <v>43</v>
      </c>
      <c r="BE292" s="1" t="s">
        <v>98</v>
      </c>
      <c r="BF292" s="1" t="b">
        <v>1</v>
      </c>
      <c r="BG292" s="1" t="str">
        <f>VLOOKUP(AM292,Group!$C:$H,5,0)</f>
        <v>Top 25</v>
      </c>
      <c r="BH292" s="1" t="str">
        <f>VLOOKUP(P292,others!$C:$G,5,0)</f>
        <v>MT - India</v>
      </c>
    </row>
    <row r="293" spans="1:60" x14ac:dyDescent="0.25">
      <c r="A293" s="14">
        <v>46100.728368055556</v>
      </c>
      <c r="B293" s="14">
        <v>46100.95753472222</v>
      </c>
      <c r="C293" s="14">
        <v>46110.756261574075</v>
      </c>
      <c r="D293" s="14">
        <v>46110.98542824074</v>
      </c>
      <c r="E293" s="14">
        <v>46107.446840277778</v>
      </c>
      <c r="F293" s="14">
        <v>46110.98542824074</v>
      </c>
      <c r="G293" t="s">
        <v>470</v>
      </c>
      <c r="H293">
        <v>219</v>
      </c>
      <c r="I293">
        <v>5095.5667000000003</v>
      </c>
      <c r="J293" t="s">
        <v>104</v>
      </c>
      <c r="K293">
        <v>12830892</v>
      </c>
      <c r="L293" t="s">
        <v>1272</v>
      </c>
      <c r="M293" t="s">
        <v>101</v>
      </c>
      <c r="N293" t="s">
        <v>88</v>
      </c>
      <c r="O293" t="s">
        <v>131</v>
      </c>
      <c r="P293" t="s">
        <v>132</v>
      </c>
      <c r="Q293" t="s">
        <v>1328</v>
      </c>
      <c r="R293" t="s">
        <v>25</v>
      </c>
      <c r="S293">
        <v>42.18</v>
      </c>
      <c r="T293">
        <v>99</v>
      </c>
      <c r="U293" t="s">
        <v>100</v>
      </c>
      <c r="V293">
        <v>3</v>
      </c>
      <c r="X293" t="s">
        <v>469</v>
      </c>
      <c r="AA293">
        <v>1440</v>
      </c>
      <c r="AB293" t="s">
        <v>26</v>
      </c>
      <c r="AC293">
        <v>141</v>
      </c>
      <c r="AD293" t="s">
        <v>27</v>
      </c>
      <c r="AE293" t="s">
        <v>28</v>
      </c>
      <c r="AF293">
        <v>0</v>
      </c>
      <c r="AK293" s="12">
        <f t="shared" si="48"/>
        <v>46110</v>
      </c>
      <c r="AL293" s="1" t="str">
        <f t="shared" si="49"/>
        <v>Week14</v>
      </c>
      <c r="AM293" s="1" t="s">
        <v>102</v>
      </c>
      <c r="AN293" s="1" t="str">
        <f t="shared" si="50"/>
        <v>NoGo</v>
      </c>
      <c r="AO293" s="2">
        <f t="shared" si="51"/>
        <v>97.629208155523941</v>
      </c>
      <c r="AP293" s="1">
        <f t="shared" si="52"/>
        <v>0</v>
      </c>
      <c r="AQ293" s="1">
        <f t="shared" si="53"/>
        <v>1</v>
      </c>
      <c r="AR293" s="1" t="s">
        <v>95</v>
      </c>
      <c r="AS293" s="1" t="s">
        <v>96</v>
      </c>
      <c r="AT293" s="1" t="s">
        <v>96</v>
      </c>
      <c r="AU293" s="1" t="str">
        <f t="shared" si="54"/>
        <v>Minor</v>
      </c>
      <c r="AV293" s="1" t="str">
        <f t="shared" si="55"/>
        <v>12830892Pratheep Kumar</v>
      </c>
      <c r="AW293" s="1" t="str">
        <f t="shared" si="56"/>
        <v>Minor</v>
      </c>
      <c r="AX293" s="1">
        <f t="shared" si="57"/>
        <v>0</v>
      </c>
      <c r="AY293" s="1" t="s">
        <v>29</v>
      </c>
      <c r="AZ293" s="1" t="b">
        <v>0</v>
      </c>
      <c r="BA293" s="1">
        <f t="shared" si="58"/>
        <v>1</v>
      </c>
      <c r="BB293" s="1">
        <f t="shared" si="59"/>
        <v>3</v>
      </c>
      <c r="BC293" s="1" t="s">
        <v>132</v>
      </c>
      <c r="BD293" s="1" t="s">
        <v>43</v>
      </c>
      <c r="BE293" s="1" t="s">
        <v>98</v>
      </c>
      <c r="BF293" s="1" t="b">
        <v>0</v>
      </c>
      <c r="BG293" s="1" t="str">
        <f>VLOOKUP(AM293,Group!$C:$H,5,0)</f>
        <v>Top 25</v>
      </c>
      <c r="BH293" s="1" t="str">
        <f>VLOOKUP(P293,others!$C:$G,5,0)</f>
        <v>MT - India</v>
      </c>
    </row>
    <row r="294" spans="1:60" x14ac:dyDescent="0.25">
      <c r="A294" s="14">
        <v>46100.729039351849</v>
      </c>
      <c r="B294" s="14">
        <v>46100.95820601852</v>
      </c>
      <c r="C294" s="14">
        <v>46110.75885416667</v>
      </c>
      <c r="D294" s="14">
        <v>46110.988020833334</v>
      </c>
      <c r="E294" s="14">
        <v>46107.446898148148</v>
      </c>
      <c r="F294" s="14">
        <v>46110.988020833334</v>
      </c>
      <c r="G294" t="s">
        <v>470</v>
      </c>
      <c r="H294">
        <v>219</v>
      </c>
      <c r="I294">
        <v>5099.2166999999999</v>
      </c>
      <c r="J294" t="s">
        <v>104</v>
      </c>
      <c r="K294">
        <v>12830878</v>
      </c>
      <c r="L294" t="s">
        <v>1272</v>
      </c>
      <c r="M294" t="s">
        <v>101</v>
      </c>
      <c r="N294" t="s">
        <v>88</v>
      </c>
      <c r="O294" t="s">
        <v>131</v>
      </c>
      <c r="P294" t="s">
        <v>132</v>
      </c>
      <c r="Q294" t="s">
        <v>1328</v>
      </c>
      <c r="R294" t="s">
        <v>25</v>
      </c>
      <c r="S294">
        <v>45.05</v>
      </c>
      <c r="T294">
        <v>100</v>
      </c>
      <c r="U294" t="s">
        <v>100</v>
      </c>
      <c r="V294">
        <v>1</v>
      </c>
      <c r="X294" t="s">
        <v>469</v>
      </c>
      <c r="AA294">
        <v>1440</v>
      </c>
      <c r="AB294" t="s">
        <v>26</v>
      </c>
      <c r="AC294">
        <v>159</v>
      </c>
      <c r="AD294" t="s">
        <v>27</v>
      </c>
      <c r="AE294" t="s">
        <v>28</v>
      </c>
      <c r="AF294">
        <v>0</v>
      </c>
      <c r="AK294" s="12">
        <f t="shared" si="48"/>
        <v>46110</v>
      </c>
      <c r="AL294" s="1" t="str">
        <f t="shared" si="49"/>
        <v>Week14</v>
      </c>
      <c r="AM294" s="1" t="s">
        <v>102</v>
      </c>
      <c r="AN294" s="1" t="str">
        <f t="shared" si="50"/>
        <v>Go</v>
      </c>
      <c r="AO294" s="2">
        <f t="shared" si="51"/>
        <v>100</v>
      </c>
      <c r="AP294" s="1">
        <f t="shared" si="52"/>
        <v>0</v>
      </c>
      <c r="AQ294" s="1">
        <f t="shared" si="53"/>
        <v>0</v>
      </c>
      <c r="AR294" s="1" t="s">
        <v>95</v>
      </c>
      <c r="AS294" s="1" t="s">
        <v>96</v>
      </c>
      <c r="AT294" s="1" t="s">
        <v>96</v>
      </c>
      <c r="AU294" s="1" t="str">
        <f t="shared" si="54"/>
        <v>Minor</v>
      </c>
      <c r="AV294" s="1" t="str">
        <f t="shared" si="55"/>
        <v>12830878Pratheep Kumar</v>
      </c>
      <c r="AW294" s="1" t="str">
        <f t="shared" si="56"/>
        <v>Minor</v>
      </c>
      <c r="AX294" s="1">
        <f t="shared" si="57"/>
        <v>0</v>
      </c>
      <c r="AY294" s="1" t="s">
        <v>29</v>
      </c>
      <c r="AZ294" s="1" t="b">
        <v>0</v>
      </c>
      <c r="BA294" s="1">
        <f t="shared" si="58"/>
        <v>1</v>
      </c>
      <c r="BB294" s="1">
        <f t="shared" si="59"/>
        <v>1</v>
      </c>
      <c r="BC294" s="1" t="s">
        <v>132</v>
      </c>
      <c r="BD294" s="1" t="s">
        <v>43</v>
      </c>
      <c r="BE294" s="1" t="s">
        <v>98</v>
      </c>
      <c r="BF294" s="1" t="b">
        <v>0</v>
      </c>
      <c r="BG294" s="1" t="str">
        <f>VLOOKUP(AM294,Group!$C:$H,5,0)</f>
        <v>Top 25</v>
      </c>
      <c r="BH294" s="1" t="str">
        <f>VLOOKUP(P294,others!$C:$G,5,0)</f>
        <v>MT - India</v>
      </c>
    </row>
    <row r="295" spans="1:60" x14ac:dyDescent="0.25">
      <c r="A295" s="14">
        <v>46107.508935185186</v>
      </c>
      <c r="B295" s="14">
        <v>46107.73810185185</v>
      </c>
      <c r="C295" s="14">
        <v>46110.763472222221</v>
      </c>
      <c r="D295" s="14">
        <v>46110.992638888885</v>
      </c>
      <c r="E295" s="14">
        <v>46109.298645833333</v>
      </c>
      <c r="F295" s="14">
        <v>46110.992638888885</v>
      </c>
      <c r="G295" t="s">
        <v>470</v>
      </c>
      <c r="H295">
        <v>387</v>
      </c>
      <c r="I295">
        <v>2439.35</v>
      </c>
      <c r="J295" t="s">
        <v>104</v>
      </c>
      <c r="K295">
        <v>12832704</v>
      </c>
      <c r="L295" t="s">
        <v>1334</v>
      </c>
      <c r="M295" t="s">
        <v>136</v>
      </c>
      <c r="N295" t="s">
        <v>88</v>
      </c>
      <c r="O295" t="s">
        <v>465</v>
      </c>
      <c r="P295" t="s">
        <v>153</v>
      </c>
      <c r="Q295" t="s">
        <v>1328</v>
      </c>
      <c r="R295" t="s">
        <v>25</v>
      </c>
      <c r="S295">
        <v>104.06</v>
      </c>
      <c r="T295">
        <v>100</v>
      </c>
      <c r="V295">
        <v>0</v>
      </c>
      <c r="X295" t="s">
        <v>1335</v>
      </c>
      <c r="AA295">
        <v>1440</v>
      </c>
      <c r="AB295" t="s">
        <v>26</v>
      </c>
      <c r="AC295">
        <v>451</v>
      </c>
      <c r="AD295" t="s">
        <v>27</v>
      </c>
      <c r="AE295" t="s">
        <v>28</v>
      </c>
      <c r="AF295">
        <v>0</v>
      </c>
      <c r="AK295" s="12">
        <f t="shared" si="48"/>
        <v>46110</v>
      </c>
      <c r="AL295" s="1" t="str">
        <f t="shared" si="49"/>
        <v>Week14</v>
      </c>
      <c r="AM295" s="1" t="s">
        <v>138</v>
      </c>
      <c r="AN295" s="1" t="str">
        <f t="shared" si="50"/>
        <v>Go</v>
      </c>
      <c r="AO295" s="2">
        <f t="shared" si="51"/>
        <v>100</v>
      </c>
      <c r="AP295" s="1">
        <f t="shared" si="52"/>
        <v>0</v>
      </c>
      <c r="AQ295" s="1">
        <f t="shared" si="53"/>
        <v>0</v>
      </c>
      <c r="AR295" s="1" t="s">
        <v>96</v>
      </c>
      <c r="AS295" s="1" t="s">
        <v>96</v>
      </c>
      <c r="AT295" s="1" t="s">
        <v>96</v>
      </c>
      <c r="AU295" s="1" t="str">
        <f t="shared" si="54"/>
        <v/>
      </c>
      <c r="AV295" s="1" t="str">
        <f t="shared" si="55"/>
        <v>12832704Sivasankari A</v>
      </c>
      <c r="AW295" s="1" t="str">
        <f t="shared" si="56"/>
        <v/>
      </c>
      <c r="AX295" s="1" t="str">
        <f t="shared" si="57"/>
        <v/>
      </c>
      <c r="AY295" s="1" t="s">
        <v>29</v>
      </c>
      <c r="AZ295" s="1" t="b">
        <v>0</v>
      </c>
      <c r="BA295" s="1" t="str">
        <f t="shared" si="58"/>
        <v/>
      </c>
      <c r="BB295" s="1">
        <f t="shared" si="59"/>
        <v>0</v>
      </c>
      <c r="BC295" s="1" t="s">
        <v>153</v>
      </c>
      <c r="BD295" s="1" t="s">
        <v>43</v>
      </c>
      <c r="BE295" s="1" t="s">
        <v>98</v>
      </c>
      <c r="BF295" s="1" t="b">
        <v>0</v>
      </c>
      <c r="BG295" s="1" t="str">
        <f>VLOOKUP(AM295,Group!$C:$H,5,0)</f>
        <v>Top 25</v>
      </c>
      <c r="BH295" s="1" t="str">
        <f>VLOOKUP(P295,others!$C:$G,5,0)</f>
        <v>VR QA - India</v>
      </c>
    </row>
    <row r="296" spans="1:60" x14ac:dyDescent="0.25">
      <c r="A296" s="14">
        <v>46106.634016203701</v>
      </c>
      <c r="B296" s="14">
        <v>46106.863182870373</v>
      </c>
      <c r="C296" s="14">
        <v>46110.768136574072</v>
      </c>
      <c r="D296" s="14">
        <v>46110.997303240743</v>
      </c>
      <c r="E296" s="14">
        <v>46109.298541666663</v>
      </c>
      <c r="F296" s="14">
        <v>46110.997303240743</v>
      </c>
      <c r="G296" t="s">
        <v>470</v>
      </c>
      <c r="H296">
        <v>392</v>
      </c>
      <c r="I296">
        <v>2446.2166999999999</v>
      </c>
      <c r="J296" t="s">
        <v>104</v>
      </c>
      <c r="K296">
        <v>12832393</v>
      </c>
      <c r="L296" t="s">
        <v>1334</v>
      </c>
      <c r="M296" t="s">
        <v>136</v>
      </c>
      <c r="N296" t="s">
        <v>88</v>
      </c>
      <c r="O296" t="s">
        <v>465</v>
      </c>
      <c r="P296" t="s">
        <v>153</v>
      </c>
      <c r="Q296" t="s">
        <v>1328</v>
      </c>
      <c r="R296" t="s">
        <v>25</v>
      </c>
      <c r="S296">
        <v>102.26</v>
      </c>
      <c r="T296">
        <v>100</v>
      </c>
      <c r="V296">
        <v>0</v>
      </c>
      <c r="X296" t="s">
        <v>1335</v>
      </c>
      <c r="AA296">
        <v>1440</v>
      </c>
      <c r="AB296" t="s">
        <v>26</v>
      </c>
      <c r="AC296">
        <v>428</v>
      </c>
      <c r="AD296" t="s">
        <v>27</v>
      </c>
      <c r="AE296" t="s">
        <v>28</v>
      </c>
      <c r="AF296">
        <v>0</v>
      </c>
      <c r="AK296" s="12">
        <f t="shared" si="48"/>
        <v>46110</v>
      </c>
      <c r="AL296" s="1" t="str">
        <f t="shared" si="49"/>
        <v>Week14</v>
      </c>
      <c r="AM296" s="1" t="s">
        <v>138</v>
      </c>
      <c r="AN296" s="1" t="str">
        <f t="shared" si="50"/>
        <v>Go</v>
      </c>
      <c r="AO296" s="2">
        <f t="shared" si="51"/>
        <v>100</v>
      </c>
      <c r="AP296" s="1">
        <f t="shared" si="52"/>
        <v>0</v>
      </c>
      <c r="AQ296" s="1">
        <f t="shared" si="53"/>
        <v>0</v>
      </c>
      <c r="AR296" s="1" t="s">
        <v>96</v>
      </c>
      <c r="AS296" s="1" t="s">
        <v>96</v>
      </c>
      <c r="AT296" s="1" t="s">
        <v>96</v>
      </c>
      <c r="AU296" s="1" t="str">
        <f t="shared" si="54"/>
        <v/>
      </c>
      <c r="AV296" s="1" t="str">
        <f t="shared" si="55"/>
        <v>12832393Sivasankari A</v>
      </c>
      <c r="AW296" s="1" t="str">
        <f t="shared" si="56"/>
        <v/>
      </c>
      <c r="AX296" s="1" t="str">
        <f t="shared" si="57"/>
        <v/>
      </c>
      <c r="AY296" s="1" t="s">
        <v>29</v>
      </c>
      <c r="AZ296" s="1" t="b">
        <v>0</v>
      </c>
      <c r="BA296" s="1" t="str">
        <f t="shared" si="58"/>
        <v/>
      </c>
      <c r="BB296" s="1">
        <f t="shared" si="59"/>
        <v>0</v>
      </c>
      <c r="BC296" s="1" t="s">
        <v>153</v>
      </c>
      <c r="BD296" s="1" t="s">
        <v>43</v>
      </c>
      <c r="BE296" s="1" t="s">
        <v>98</v>
      </c>
      <c r="BF296" s="1" t="b">
        <v>0</v>
      </c>
      <c r="BG296" s="1" t="str">
        <f>VLOOKUP(AM296,Group!$C:$H,5,0)</f>
        <v>Top 25</v>
      </c>
      <c r="BH296" s="1" t="str">
        <f>VLOOKUP(P296,others!$C:$G,5,0)</f>
        <v>VR QA - India</v>
      </c>
    </row>
    <row r="297" spans="1:60" x14ac:dyDescent="0.25">
      <c r="A297" s="14">
        <v>46105.903136574074</v>
      </c>
      <c r="B297" s="14">
        <v>46106.132303240738</v>
      </c>
      <c r="C297" s="14">
        <v>46110.771643518521</v>
      </c>
      <c r="D297" s="14">
        <v>46111.000810185185</v>
      </c>
      <c r="E297" s="14">
        <v>46109.298831018517</v>
      </c>
      <c r="F297" s="14">
        <v>46111.000810185185</v>
      </c>
      <c r="G297" t="s">
        <v>470</v>
      </c>
      <c r="H297">
        <v>293</v>
      </c>
      <c r="I297">
        <v>2450.85</v>
      </c>
      <c r="J297" t="s">
        <v>104</v>
      </c>
      <c r="K297">
        <v>12832163</v>
      </c>
      <c r="L297" t="s">
        <v>1334</v>
      </c>
      <c r="M297" t="s">
        <v>136</v>
      </c>
      <c r="N297" t="s">
        <v>88</v>
      </c>
      <c r="O297" t="s">
        <v>465</v>
      </c>
      <c r="P297" t="s">
        <v>153</v>
      </c>
      <c r="Q297" t="s">
        <v>1328</v>
      </c>
      <c r="R297" t="s">
        <v>25</v>
      </c>
      <c r="S297">
        <v>88.29</v>
      </c>
      <c r="T297">
        <v>100</v>
      </c>
      <c r="V297">
        <v>0</v>
      </c>
      <c r="X297" t="s">
        <v>1335</v>
      </c>
      <c r="AA297">
        <v>1440</v>
      </c>
      <c r="AB297" t="s">
        <v>26</v>
      </c>
      <c r="AC297">
        <v>337</v>
      </c>
      <c r="AD297" t="s">
        <v>27</v>
      </c>
      <c r="AE297" t="s">
        <v>28</v>
      </c>
      <c r="AF297">
        <v>0</v>
      </c>
      <c r="AK297" s="12">
        <f t="shared" si="48"/>
        <v>46111</v>
      </c>
      <c r="AL297" s="1" t="str">
        <f t="shared" si="49"/>
        <v>Week14</v>
      </c>
      <c r="AM297" s="1" t="s">
        <v>138</v>
      </c>
      <c r="AN297" s="1" t="str">
        <f t="shared" si="50"/>
        <v>Go</v>
      </c>
      <c r="AO297" s="2">
        <f t="shared" si="51"/>
        <v>100</v>
      </c>
      <c r="AP297" s="1">
        <f t="shared" si="52"/>
        <v>0</v>
      </c>
      <c r="AQ297" s="1">
        <f t="shared" si="53"/>
        <v>0</v>
      </c>
      <c r="AR297" s="1" t="s">
        <v>96</v>
      </c>
      <c r="AS297" s="1" t="s">
        <v>96</v>
      </c>
      <c r="AT297" s="1" t="s">
        <v>96</v>
      </c>
      <c r="AU297" s="1" t="str">
        <f t="shared" si="54"/>
        <v/>
      </c>
      <c r="AV297" s="1" t="str">
        <f t="shared" si="55"/>
        <v>12832163Sivasankari A</v>
      </c>
      <c r="AW297" s="1" t="str">
        <f t="shared" si="56"/>
        <v/>
      </c>
      <c r="AX297" s="1" t="str">
        <f t="shared" si="57"/>
        <v/>
      </c>
      <c r="AY297" s="1" t="s">
        <v>29</v>
      </c>
      <c r="AZ297" s="1" t="b">
        <v>0</v>
      </c>
      <c r="BA297" s="1" t="str">
        <f t="shared" si="58"/>
        <v/>
      </c>
      <c r="BB297" s="1">
        <f t="shared" si="59"/>
        <v>0</v>
      </c>
      <c r="BC297" s="1" t="s">
        <v>153</v>
      </c>
      <c r="BD297" s="1" t="s">
        <v>43</v>
      </c>
      <c r="BE297" s="1" t="s">
        <v>98</v>
      </c>
      <c r="BF297" s="1" t="b">
        <v>0</v>
      </c>
      <c r="BG297" s="1" t="str">
        <f>VLOOKUP(AM297,Group!$C:$H,5,0)</f>
        <v>Top 25</v>
      </c>
      <c r="BH297" s="1" t="str">
        <f>VLOOKUP(P297,others!$C:$G,5,0)</f>
        <v>VR QA - India</v>
      </c>
    </row>
    <row r="298" spans="1:60" x14ac:dyDescent="0.25">
      <c r="A298" s="14">
        <v>46100.782418981478</v>
      </c>
      <c r="B298" s="14">
        <v>46101.01158564815</v>
      </c>
      <c r="C298" s="14">
        <v>46111.492581018516</v>
      </c>
      <c r="D298" s="14">
        <v>46111.721747685187</v>
      </c>
      <c r="E298" s="14">
        <v>46106.910902777781</v>
      </c>
      <c r="F298" s="14">
        <v>46111.721747685187</v>
      </c>
      <c r="G298" t="s">
        <v>470</v>
      </c>
      <c r="H298">
        <v>3157</v>
      </c>
      <c r="I298">
        <v>6927.6166999999996</v>
      </c>
      <c r="J298" t="s">
        <v>104</v>
      </c>
      <c r="K298">
        <v>12830909</v>
      </c>
      <c r="L298" t="s">
        <v>1260</v>
      </c>
      <c r="M298" t="s">
        <v>101</v>
      </c>
      <c r="N298" t="s">
        <v>88</v>
      </c>
      <c r="O298" t="s">
        <v>1351</v>
      </c>
      <c r="P298" t="s">
        <v>1096</v>
      </c>
      <c r="Q298" t="s">
        <v>24</v>
      </c>
      <c r="R298" t="s">
        <v>1241</v>
      </c>
      <c r="S298">
        <v>52.57</v>
      </c>
      <c r="T298">
        <v>98</v>
      </c>
      <c r="U298" t="s">
        <v>471</v>
      </c>
      <c r="V298">
        <v>1</v>
      </c>
      <c r="X298" t="s">
        <v>469</v>
      </c>
      <c r="AA298">
        <v>1440</v>
      </c>
      <c r="AB298" t="s">
        <v>26</v>
      </c>
      <c r="AC298">
        <v>280</v>
      </c>
      <c r="AD298" t="s">
        <v>27</v>
      </c>
      <c r="AE298" t="s">
        <v>28</v>
      </c>
      <c r="AF298">
        <v>0</v>
      </c>
      <c r="AK298" s="12">
        <f t="shared" si="48"/>
        <v>46111</v>
      </c>
      <c r="AL298" s="1" t="str">
        <f t="shared" si="49"/>
        <v>Week14</v>
      </c>
      <c r="AM298" s="1" t="s">
        <v>102</v>
      </c>
      <c r="AN298" s="1" t="str">
        <f t="shared" si="50"/>
        <v>NoGo</v>
      </c>
      <c r="AO298" s="2">
        <f t="shared" si="51"/>
        <v>96.19554879208674</v>
      </c>
      <c r="AP298" s="1">
        <f t="shared" si="52"/>
        <v>1</v>
      </c>
      <c r="AQ298" s="1">
        <f t="shared" si="53"/>
        <v>2</v>
      </c>
      <c r="AR298" s="1" t="s">
        <v>95</v>
      </c>
      <c r="AS298" s="1" t="s">
        <v>93</v>
      </c>
      <c r="AT298" s="1" t="s">
        <v>93</v>
      </c>
      <c r="AU298" s="1" t="str">
        <f t="shared" si="54"/>
        <v>Major</v>
      </c>
      <c r="AV298" s="1" t="str">
        <f t="shared" si="55"/>
        <v>12830909Tejas Patel</v>
      </c>
      <c r="AW298" s="1" t="str">
        <f t="shared" si="56"/>
        <v>Major</v>
      </c>
      <c r="AX298" s="1">
        <f t="shared" si="57"/>
        <v>1</v>
      </c>
      <c r="AY298" s="1" t="s">
        <v>24</v>
      </c>
      <c r="AZ298" s="1" t="b">
        <v>1</v>
      </c>
      <c r="BA298" s="1">
        <f t="shared" si="58"/>
        <v>1</v>
      </c>
      <c r="BB298" s="1">
        <f t="shared" si="59"/>
        <v>1</v>
      </c>
      <c r="BC298" s="1" t="s">
        <v>1096</v>
      </c>
      <c r="BD298" s="1" t="s">
        <v>43</v>
      </c>
      <c r="BE298" s="1" t="s">
        <v>98</v>
      </c>
      <c r="BF298" s="1" t="b">
        <v>1</v>
      </c>
      <c r="BG298" s="1" t="str">
        <f>VLOOKUP(AM298,Group!$C:$H,5,0)</f>
        <v>Top 25</v>
      </c>
      <c r="BH298" s="1" t="str">
        <f>VLOOKUP(P298,others!$C:$G,5,0)</f>
        <v>QA</v>
      </c>
    </row>
    <row r="299" spans="1:60" x14ac:dyDescent="0.25">
      <c r="A299" s="14">
        <v>46100.782418981478</v>
      </c>
      <c r="B299" s="14">
        <v>46101.01158564815</v>
      </c>
      <c r="C299" s="14">
        <v>46111.492581018516</v>
      </c>
      <c r="D299" s="14">
        <v>46111.721747685187</v>
      </c>
      <c r="E299" s="14">
        <v>46106.910902777781</v>
      </c>
      <c r="F299" s="14">
        <v>46111.721747685187</v>
      </c>
      <c r="G299" t="s">
        <v>470</v>
      </c>
      <c r="H299">
        <v>3157</v>
      </c>
      <c r="I299">
        <v>6927.6166999999996</v>
      </c>
      <c r="J299" t="s">
        <v>104</v>
      </c>
      <c r="K299">
        <v>12830909</v>
      </c>
      <c r="L299" t="s">
        <v>1260</v>
      </c>
      <c r="M299" t="s">
        <v>101</v>
      </c>
      <c r="N299" t="s">
        <v>88</v>
      </c>
      <c r="O299" t="s">
        <v>1351</v>
      </c>
      <c r="P299" t="s">
        <v>1096</v>
      </c>
      <c r="Q299" t="s">
        <v>24</v>
      </c>
      <c r="R299" t="s">
        <v>1241</v>
      </c>
      <c r="S299">
        <v>52.57</v>
      </c>
      <c r="T299">
        <v>98</v>
      </c>
      <c r="U299" t="s">
        <v>1243</v>
      </c>
      <c r="V299">
        <v>1</v>
      </c>
      <c r="X299" t="s">
        <v>469</v>
      </c>
      <c r="AA299">
        <v>1440</v>
      </c>
      <c r="AB299" t="s">
        <v>26</v>
      </c>
      <c r="AC299">
        <v>280</v>
      </c>
      <c r="AD299" t="s">
        <v>27</v>
      </c>
      <c r="AE299" t="s">
        <v>28</v>
      </c>
      <c r="AF299">
        <v>0</v>
      </c>
      <c r="AK299" s="12">
        <f t="shared" si="48"/>
        <v>46111</v>
      </c>
      <c r="AL299" s="1" t="str">
        <f t="shared" si="49"/>
        <v>Week14</v>
      </c>
      <c r="AM299" s="1" t="s">
        <v>102</v>
      </c>
      <c r="AN299" s="1" t="str">
        <f t="shared" si="50"/>
        <v>NoGo</v>
      </c>
      <c r="AO299" s="2">
        <f t="shared" si="51"/>
        <v>96.19554879208674</v>
      </c>
      <c r="AP299" s="1">
        <f t="shared" si="52"/>
        <v>1</v>
      </c>
      <c r="AQ299" s="1">
        <f t="shared" si="53"/>
        <v>2</v>
      </c>
      <c r="AR299" s="1" t="s">
        <v>95</v>
      </c>
      <c r="AS299" s="1" t="s">
        <v>93</v>
      </c>
      <c r="AT299" s="1" t="s">
        <v>93</v>
      </c>
      <c r="AU299" s="1" t="str">
        <f t="shared" si="54"/>
        <v>Major</v>
      </c>
      <c r="AV299" s="1" t="str">
        <f t="shared" si="55"/>
        <v>12830909Tejas Patel</v>
      </c>
      <c r="AW299" s="1" t="str">
        <f t="shared" si="56"/>
        <v>Major</v>
      </c>
      <c r="AX299" s="1">
        <f t="shared" si="57"/>
        <v>1</v>
      </c>
      <c r="AY299" s="1" t="s">
        <v>24</v>
      </c>
      <c r="AZ299" s="1" t="b">
        <v>1</v>
      </c>
      <c r="BA299" s="1">
        <f t="shared" si="58"/>
        <v>1</v>
      </c>
      <c r="BB299" s="1">
        <f t="shared" si="59"/>
        <v>1</v>
      </c>
      <c r="BC299" s="1" t="s">
        <v>1096</v>
      </c>
      <c r="BD299" s="1" t="s">
        <v>43</v>
      </c>
      <c r="BE299" s="1" t="s">
        <v>98</v>
      </c>
      <c r="BF299" s="1" t="b">
        <v>1</v>
      </c>
      <c r="BG299" s="1" t="str">
        <f>VLOOKUP(AM299,Group!$C:$H,5,0)</f>
        <v>Top 25</v>
      </c>
      <c r="BH299" s="1" t="str">
        <f>VLOOKUP(P299,others!$C:$G,5,0)</f>
        <v>QA</v>
      </c>
    </row>
    <row r="300" spans="1:60" x14ac:dyDescent="0.25">
      <c r="A300" s="14">
        <v>46100.782418981478</v>
      </c>
      <c r="B300" s="14">
        <v>46101.01158564815</v>
      </c>
      <c r="C300" s="14">
        <v>46111.492581018516</v>
      </c>
      <c r="D300" s="14">
        <v>46111.721747685187</v>
      </c>
      <c r="E300" s="14">
        <v>46106.910902777781</v>
      </c>
      <c r="F300" s="14">
        <v>46111.721747685187</v>
      </c>
      <c r="G300" t="s">
        <v>470</v>
      </c>
      <c r="H300">
        <v>3157</v>
      </c>
      <c r="I300">
        <v>6927.6166999999996</v>
      </c>
      <c r="J300" t="s">
        <v>104</v>
      </c>
      <c r="K300">
        <v>12830909</v>
      </c>
      <c r="L300" t="s">
        <v>1260</v>
      </c>
      <c r="M300" t="s">
        <v>101</v>
      </c>
      <c r="N300" t="s">
        <v>88</v>
      </c>
      <c r="O300" t="s">
        <v>1351</v>
      </c>
      <c r="P300" t="s">
        <v>1096</v>
      </c>
      <c r="Q300" t="s">
        <v>24</v>
      </c>
      <c r="R300" t="s">
        <v>1241</v>
      </c>
      <c r="S300">
        <v>52.57</v>
      </c>
      <c r="T300">
        <v>98</v>
      </c>
      <c r="U300" t="s">
        <v>100</v>
      </c>
      <c r="V300">
        <v>2</v>
      </c>
      <c r="X300" t="s">
        <v>469</v>
      </c>
      <c r="AA300">
        <v>1440</v>
      </c>
      <c r="AB300" t="s">
        <v>26</v>
      </c>
      <c r="AC300">
        <v>280</v>
      </c>
      <c r="AD300" t="s">
        <v>27</v>
      </c>
      <c r="AE300" t="s">
        <v>28</v>
      </c>
      <c r="AF300">
        <v>0</v>
      </c>
      <c r="AK300" s="12">
        <f t="shared" si="48"/>
        <v>46111</v>
      </c>
      <c r="AL300" s="1" t="str">
        <f t="shared" si="49"/>
        <v>Week14</v>
      </c>
      <c r="AM300" s="1" t="s">
        <v>102</v>
      </c>
      <c r="AN300" s="1" t="str">
        <f t="shared" si="50"/>
        <v>NoGo</v>
      </c>
      <c r="AO300" s="2">
        <f t="shared" si="51"/>
        <v>96.19554879208674</v>
      </c>
      <c r="AP300" s="1">
        <f t="shared" si="52"/>
        <v>0</v>
      </c>
      <c r="AQ300" s="1">
        <f t="shared" si="53"/>
        <v>2</v>
      </c>
      <c r="AR300" s="1" t="s">
        <v>95</v>
      </c>
      <c r="AS300" s="1" t="s">
        <v>93</v>
      </c>
      <c r="AT300" s="1" t="s">
        <v>93</v>
      </c>
      <c r="AU300" s="1" t="str">
        <f t="shared" si="54"/>
        <v>Minor</v>
      </c>
      <c r="AV300" s="1" t="str">
        <f t="shared" si="55"/>
        <v>12830909Tejas Patel</v>
      </c>
      <c r="AW300" s="1" t="str">
        <f t="shared" si="56"/>
        <v>Minor</v>
      </c>
      <c r="AX300" s="1">
        <f t="shared" si="57"/>
        <v>0</v>
      </c>
      <c r="AY300" s="1" t="s">
        <v>24</v>
      </c>
      <c r="AZ300" s="1" t="b">
        <v>0</v>
      </c>
      <c r="BA300" s="1">
        <f t="shared" si="58"/>
        <v>1</v>
      </c>
      <c r="BB300" s="1">
        <f t="shared" si="59"/>
        <v>2</v>
      </c>
      <c r="BC300" s="1" t="s">
        <v>1096</v>
      </c>
      <c r="BD300" s="1" t="s">
        <v>43</v>
      </c>
      <c r="BE300" s="1" t="s">
        <v>98</v>
      </c>
      <c r="BF300" s="1" t="b">
        <v>0</v>
      </c>
      <c r="BG300" s="1" t="str">
        <f>VLOOKUP(AM300,Group!$C:$H,5,0)</f>
        <v>Top 25</v>
      </c>
      <c r="BH300" s="1" t="str">
        <f>VLOOKUP(P300,others!$C:$G,5,0)</f>
        <v>QA</v>
      </c>
    </row>
    <row r="301" spans="1:60" x14ac:dyDescent="0.25">
      <c r="A301" s="14">
        <v>46105.614259259259</v>
      </c>
      <c r="B301" s="14">
        <v>46105.843425925923</v>
      </c>
      <c r="C301" s="14">
        <v>46111.505868055552</v>
      </c>
      <c r="D301" s="14">
        <v>46111.735034722224</v>
      </c>
      <c r="E301" s="14">
        <v>46111.001597222225</v>
      </c>
      <c r="F301" s="14">
        <v>46111.735034722224</v>
      </c>
      <c r="G301" t="s">
        <v>470</v>
      </c>
      <c r="H301">
        <v>909</v>
      </c>
      <c r="I301">
        <v>1056.1500000000001</v>
      </c>
      <c r="J301" t="s">
        <v>104</v>
      </c>
      <c r="K301">
        <v>12832009</v>
      </c>
      <c r="L301" t="s">
        <v>1383</v>
      </c>
      <c r="M301" t="s">
        <v>154</v>
      </c>
      <c r="N301" t="s">
        <v>97</v>
      </c>
      <c r="O301" t="s">
        <v>465</v>
      </c>
      <c r="P301" t="s">
        <v>153</v>
      </c>
      <c r="Q301" t="s">
        <v>1328</v>
      </c>
      <c r="R301" t="s">
        <v>25</v>
      </c>
      <c r="S301">
        <v>21.25</v>
      </c>
      <c r="T301">
        <v>100</v>
      </c>
      <c r="V301">
        <v>0</v>
      </c>
      <c r="X301" t="s">
        <v>1392</v>
      </c>
      <c r="AA301">
        <v>1440</v>
      </c>
      <c r="AB301" t="s">
        <v>26</v>
      </c>
      <c r="AC301">
        <v>77</v>
      </c>
      <c r="AD301" t="s">
        <v>27</v>
      </c>
      <c r="AE301" t="s">
        <v>28</v>
      </c>
      <c r="AF301">
        <v>0</v>
      </c>
      <c r="AK301" s="12">
        <f t="shared" si="48"/>
        <v>46111</v>
      </c>
      <c r="AL301" s="1" t="str">
        <f t="shared" si="49"/>
        <v>Week14</v>
      </c>
      <c r="AM301" s="1" t="s">
        <v>158</v>
      </c>
      <c r="AN301" s="1" t="str">
        <f t="shared" si="50"/>
        <v>Go</v>
      </c>
      <c r="AO301" s="2">
        <f t="shared" si="51"/>
        <v>100</v>
      </c>
      <c r="AP301" s="1">
        <f t="shared" si="52"/>
        <v>0</v>
      </c>
      <c r="AQ301" s="1">
        <f t="shared" si="53"/>
        <v>0</v>
      </c>
      <c r="AR301" s="1" t="s">
        <v>96</v>
      </c>
      <c r="AS301" s="1" t="s">
        <v>96</v>
      </c>
      <c r="AT301" s="1" t="s">
        <v>96</v>
      </c>
      <c r="AU301" s="1" t="str">
        <f t="shared" si="54"/>
        <v/>
      </c>
      <c r="AV301" s="1" t="str">
        <f t="shared" si="55"/>
        <v>12832009Sivasankari A</v>
      </c>
      <c r="AW301" s="1" t="str">
        <f t="shared" si="56"/>
        <v/>
      </c>
      <c r="AX301" s="1" t="str">
        <f t="shared" si="57"/>
        <v/>
      </c>
      <c r="AY301" s="1" t="s">
        <v>29</v>
      </c>
      <c r="AZ301" s="1" t="b">
        <v>0</v>
      </c>
      <c r="BA301" s="1" t="str">
        <f t="shared" si="58"/>
        <v/>
      </c>
      <c r="BB301" s="1">
        <f t="shared" si="59"/>
        <v>0</v>
      </c>
      <c r="BC301" s="1" t="s">
        <v>153</v>
      </c>
      <c r="BD301" s="1" t="s">
        <v>43</v>
      </c>
      <c r="BE301" s="1" t="s">
        <v>98</v>
      </c>
      <c r="BF301" s="1" t="b">
        <v>0</v>
      </c>
      <c r="BG301" s="1" t="str">
        <f>VLOOKUP(AM301,Group!$C:$H,5,0)</f>
        <v>Others</v>
      </c>
      <c r="BH301" s="1" t="str">
        <f>VLOOKUP(P301,others!$C:$G,5,0)</f>
        <v>VR QA - India</v>
      </c>
    </row>
    <row r="302" spans="1:60" x14ac:dyDescent="0.25">
      <c r="A302" s="14">
        <v>46104.659826388888</v>
      </c>
      <c r="B302" s="14">
        <v>46104.888993055552</v>
      </c>
      <c r="C302" s="14">
        <v>46111.507430555554</v>
      </c>
      <c r="D302" s="14">
        <v>46111.736597222225</v>
      </c>
      <c r="E302" s="14">
        <v>46111.001400462963</v>
      </c>
      <c r="F302" s="14">
        <v>46111.736597222225</v>
      </c>
      <c r="G302" t="s">
        <v>470</v>
      </c>
      <c r="H302">
        <v>125</v>
      </c>
      <c r="I302">
        <v>1058.6832999999999</v>
      </c>
      <c r="J302" t="s">
        <v>104</v>
      </c>
      <c r="K302">
        <v>12831603</v>
      </c>
      <c r="L302" t="s">
        <v>1393</v>
      </c>
      <c r="M302" t="s">
        <v>179</v>
      </c>
      <c r="N302" t="s">
        <v>88</v>
      </c>
      <c r="O302" t="s">
        <v>1371</v>
      </c>
      <c r="P302" t="s">
        <v>482</v>
      </c>
      <c r="Q302" t="s">
        <v>24</v>
      </c>
      <c r="R302" t="s">
        <v>25</v>
      </c>
      <c r="S302">
        <v>15.12</v>
      </c>
      <c r="T302">
        <v>100</v>
      </c>
      <c r="V302">
        <v>0</v>
      </c>
      <c r="X302" t="s">
        <v>1394</v>
      </c>
      <c r="AA302">
        <v>1440</v>
      </c>
      <c r="AB302" t="s">
        <v>26</v>
      </c>
      <c r="AC302">
        <v>82</v>
      </c>
      <c r="AD302" t="s">
        <v>27</v>
      </c>
      <c r="AE302" t="s">
        <v>28</v>
      </c>
      <c r="AF302">
        <v>0</v>
      </c>
      <c r="AK302" s="12">
        <f t="shared" si="48"/>
        <v>46111</v>
      </c>
      <c r="AL302" s="1" t="str">
        <f t="shared" si="49"/>
        <v>Week14</v>
      </c>
      <c r="AM302" s="1" t="s">
        <v>194</v>
      </c>
      <c r="AN302" s="1" t="str">
        <f t="shared" si="50"/>
        <v>Go</v>
      </c>
      <c r="AO302" s="2">
        <f t="shared" si="51"/>
        <v>100</v>
      </c>
      <c r="AP302" s="1">
        <f t="shared" si="52"/>
        <v>0</v>
      </c>
      <c r="AQ302" s="1">
        <f t="shared" si="53"/>
        <v>0</v>
      </c>
      <c r="AR302" s="1" t="s">
        <v>95</v>
      </c>
      <c r="AS302" s="1" t="s">
        <v>93</v>
      </c>
      <c r="AT302" s="1" t="s">
        <v>95</v>
      </c>
      <c r="AU302" s="1" t="str">
        <f t="shared" si="54"/>
        <v/>
      </c>
      <c r="AV302" s="1" t="str">
        <f t="shared" si="55"/>
        <v>12831603Chintul Sutaria</v>
      </c>
      <c r="AW302" s="1" t="str">
        <f t="shared" si="56"/>
        <v/>
      </c>
      <c r="AX302" s="1" t="str">
        <f t="shared" si="57"/>
        <v/>
      </c>
      <c r="AY302" s="1" t="s">
        <v>24</v>
      </c>
      <c r="AZ302" s="1" t="b">
        <v>0</v>
      </c>
      <c r="BA302" s="1" t="str">
        <f t="shared" si="58"/>
        <v/>
      </c>
      <c r="BB302" s="1">
        <f t="shared" si="59"/>
        <v>0</v>
      </c>
      <c r="BC302" s="1" t="s">
        <v>127</v>
      </c>
      <c r="BD302" s="1" t="s">
        <v>1269</v>
      </c>
      <c r="BE302" s="1" t="s">
        <v>98</v>
      </c>
      <c r="BF302" s="1" t="b">
        <v>0</v>
      </c>
      <c r="BG302" s="1" t="str">
        <f>VLOOKUP(AM302,Group!$C:$H,5,0)</f>
        <v>Others</v>
      </c>
      <c r="BH302" s="1" t="str">
        <f>VLOOKUP(P302,others!$C:$G,5,0)</f>
        <v>QA</v>
      </c>
    </row>
    <row r="303" spans="1:60" x14ac:dyDescent="0.25">
      <c r="A303" s="14">
        <v>46107.467789351853</v>
      </c>
      <c r="B303" s="14">
        <v>46107.696956018517</v>
      </c>
      <c r="C303" s="14">
        <v>46111.50886574074</v>
      </c>
      <c r="D303" s="14">
        <v>46111.738032407404</v>
      </c>
      <c r="E303" s="14">
        <v>46111.001840277779</v>
      </c>
      <c r="F303" s="14">
        <v>46111.738032407404</v>
      </c>
      <c r="G303" t="s">
        <v>470</v>
      </c>
      <c r="H303">
        <v>104</v>
      </c>
      <c r="I303">
        <v>1060.1167</v>
      </c>
      <c r="J303" t="s">
        <v>104</v>
      </c>
      <c r="K303">
        <v>12832705</v>
      </c>
      <c r="L303" t="s">
        <v>1395</v>
      </c>
      <c r="M303" t="s">
        <v>106</v>
      </c>
      <c r="N303" t="s">
        <v>97</v>
      </c>
      <c r="O303" t="s">
        <v>455</v>
      </c>
      <c r="P303" t="s">
        <v>99</v>
      </c>
      <c r="Q303" t="s">
        <v>29</v>
      </c>
      <c r="R303" t="s">
        <v>25</v>
      </c>
      <c r="S303">
        <v>17.52</v>
      </c>
      <c r="T303">
        <v>100</v>
      </c>
      <c r="V303">
        <v>0</v>
      </c>
      <c r="X303" t="s">
        <v>1349</v>
      </c>
      <c r="AA303">
        <v>720</v>
      </c>
      <c r="AB303" t="s">
        <v>26</v>
      </c>
      <c r="AC303">
        <v>86</v>
      </c>
      <c r="AD303" t="s">
        <v>27</v>
      </c>
      <c r="AE303" t="s">
        <v>28</v>
      </c>
      <c r="AF303">
        <v>0</v>
      </c>
      <c r="AK303" s="12">
        <f t="shared" si="48"/>
        <v>46111</v>
      </c>
      <c r="AL303" s="1" t="str">
        <f t="shared" si="49"/>
        <v>Week14</v>
      </c>
      <c r="AM303" s="1" t="s">
        <v>108</v>
      </c>
      <c r="AN303" s="1" t="str">
        <f t="shared" si="50"/>
        <v>Go</v>
      </c>
      <c r="AO303" s="2">
        <f t="shared" si="51"/>
        <v>100</v>
      </c>
      <c r="AP303" s="1">
        <f t="shared" si="52"/>
        <v>0</v>
      </c>
      <c r="AQ303" s="1">
        <f t="shared" si="53"/>
        <v>0</v>
      </c>
      <c r="AR303" s="1" t="s">
        <v>93</v>
      </c>
      <c r="AS303" s="1" t="s">
        <v>96</v>
      </c>
      <c r="AT303" s="1" t="s">
        <v>96</v>
      </c>
      <c r="AU303" s="1" t="str">
        <f t="shared" si="54"/>
        <v/>
      </c>
      <c r="AV303" s="1" t="str">
        <f t="shared" si="55"/>
        <v>12832705Gopal Rajith</v>
      </c>
      <c r="AW303" s="1" t="str">
        <f t="shared" si="56"/>
        <v/>
      </c>
      <c r="AX303" s="1" t="str">
        <f t="shared" si="57"/>
        <v/>
      </c>
      <c r="AY303" s="1" t="s">
        <v>29</v>
      </c>
      <c r="AZ303" s="1" t="b">
        <v>0</v>
      </c>
      <c r="BA303" s="1" t="str">
        <f t="shared" si="58"/>
        <v/>
      </c>
      <c r="BB303" s="1">
        <f t="shared" si="59"/>
        <v>0</v>
      </c>
      <c r="BC303" s="1" t="s">
        <v>99</v>
      </c>
      <c r="BD303" s="1" t="s">
        <v>43</v>
      </c>
      <c r="BE303" s="1" t="s">
        <v>98</v>
      </c>
      <c r="BF303" s="1" t="b">
        <v>0</v>
      </c>
      <c r="BG303" s="1" t="str">
        <f>VLOOKUP(AM303,Group!$C:$H,5,0)</f>
        <v>Top 25</v>
      </c>
      <c r="BH303" s="1" t="str">
        <f>VLOOKUP(P303,others!$C:$G,5,0)</f>
        <v>MTx-India</v>
      </c>
    </row>
    <row r="304" spans="1:60" x14ac:dyDescent="0.25">
      <c r="A304" s="14">
        <v>46100.378935185188</v>
      </c>
      <c r="B304" s="14">
        <v>46100.608101851853</v>
      </c>
      <c r="C304" s="14">
        <v>46111.515185185184</v>
      </c>
      <c r="D304" s="14">
        <v>46111.744351851848</v>
      </c>
      <c r="E304" s="14">
        <v>46107.44636574074</v>
      </c>
      <c r="F304" s="14">
        <v>46111.744351851848</v>
      </c>
      <c r="G304" t="s">
        <v>470</v>
      </c>
      <c r="H304">
        <v>2331</v>
      </c>
      <c r="I304">
        <v>6189.1</v>
      </c>
      <c r="J304" t="s">
        <v>104</v>
      </c>
      <c r="K304">
        <v>12830607</v>
      </c>
      <c r="L304" t="s">
        <v>1281</v>
      </c>
      <c r="M304" t="s">
        <v>115</v>
      </c>
      <c r="N304" t="s">
        <v>88</v>
      </c>
      <c r="O304" t="s">
        <v>1350</v>
      </c>
      <c r="P304" t="s">
        <v>480</v>
      </c>
      <c r="Q304" t="s">
        <v>29</v>
      </c>
      <c r="R304" t="s">
        <v>25</v>
      </c>
      <c r="S304">
        <v>35.880000000000003</v>
      </c>
      <c r="T304">
        <v>100</v>
      </c>
      <c r="U304" t="s">
        <v>100</v>
      </c>
      <c r="V304">
        <v>1</v>
      </c>
      <c r="X304" t="s">
        <v>1271</v>
      </c>
      <c r="AA304">
        <v>1440</v>
      </c>
      <c r="AB304" t="s">
        <v>26</v>
      </c>
      <c r="AC304">
        <v>219</v>
      </c>
      <c r="AD304" t="s">
        <v>27</v>
      </c>
      <c r="AE304" t="s">
        <v>28</v>
      </c>
      <c r="AF304">
        <v>0</v>
      </c>
      <c r="AK304" s="12">
        <f t="shared" si="48"/>
        <v>46111</v>
      </c>
      <c r="AL304" s="1" t="str">
        <f t="shared" si="49"/>
        <v>Week14</v>
      </c>
      <c r="AM304" s="1" t="s">
        <v>118</v>
      </c>
      <c r="AN304" s="1" t="str">
        <f t="shared" si="50"/>
        <v>Go</v>
      </c>
      <c r="AO304" s="2">
        <f t="shared" si="51"/>
        <v>100</v>
      </c>
      <c r="AP304" s="1">
        <f t="shared" si="52"/>
        <v>0</v>
      </c>
      <c r="AQ304" s="1">
        <f t="shared" si="53"/>
        <v>0</v>
      </c>
      <c r="AR304" s="1" t="s">
        <v>96</v>
      </c>
      <c r="AS304" s="1" t="s">
        <v>96</v>
      </c>
      <c r="AT304" s="1" t="s">
        <v>96</v>
      </c>
      <c r="AU304" s="1" t="str">
        <f t="shared" si="54"/>
        <v>Minor</v>
      </c>
      <c r="AV304" s="1" t="str">
        <f t="shared" si="55"/>
        <v>12830607Savitha Arun</v>
      </c>
      <c r="AW304" s="1" t="str">
        <f t="shared" si="56"/>
        <v>Minor</v>
      </c>
      <c r="AX304" s="1">
        <f t="shared" si="57"/>
        <v>0</v>
      </c>
      <c r="AY304" s="1" t="s">
        <v>29</v>
      </c>
      <c r="AZ304" s="1" t="b">
        <v>0</v>
      </c>
      <c r="BA304" s="1">
        <f t="shared" si="58"/>
        <v>1</v>
      </c>
      <c r="BB304" s="1">
        <f t="shared" si="59"/>
        <v>1</v>
      </c>
      <c r="BC304" s="1" t="s">
        <v>99</v>
      </c>
      <c r="BD304" s="1" t="s">
        <v>1269</v>
      </c>
      <c r="BE304" s="1" t="s">
        <v>98</v>
      </c>
      <c r="BF304" s="1" t="b">
        <v>0</v>
      </c>
      <c r="BG304" s="1" t="str">
        <f>VLOOKUP(AM304,Group!$C:$H,5,0)</f>
        <v>Top 25</v>
      </c>
      <c r="BH304" s="1" t="str">
        <f>VLOOKUP(P304,others!$C:$G,5,0)</f>
        <v>QA - India</v>
      </c>
    </row>
    <row r="305" spans="1:60" x14ac:dyDescent="0.25">
      <c r="A305" s="14">
        <v>46100.706319444442</v>
      </c>
      <c r="B305" s="14">
        <v>46100.935486111113</v>
      </c>
      <c r="C305" s="14">
        <v>46111.518900462965</v>
      </c>
      <c r="D305" s="14">
        <v>46111.748067129629</v>
      </c>
      <c r="E305" s="14">
        <v>46107.446516203701</v>
      </c>
      <c r="F305" s="14">
        <v>46111.748067129629</v>
      </c>
      <c r="G305" t="s">
        <v>470</v>
      </c>
      <c r="H305">
        <v>294</v>
      </c>
      <c r="I305">
        <v>6194.2332999999999</v>
      </c>
      <c r="J305" t="s">
        <v>104</v>
      </c>
      <c r="K305">
        <v>12830772</v>
      </c>
      <c r="L305" t="s">
        <v>1281</v>
      </c>
      <c r="M305" t="s">
        <v>115</v>
      </c>
      <c r="N305" t="s">
        <v>88</v>
      </c>
      <c r="O305" t="s">
        <v>1350</v>
      </c>
      <c r="P305" t="s">
        <v>480</v>
      </c>
      <c r="Q305" t="s">
        <v>29</v>
      </c>
      <c r="R305" t="s">
        <v>25</v>
      </c>
      <c r="S305">
        <v>29.49</v>
      </c>
      <c r="T305">
        <v>99</v>
      </c>
      <c r="U305" t="s">
        <v>471</v>
      </c>
      <c r="V305">
        <v>1</v>
      </c>
      <c r="X305" t="s">
        <v>1271</v>
      </c>
      <c r="AA305">
        <v>1440</v>
      </c>
      <c r="AB305" t="s">
        <v>26</v>
      </c>
      <c r="AC305">
        <v>183</v>
      </c>
      <c r="AD305" t="s">
        <v>27</v>
      </c>
      <c r="AE305" t="s">
        <v>28</v>
      </c>
      <c r="AF305">
        <v>0</v>
      </c>
      <c r="AK305" s="12">
        <f t="shared" si="48"/>
        <v>46111</v>
      </c>
      <c r="AL305" s="1" t="str">
        <f t="shared" si="49"/>
        <v>Week14</v>
      </c>
      <c r="AM305" s="1" t="s">
        <v>118</v>
      </c>
      <c r="AN305" s="1" t="str">
        <f t="shared" si="50"/>
        <v>NoGo</v>
      </c>
      <c r="AO305" s="2">
        <f t="shared" si="51"/>
        <v>96.609020006781961</v>
      </c>
      <c r="AP305" s="1">
        <f t="shared" si="52"/>
        <v>1</v>
      </c>
      <c r="AQ305" s="1">
        <f t="shared" si="53"/>
        <v>1</v>
      </c>
      <c r="AR305" s="1" t="s">
        <v>96</v>
      </c>
      <c r="AS305" s="1" t="s">
        <v>96</v>
      </c>
      <c r="AT305" s="1" t="s">
        <v>96</v>
      </c>
      <c r="AU305" s="1" t="str">
        <f t="shared" si="54"/>
        <v>Major</v>
      </c>
      <c r="AV305" s="1" t="str">
        <f t="shared" si="55"/>
        <v>12830772Savitha Arun</v>
      </c>
      <c r="AW305" s="1" t="str">
        <f t="shared" si="56"/>
        <v>Major</v>
      </c>
      <c r="AX305" s="1">
        <f t="shared" si="57"/>
        <v>1</v>
      </c>
      <c r="AY305" s="1" t="s">
        <v>29</v>
      </c>
      <c r="AZ305" s="1" t="b">
        <v>1</v>
      </c>
      <c r="BA305" s="1">
        <f t="shared" si="58"/>
        <v>1</v>
      </c>
      <c r="BB305" s="1">
        <f t="shared" si="59"/>
        <v>1</v>
      </c>
      <c r="BC305" s="1" t="s">
        <v>486</v>
      </c>
      <c r="BD305" s="1" t="s">
        <v>1269</v>
      </c>
      <c r="BE305" s="1" t="s">
        <v>98</v>
      </c>
      <c r="BF305" s="1" t="b">
        <v>1</v>
      </c>
      <c r="BG305" s="1" t="str">
        <f>VLOOKUP(AM305,Group!$C:$H,5,0)</f>
        <v>Top 25</v>
      </c>
      <c r="BH305" s="1" t="str">
        <f>VLOOKUP(P305,others!$C:$G,5,0)</f>
        <v>QA - India</v>
      </c>
    </row>
    <row r="306" spans="1:60" x14ac:dyDescent="0.25">
      <c r="A306" s="14">
        <v>46100.706319444442</v>
      </c>
      <c r="B306" s="14">
        <v>46100.935486111113</v>
      </c>
      <c r="C306" s="14">
        <v>46111.518900462965</v>
      </c>
      <c r="D306" s="14">
        <v>46111.748067129629</v>
      </c>
      <c r="E306" s="14">
        <v>46107.446516203701</v>
      </c>
      <c r="F306" s="14">
        <v>46111.748067129629</v>
      </c>
      <c r="G306" t="s">
        <v>470</v>
      </c>
      <c r="H306">
        <v>294</v>
      </c>
      <c r="I306">
        <v>6194.2332999999999</v>
      </c>
      <c r="J306" t="s">
        <v>104</v>
      </c>
      <c r="K306">
        <v>12830772</v>
      </c>
      <c r="L306" t="s">
        <v>1281</v>
      </c>
      <c r="M306" t="s">
        <v>115</v>
      </c>
      <c r="N306" t="s">
        <v>88</v>
      </c>
      <c r="O306" t="s">
        <v>1350</v>
      </c>
      <c r="P306" t="s">
        <v>480</v>
      </c>
      <c r="Q306" t="s">
        <v>29</v>
      </c>
      <c r="R306" t="s">
        <v>25</v>
      </c>
      <c r="S306">
        <v>29.49</v>
      </c>
      <c r="T306">
        <v>99</v>
      </c>
      <c r="U306" t="s">
        <v>100</v>
      </c>
      <c r="V306">
        <v>4</v>
      </c>
      <c r="X306" t="s">
        <v>1271</v>
      </c>
      <c r="AA306">
        <v>1440</v>
      </c>
      <c r="AB306" t="s">
        <v>26</v>
      </c>
      <c r="AC306">
        <v>183</v>
      </c>
      <c r="AD306" t="s">
        <v>27</v>
      </c>
      <c r="AE306" t="s">
        <v>28</v>
      </c>
      <c r="AF306">
        <v>0</v>
      </c>
      <c r="AK306" s="12">
        <f t="shared" si="48"/>
        <v>46111</v>
      </c>
      <c r="AL306" s="1" t="str">
        <f t="shared" si="49"/>
        <v>Week14</v>
      </c>
      <c r="AM306" s="1" t="s">
        <v>118</v>
      </c>
      <c r="AN306" s="1" t="str">
        <f t="shared" si="50"/>
        <v>NoGo</v>
      </c>
      <c r="AO306" s="2">
        <f t="shared" si="51"/>
        <v>96.609020006781961</v>
      </c>
      <c r="AP306" s="1">
        <f t="shared" si="52"/>
        <v>0</v>
      </c>
      <c r="AQ306" s="1">
        <f t="shared" si="53"/>
        <v>1</v>
      </c>
      <c r="AR306" s="1" t="s">
        <v>96</v>
      </c>
      <c r="AS306" s="1" t="s">
        <v>96</v>
      </c>
      <c r="AT306" s="1" t="s">
        <v>96</v>
      </c>
      <c r="AU306" s="1" t="str">
        <f t="shared" si="54"/>
        <v>Minor</v>
      </c>
      <c r="AV306" s="1" t="str">
        <f t="shared" si="55"/>
        <v>12830772Savitha Arun</v>
      </c>
      <c r="AW306" s="1" t="str">
        <f t="shared" si="56"/>
        <v>Minor</v>
      </c>
      <c r="AX306" s="1">
        <f t="shared" si="57"/>
        <v>0</v>
      </c>
      <c r="AY306" s="1" t="s">
        <v>29</v>
      </c>
      <c r="AZ306" s="1" t="b">
        <v>0</v>
      </c>
      <c r="BA306" s="1">
        <f t="shared" si="58"/>
        <v>1</v>
      </c>
      <c r="BB306" s="1">
        <f t="shared" si="59"/>
        <v>4</v>
      </c>
      <c r="BC306" s="1" t="s">
        <v>486</v>
      </c>
      <c r="BD306" s="1" t="s">
        <v>1269</v>
      </c>
      <c r="BE306" s="1" t="s">
        <v>98</v>
      </c>
      <c r="BF306" s="1" t="b">
        <v>0</v>
      </c>
      <c r="BG306" s="1" t="str">
        <f>VLOOKUP(AM306,Group!$C:$H,5,0)</f>
        <v>Top 25</v>
      </c>
      <c r="BH306" s="1" t="str">
        <f>VLOOKUP(P306,others!$C:$G,5,0)</f>
        <v>QA - India</v>
      </c>
    </row>
    <row r="307" spans="1:60" x14ac:dyDescent="0.25">
      <c r="A307" s="14">
        <v>46105.899282407408</v>
      </c>
      <c r="B307" s="14">
        <v>46106.128449074073</v>
      </c>
      <c r="C307" s="14">
        <v>46111.528136574074</v>
      </c>
      <c r="D307" s="14">
        <v>46111.757303240738</v>
      </c>
      <c r="E307" s="14">
        <v>46109.298750000002</v>
      </c>
      <c r="F307" s="14">
        <v>46111.757303240738</v>
      </c>
      <c r="G307" t="s">
        <v>470</v>
      </c>
      <c r="H307">
        <v>626</v>
      </c>
      <c r="I307">
        <v>3540.3166999999999</v>
      </c>
      <c r="J307" t="s">
        <v>104</v>
      </c>
      <c r="K307">
        <v>12832160</v>
      </c>
      <c r="L307" t="s">
        <v>151</v>
      </c>
      <c r="M307" t="s">
        <v>151</v>
      </c>
      <c r="N307" t="s">
        <v>88</v>
      </c>
      <c r="O307" t="s">
        <v>1371</v>
      </c>
      <c r="P307" t="s">
        <v>482</v>
      </c>
      <c r="Q307" t="s">
        <v>24</v>
      </c>
      <c r="R307" t="s">
        <v>25</v>
      </c>
      <c r="S307">
        <v>60.92</v>
      </c>
      <c r="T307">
        <v>100</v>
      </c>
      <c r="U307" t="s">
        <v>100</v>
      </c>
      <c r="V307">
        <v>5</v>
      </c>
      <c r="X307" t="s">
        <v>1283</v>
      </c>
      <c r="AA307">
        <v>1440</v>
      </c>
      <c r="AB307" t="s">
        <v>26</v>
      </c>
      <c r="AC307">
        <v>345</v>
      </c>
      <c r="AD307" t="s">
        <v>27</v>
      </c>
      <c r="AE307" t="s">
        <v>28</v>
      </c>
      <c r="AF307">
        <v>1</v>
      </c>
      <c r="AK307" s="12">
        <f t="shared" si="48"/>
        <v>46111</v>
      </c>
      <c r="AL307" s="1" t="str">
        <f t="shared" si="49"/>
        <v>Week14</v>
      </c>
      <c r="AM307" s="1" t="s">
        <v>140</v>
      </c>
      <c r="AN307" s="1" t="str">
        <f t="shared" si="50"/>
        <v>Go</v>
      </c>
      <c r="AO307" s="2">
        <f t="shared" si="51"/>
        <v>100</v>
      </c>
      <c r="AP307" s="1">
        <f t="shared" si="52"/>
        <v>0</v>
      </c>
      <c r="AQ307" s="1">
        <f t="shared" si="53"/>
        <v>0</v>
      </c>
      <c r="AR307" s="1" t="s">
        <v>93</v>
      </c>
      <c r="AS307" s="1" t="s">
        <v>93</v>
      </c>
      <c r="AT307" s="1" t="s">
        <v>93</v>
      </c>
      <c r="AU307" s="1" t="str">
        <f t="shared" si="54"/>
        <v>Minor</v>
      </c>
      <c r="AV307" s="1" t="str">
        <f t="shared" si="55"/>
        <v>12832160Chintul Sutaria</v>
      </c>
      <c r="AW307" s="1" t="str">
        <f t="shared" si="56"/>
        <v>Minor</v>
      </c>
      <c r="AX307" s="1">
        <f t="shared" si="57"/>
        <v>0</v>
      </c>
      <c r="AY307" s="1" t="s">
        <v>24</v>
      </c>
      <c r="AZ307" s="1" t="b">
        <v>0</v>
      </c>
      <c r="BA307" s="1">
        <f t="shared" si="58"/>
        <v>1</v>
      </c>
      <c r="BB307" s="1">
        <f t="shared" si="59"/>
        <v>5</v>
      </c>
      <c r="BC307" s="1" t="s">
        <v>468</v>
      </c>
      <c r="BD307" s="1" t="s">
        <v>1269</v>
      </c>
      <c r="BE307" s="1" t="s">
        <v>98</v>
      </c>
      <c r="BF307" s="1" t="b">
        <v>0</v>
      </c>
      <c r="BG307" s="1" t="str">
        <f>VLOOKUP(AM307,Group!$C:$H,5,0)</f>
        <v>Others</v>
      </c>
      <c r="BH307" s="1" t="str">
        <f>VLOOKUP(P307,others!$C:$G,5,0)</f>
        <v>QA</v>
      </c>
    </row>
    <row r="308" spans="1:60" x14ac:dyDescent="0.25">
      <c r="A308" s="14">
        <v>46105.363495370373</v>
      </c>
      <c r="B308" s="14">
        <v>46105.592662037037</v>
      </c>
      <c r="C308" s="14">
        <v>46111.53466435185</v>
      </c>
      <c r="D308" s="14">
        <v>46111.763831018521</v>
      </c>
      <c r="E308" s="14">
        <v>46111.001469907409</v>
      </c>
      <c r="F308" s="14">
        <v>46111.763831018521</v>
      </c>
      <c r="G308" t="s">
        <v>470</v>
      </c>
      <c r="H308">
        <v>509</v>
      </c>
      <c r="I308">
        <v>1097.8</v>
      </c>
      <c r="J308" t="s">
        <v>104</v>
      </c>
      <c r="K308">
        <v>12831908</v>
      </c>
      <c r="L308" t="s">
        <v>1273</v>
      </c>
      <c r="M308" t="s">
        <v>163</v>
      </c>
      <c r="N308" t="s">
        <v>88</v>
      </c>
      <c r="O308" t="s">
        <v>455</v>
      </c>
      <c r="P308" t="s">
        <v>99</v>
      </c>
      <c r="Q308" t="s">
        <v>29</v>
      </c>
      <c r="R308" t="s">
        <v>25</v>
      </c>
      <c r="S308">
        <v>67.599999999999994</v>
      </c>
      <c r="T308">
        <v>100</v>
      </c>
      <c r="V308">
        <v>0</v>
      </c>
      <c r="X308" t="s">
        <v>1274</v>
      </c>
      <c r="AA308">
        <v>1440</v>
      </c>
      <c r="AB308" t="s">
        <v>26</v>
      </c>
      <c r="AC308">
        <v>214</v>
      </c>
      <c r="AD308" t="s">
        <v>27</v>
      </c>
      <c r="AE308" t="s">
        <v>28</v>
      </c>
      <c r="AF308">
        <v>0</v>
      </c>
      <c r="AK308" s="12">
        <f t="shared" si="48"/>
        <v>46111</v>
      </c>
      <c r="AL308" s="1" t="str">
        <f t="shared" si="49"/>
        <v>Week14</v>
      </c>
      <c r="AM308" s="1" t="s">
        <v>169</v>
      </c>
      <c r="AN308" s="1" t="str">
        <f t="shared" si="50"/>
        <v>Go</v>
      </c>
      <c r="AO308" s="2">
        <f t="shared" si="51"/>
        <v>100</v>
      </c>
      <c r="AP308" s="1">
        <f t="shared" si="52"/>
        <v>0</v>
      </c>
      <c r="AQ308" s="1">
        <f t="shared" si="53"/>
        <v>0</v>
      </c>
      <c r="AR308" s="1" t="s">
        <v>96</v>
      </c>
      <c r="AS308" s="1" t="s">
        <v>96</v>
      </c>
      <c r="AT308" s="1" t="s">
        <v>96</v>
      </c>
      <c r="AU308" s="1" t="str">
        <f t="shared" si="54"/>
        <v/>
      </c>
      <c r="AV308" s="1" t="str">
        <f t="shared" si="55"/>
        <v>12831908Gopal Rajith</v>
      </c>
      <c r="AW308" s="1" t="str">
        <f t="shared" si="56"/>
        <v/>
      </c>
      <c r="AX308" s="1" t="str">
        <f t="shared" si="57"/>
        <v/>
      </c>
      <c r="AY308" s="1" t="s">
        <v>29</v>
      </c>
      <c r="AZ308" s="1" t="b">
        <v>0</v>
      </c>
      <c r="BA308" s="1" t="str">
        <f t="shared" si="58"/>
        <v/>
      </c>
      <c r="BB308" s="1">
        <f t="shared" si="59"/>
        <v>0</v>
      </c>
      <c r="BC308" s="1" t="s">
        <v>99</v>
      </c>
      <c r="BD308" s="1" t="s">
        <v>43</v>
      </c>
      <c r="BE308" s="1" t="s">
        <v>98</v>
      </c>
      <c r="BF308" s="1" t="b">
        <v>0</v>
      </c>
      <c r="BG308" s="1" t="str">
        <f>VLOOKUP(AM308,Group!$C:$H,5,0)</f>
        <v>Fundamental</v>
      </c>
      <c r="BH308" s="1" t="str">
        <f>VLOOKUP(P308,others!$C:$G,5,0)</f>
        <v>MTx-India</v>
      </c>
    </row>
    <row r="309" spans="1:60" x14ac:dyDescent="0.25">
      <c r="A309" s="14">
        <v>46107.544398148151</v>
      </c>
      <c r="B309" s="14">
        <v>46107.773564814815</v>
      </c>
      <c r="C309" s="14">
        <v>46111.539537037039</v>
      </c>
      <c r="D309" s="14">
        <v>46111.768703703703</v>
      </c>
      <c r="E309" s="14">
        <v>46111.001909722225</v>
      </c>
      <c r="F309" s="14">
        <v>46111.768703703703</v>
      </c>
      <c r="G309" t="s">
        <v>470</v>
      </c>
      <c r="H309">
        <v>95</v>
      </c>
      <c r="I309">
        <v>1104.1832999999999</v>
      </c>
      <c r="J309" t="s">
        <v>104</v>
      </c>
      <c r="K309">
        <v>12832737</v>
      </c>
      <c r="L309" t="s">
        <v>1396</v>
      </c>
      <c r="M309" t="s">
        <v>144</v>
      </c>
      <c r="N309" t="s">
        <v>97</v>
      </c>
      <c r="O309" t="s">
        <v>455</v>
      </c>
      <c r="P309" t="s">
        <v>99</v>
      </c>
      <c r="Q309" t="s">
        <v>29</v>
      </c>
      <c r="R309" t="s">
        <v>25</v>
      </c>
      <c r="S309">
        <v>14.38</v>
      </c>
      <c r="T309">
        <v>100</v>
      </c>
      <c r="V309">
        <v>0</v>
      </c>
      <c r="X309" t="s">
        <v>1270</v>
      </c>
      <c r="AA309">
        <v>720</v>
      </c>
      <c r="AB309" t="s">
        <v>26</v>
      </c>
      <c r="AC309">
        <v>80</v>
      </c>
      <c r="AD309" t="s">
        <v>27</v>
      </c>
      <c r="AE309" t="s">
        <v>28</v>
      </c>
      <c r="AF309">
        <v>0</v>
      </c>
      <c r="AK309" s="12">
        <f t="shared" si="48"/>
        <v>46111</v>
      </c>
      <c r="AL309" s="1" t="str">
        <f t="shared" si="49"/>
        <v>Week14</v>
      </c>
      <c r="AM309" s="1" t="s">
        <v>148</v>
      </c>
      <c r="AN309" s="1" t="str">
        <f t="shared" si="50"/>
        <v>Go</v>
      </c>
      <c r="AO309" s="2">
        <f t="shared" si="51"/>
        <v>100</v>
      </c>
      <c r="AP309" s="1">
        <f t="shared" si="52"/>
        <v>0</v>
      </c>
      <c r="AQ309" s="1">
        <f t="shared" si="53"/>
        <v>0</v>
      </c>
      <c r="AR309" s="1" t="s">
        <v>93</v>
      </c>
      <c r="AS309" s="1" t="s">
        <v>96</v>
      </c>
      <c r="AT309" s="1" t="s">
        <v>96</v>
      </c>
      <c r="AU309" s="1" t="str">
        <f t="shared" si="54"/>
        <v/>
      </c>
      <c r="AV309" s="1" t="str">
        <f t="shared" si="55"/>
        <v>12832737Gopal Rajith</v>
      </c>
      <c r="AW309" s="1" t="str">
        <f t="shared" si="56"/>
        <v/>
      </c>
      <c r="AX309" s="1" t="str">
        <f t="shared" si="57"/>
        <v/>
      </c>
      <c r="AY309" s="1" t="s">
        <v>29</v>
      </c>
      <c r="AZ309" s="1" t="b">
        <v>0</v>
      </c>
      <c r="BA309" s="1" t="str">
        <f t="shared" si="58"/>
        <v/>
      </c>
      <c r="BB309" s="1">
        <f t="shared" si="59"/>
        <v>0</v>
      </c>
      <c r="BC309" s="1" t="s">
        <v>99</v>
      </c>
      <c r="BD309" s="1" t="s">
        <v>43</v>
      </c>
      <c r="BE309" s="1" t="s">
        <v>1397</v>
      </c>
      <c r="BF309" s="1" t="b">
        <v>0</v>
      </c>
      <c r="BG309" s="1" t="str">
        <f>VLOOKUP(AM309,Group!$C:$H,5,0)</f>
        <v>Others</v>
      </c>
      <c r="BH309" s="1" t="str">
        <f>VLOOKUP(P309,others!$C:$G,5,0)</f>
        <v>MTx-India</v>
      </c>
    </row>
    <row r="310" spans="1:60" x14ac:dyDescent="0.25">
      <c r="A310" s="14">
        <v>46106.538657407407</v>
      </c>
      <c r="B310" s="14">
        <v>46106.767824074072</v>
      </c>
      <c r="C310" s="14">
        <v>46111.543402777781</v>
      </c>
      <c r="D310" s="14">
        <v>46111.772569444445</v>
      </c>
      <c r="E310" s="14">
        <v>46111.001655092594</v>
      </c>
      <c r="F310" s="14">
        <v>46111.772569444445</v>
      </c>
      <c r="G310" t="s">
        <v>470</v>
      </c>
      <c r="H310">
        <v>309</v>
      </c>
      <c r="I310">
        <v>1110.1167</v>
      </c>
      <c r="J310" t="s">
        <v>104</v>
      </c>
      <c r="K310">
        <v>12832291</v>
      </c>
      <c r="L310" t="s">
        <v>1398</v>
      </c>
      <c r="M310" t="s">
        <v>143</v>
      </c>
      <c r="N310" t="s">
        <v>97</v>
      </c>
      <c r="O310" t="s">
        <v>1371</v>
      </c>
      <c r="P310" t="s">
        <v>482</v>
      </c>
      <c r="Q310" t="s">
        <v>24</v>
      </c>
      <c r="R310" t="s">
        <v>25</v>
      </c>
      <c r="S310">
        <v>39.15</v>
      </c>
      <c r="T310">
        <v>100</v>
      </c>
      <c r="V310">
        <v>0</v>
      </c>
      <c r="X310" t="s">
        <v>1270</v>
      </c>
      <c r="AA310">
        <v>360</v>
      </c>
      <c r="AB310" t="s">
        <v>26</v>
      </c>
      <c r="AC310">
        <v>153</v>
      </c>
      <c r="AD310" t="s">
        <v>27</v>
      </c>
      <c r="AE310" t="s">
        <v>28</v>
      </c>
      <c r="AF310">
        <v>0</v>
      </c>
      <c r="AK310" s="12">
        <f t="shared" si="48"/>
        <v>46111</v>
      </c>
      <c r="AL310" s="1" t="str">
        <f t="shared" si="49"/>
        <v>Week14</v>
      </c>
      <c r="AM310" s="1" t="s">
        <v>147</v>
      </c>
      <c r="AN310" s="1" t="str">
        <f t="shared" si="50"/>
        <v>Go</v>
      </c>
      <c r="AO310" s="2">
        <f t="shared" si="51"/>
        <v>100</v>
      </c>
      <c r="AP310" s="1">
        <f t="shared" si="52"/>
        <v>0</v>
      </c>
      <c r="AQ310" s="1">
        <f t="shared" si="53"/>
        <v>0</v>
      </c>
      <c r="AR310" s="1" t="s">
        <v>93</v>
      </c>
      <c r="AS310" s="1" t="s">
        <v>93</v>
      </c>
      <c r="AT310" s="1" t="s">
        <v>96</v>
      </c>
      <c r="AU310" s="1" t="str">
        <f t="shared" si="54"/>
        <v/>
      </c>
      <c r="AV310" s="1" t="str">
        <f t="shared" si="55"/>
        <v>12832291Chintul Sutaria</v>
      </c>
      <c r="AW310" s="1" t="str">
        <f t="shared" si="56"/>
        <v/>
      </c>
      <c r="AX310" s="1" t="str">
        <f t="shared" si="57"/>
        <v/>
      </c>
      <c r="AY310" s="1" t="s">
        <v>24</v>
      </c>
      <c r="AZ310" s="1" t="b">
        <v>0</v>
      </c>
      <c r="BA310" s="1" t="str">
        <f t="shared" si="58"/>
        <v/>
      </c>
      <c r="BB310" s="1">
        <f t="shared" si="59"/>
        <v>0</v>
      </c>
      <c r="BC310" s="1" t="s">
        <v>103</v>
      </c>
      <c r="BD310" s="1" t="s">
        <v>1269</v>
      </c>
      <c r="BE310" s="1" t="s">
        <v>98</v>
      </c>
      <c r="BF310" s="1" t="b">
        <v>0</v>
      </c>
      <c r="BG310" s="1" t="str">
        <f>VLOOKUP(AM310,Group!$C:$H,5,0)</f>
        <v>Others</v>
      </c>
      <c r="BH310" s="1" t="str">
        <f>VLOOKUP(P310,others!$C:$G,5,0)</f>
        <v>QA</v>
      </c>
    </row>
    <row r="311" spans="1:60" x14ac:dyDescent="0.25">
      <c r="A311" s="14">
        <v>46107.318530092591</v>
      </c>
      <c r="B311" s="14">
        <v>46107.547696759262</v>
      </c>
      <c r="C311" s="14">
        <v>46111.626307870371</v>
      </c>
      <c r="D311" s="14">
        <v>46111.855474537035</v>
      </c>
      <c r="E311" s="14">
        <v>46111.855358796296</v>
      </c>
      <c r="F311" s="14">
        <v>46111.855474537035</v>
      </c>
      <c r="G311" t="s">
        <v>470</v>
      </c>
      <c r="H311">
        <v>6</v>
      </c>
      <c r="I311">
        <v>0.16669999999999999</v>
      </c>
      <c r="J311" t="s">
        <v>104</v>
      </c>
      <c r="K311">
        <v>12832650</v>
      </c>
      <c r="L311" t="s">
        <v>1378</v>
      </c>
      <c r="M311" t="s">
        <v>106</v>
      </c>
      <c r="N311" t="s">
        <v>97</v>
      </c>
      <c r="O311" t="s">
        <v>455</v>
      </c>
      <c r="P311" t="s">
        <v>99</v>
      </c>
      <c r="Q311" t="s">
        <v>29</v>
      </c>
      <c r="R311" t="s">
        <v>25</v>
      </c>
      <c r="S311">
        <v>0.6</v>
      </c>
      <c r="T311">
        <v>100</v>
      </c>
      <c r="V311">
        <v>0</v>
      </c>
      <c r="X311" t="s">
        <v>1379</v>
      </c>
      <c r="AA311">
        <v>1440</v>
      </c>
      <c r="AB311" t="s">
        <v>26</v>
      </c>
      <c r="AC311">
        <v>0</v>
      </c>
      <c r="AD311" t="s">
        <v>27</v>
      </c>
      <c r="AE311" t="s">
        <v>28</v>
      </c>
      <c r="AF311">
        <v>0</v>
      </c>
      <c r="AK311" s="12">
        <f t="shared" si="48"/>
        <v>46111</v>
      </c>
      <c r="AL311" s="1" t="str">
        <f t="shared" si="49"/>
        <v>Week14</v>
      </c>
      <c r="AM311" s="1" t="s">
        <v>108</v>
      </c>
      <c r="AN311" s="1" t="str">
        <f t="shared" si="50"/>
        <v>Go</v>
      </c>
      <c r="AO311" s="2">
        <f t="shared" si="51"/>
        <v>100</v>
      </c>
      <c r="AP311" s="1">
        <f t="shared" si="52"/>
        <v>0</v>
      </c>
      <c r="AQ311" s="1">
        <f t="shared" si="53"/>
        <v>0</v>
      </c>
      <c r="AR311" s="1" t="s">
        <v>93</v>
      </c>
      <c r="AS311" s="1" t="s">
        <v>96</v>
      </c>
      <c r="AT311" s="1" t="s">
        <v>96</v>
      </c>
      <c r="AU311" s="1" t="str">
        <f t="shared" si="54"/>
        <v/>
      </c>
      <c r="AV311" s="1" t="str">
        <f t="shared" si="55"/>
        <v>12832650Gopal Rajith</v>
      </c>
      <c r="AW311" s="1" t="str">
        <f t="shared" si="56"/>
        <v/>
      </c>
      <c r="AX311" s="1" t="str">
        <f t="shared" si="57"/>
        <v/>
      </c>
      <c r="AY311" s="1" t="s">
        <v>29</v>
      </c>
      <c r="AZ311" s="1" t="b">
        <v>0</v>
      </c>
      <c r="BA311" s="1" t="str">
        <f t="shared" si="58"/>
        <v/>
      </c>
      <c r="BB311" s="1">
        <f t="shared" si="59"/>
        <v>0</v>
      </c>
      <c r="BC311" s="1" t="s">
        <v>99</v>
      </c>
      <c r="BD311" s="1" t="s">
        <v>43</v>
      </c>
      <c r="BE311" s="1" t="s">
        <v>98</v>
      </c>
      <c r="BF311" s="1" t="b">
        <v>0</v>
      </c>
      <c r="BG311" s="1" t="str">
        <f>VLOOKUP(AM311,Group!$C:$H,5,0)</f>
        <v>Top 25</v>
      </c>
      <c r="BH311" s="1" t="str">
        <f>VLOOKUP(P311,others!$C:$G,5,0)</f>
        <v>MTx-India</v>
      </c>
    </row>
    <row r="312" spans="1:60" x14ac:dyDescent="0.25">
      <c r="A312" s="14">
        <v>46107.568865740737</v>
      </c>
      <c r="B312" s="14">
        <v>46107.798032407409</v>
      </c>
      <c r="C312" s="14">
        <v>46111.76090277778</v>
      </c>
      <c r="D312" s="14">
        <v>46111.990069444444</v>
      </c>
      <c r="E312" s="14">
        <v>46111.855844907404</v>
      </c>
      <c r="F312" s="14">
        <v>46111.990069444444</v>
      </c>
      <c r="G312" t="s">
        <v>470</v>
      </c>
      <c r="H312">
        <v>1717</v>
      </c>
      <c r="I312">
        <v>193.2833</v>
      </c>
      <c r="J312" t="s">
        <v>104</v>
      </c>
      <c r="K312">
        <v>12832756</v>
      </c>
      <c r="L312" t="s">
        <v>1279</v>
      </c>
      <c r="M312" t="s">
        <v>116</v>
      </c>
      <c r="N312" t="s">
        <v>88</v>
      </c>
      <c r="O312" t="s">
        <v>1371</v>
      </c>
      <c r="P312" t="s">
        <v>482</v>
      </c>
      <c r="Q312" t="s">
        <v>24</v>
      </c>
      <c r="R312" t="s">
        <v>25</v>
      </c>
      <c r="S312">
        <v>258.22000000000003</v>
      </c>
      <c r="T312">
        <v>100</v>
      </c>
      <c r="U312" t="s">
        <v>100</v>
      </c>
      <c r="V312">
        <v>3</v>
      </c>
      <c r="X312" t="s">
        <v>1251</v>
      </c>
      <c r="AA312">
        <v>1440</v>
      </c>
      <c r="AB312" t="s">
        <v>26</v>
      </c>
      <c r="AC312">
        <v>1644</v>
      </c>
      <c r="AD312" t="s">
        <v>27</v>
      </c>
      <c r="AE312" t="s">
        <v>28</v>
      </c>
      <c r="AF312">
        <v>0</v>
      </c>
      <c r="AK312" s="12">
        <f t="shared" si="48"/>
        <v>46111</v>
      </c>
      <c r="AL312" s="1" t="str">
        <f t="shared" si="49"/>
        <v>Week14</v>
      </c>
      <c r="AM312" s="1" t="s">
        <v>119</v>
      </c>
      <c r="AN312" s="1" t="str">
        <f t="shared" si="50"/>
        <v>Go</v>
      </c>
      <c r="AO312" s="2">
        <f t="shared" si="51"/>
        <v>100</v>
      </c>
      <c r="AP312" s="1">
        <f t="shared" si="52"/>
        <v>0</v>
      </c>
      <c r="AQ312" s="1">
        <f t="shared" si="53"/>
        <v>0</v>
      </c>
      <c r="AR312" s="1" t="s">
        <v>95</v>
      </c>
      <c r="AS312" s="1" t="s">
        <v>93</v>
      </c>
      <c r="AT312" s="1" t="s">
        <v>93</v>
      </c>
      <c r="AU312" s="1" t="str">
        <f t="shared" si="54"/>
        <v>Minor</v>
      </c>
      <c r="AV312" s="1" t="str">
        <f t="shared" si="55"/>
        <v>12832756Chintul Sutaria</v>
      </c>
      <c r="AW312" s="1" t="str">
        <f t="shared" si="56"/>
        <v>Minor</v>
      </c>
      <c r="AX312" s="1">
        <f t="shared" si="57"/>
        <v>0</v>
      </c>
      <c r="AY312" s="1" t="s">
        <v>24</v>
      </c>
      <c r="AZ312" s="1" t="b">
        <v>0</v>
      </c>
      <c r="BA312" s="1">
        <f t="shared" si="58"/>
        <v>1</v>
      </c>
      <c r="BB312" s="1">
        <f t="shared" si="59"/>
        <v>3</v>
      </c>
      <c r="BC312" s="1" t="s">
        <v>482</v>
      </c>
      <c r="BD312" s="1" t="s">
        <v>43</v>
      </c>
      <c r="BE312" s="1" t="s">
        <v>98</v>
      </c>
      <c r="BF312" s="1" t="b">
        <v>0</v>
      </c>
      <c r="BG312" s="1" t="str">
        <f>VLOOKUP(AM312,Group!$C:$H,5,0)</f>
        <v>Top 25</v>
      </c>
      <c r="BH312" s="1" t="str">
        <f>VLOOKUP(P312,others!$C:$G,5,0)</f>
        <v>QA</v>
      </c>
    </row>
    <row r="313" spans="1:60" x14ac:dyDescent="0.25">
      <c r="A313" s="14">
        <v>46108.318414351852</v>
      </c>
      <c r="B313" s="14">
        <v>46108.547581018516</v>
      </c>
      <c r="C313" s="14">
        <v>46111.764189814814</v>
      </c>
      <c r="D313" s="14">
        <v>46111.993356481478</v>
      </c>
      <c r="E313" s="14">
        <v>46111.001979166664</v>
      </c>
      <c r="F313" s="14">
        <v>46111.993356481478</v>
      </c>
      <c r="G313" t="s">
        <v>470</v>
      </c>
      <c r="H313">
        <v>267</v>
      </c>
      <c r="I313">
        <v>1427.5833</v>
      </c>
      <c r="J313" t="s">
        <v>104</v>
      </c>
      <c r="K313">
        <v>12832988</v>
      </c>
      <c r="L313" t="s">
        <v>1378</v>
      </c>
      <c r="M313" t="s">
        <v>106</v>
      </c>
      <c r="N313" t="s">
        <v>97</v>
      </c>
      <c r="O313" t="s">
        <v>455</v>
      </c>
      <c r="P313" t="s">
        <v>99</v>
      </c>
      <c r="Q313" t="s">
        <v>29</v>
      </c>
      <c r="R313" t="s">
        <v>25</v>
      </c>
      <c r="S313">
        <v>26.06</v>
      </c>
      <c r="T313">
        <v>100</v>
      </c>
      <c r="V313">
        <v>0</v>
      </c>
      <c r="X313" t="s">
        <v>1379</v>
      </c>
      <c r="AA313">
        <v>1440</v>
      </c>
      <c r="AB313" t="s">
        <v>26</v>
      </c>
      <c r="AC313">
        <v>108</v>
      </c>
      <c r="AD313" t="s">
        <v>27</v>
      </c>
      <c r="AE313" t="s">
        <v>1356</v>
      </c>
      <c r="AF313">
        <v>1</v>
      </c>
      <c r="AK313" s="12">
        <f t="shared" si="48"/>
        <v>46111</v>
      </c>
      <c r="AL313" s="1" t="str">
        <f t="shared" si="49"/>
        <v>Week14</v>
      </c>
      <c r="AM313" s="1" t="s">
        <v>108</v>
      </c>
      <c r="AN313" s="1" t="str">
        <f t="shared" si="50"/>
        <v>Go</v>
      </c>
      <c r="AO313" s="2">
        <f t="shared" si="51"/>
        <v>100</v>
      </c>
      <c r="AP313" s="1">
        <f t="shared" si="52"/>
        <v>0</v>
      </c>
      <c r="AQ313" s="1">
        <f t="shared" si="53"/>
        <v>0</v>
      </c>
      <c r="AR313" s="1" t="s">
        <v>93</v>
      </c>
      <c r="AS313" s="1" t="s">
        <v>96</v>
      </c>
      <c r="AT313" s="1" t="s">
        <v>96</v>
      </c>
      <c r="AU313" s="1" t="str">
        <f t="shared" si="54"/>
        <v/>
      </c>
      <c r="AV313" s="1" t="str">
        <f t="shared" si="55"/>
        <v>12832988Gopal Rajith</v>
      </c>
      <c r="AW313" s="1" t="str">
        <f t="shared" si="56"/>
        <v/>
      </c>
      <c r="AX313" s="1" t="str">
        <f t="shared" si="57"/>
        <v/>
      </c>
      <c r="AY313" s="1" t="s">
        <v>29</v>
      </c>
      <c r="AZ313" s="1" t="b">
        <v>0</v>
      </c>
      <c r="BA313" s="1" t="str">
        <f t="shared" si="58"/>
        <v/>
      </c>
      <c r="BB313" s="1">
        <f t="shared" si="59"/>
        <v>0</v>
      </c>
      <c r="BC313" s="1" t="s">
        <v>99</v>
      </c>
      <c r="BD313" s="1" t="s">
        <v>43</v>
      </c>
      <c r="BE313" s="1" t="s">
        <v>98</v>
      </c>
      <c r="BF313" s="1" t="b">
        <v>0</v>
      </c>
      <c r="BG313" s="1" t="str">
        <f>VLOOKUP(AM313,Group!$C:$H,5,0)</f>
        <v>Top 25</v>
      </c>
      <c r="BH313" s="1" t="str">
        <f>VLOOKUP(P313,others!$C:$G,5,0)</f>
        <v>MTx-India</v>
      </c>
    </row>
    <row r="314" spans="1:60" x14ac:dyDescent="0.25">
      <c r="A314" s="14">
        <v>46108.319872685184</v>
      </c>
      <c r="B314" s="14">
        <v>46108.549039351848</v>
      </c>
      <c r="C314" s="14">
        <v>46111.765706018516</v>
      </c>
      <c r="D314" s="14">
        <v>46111.994872685187</v>
      </c>
      <c r="E314" s="14">
        <v>46111.00203703704</v>
      </c>
      <c r="F314" s="14">
        <v>46111.994872685187</v>
      </c>
      <c r="G314" t="s">
        <v>470</v>
      </c>
      <c r="H314">
        <v>119</v>
      </c>
      <c r="I314">
        <v>1429.6832999999999</v>
      </c>
      <c r="J314" t="s">
        <v>104</v>
      </c>
      <c r="K314">
        <v>12832989</v>
      </c>
      <c r="L314" t="s">
        <v>1378</v>
      </c>
      <c r="M314" t="s">
        <v>106</v>
      </c>
      <c r="N314" t="s">
        <v>97</v>
      </c>
      <c r="O314" t="s">
        <v>455</v>
      </c>
      <c r="P314" t="s">
        <v>99</v>
      </c>
      <c r="Q314" t="s">
        <v>29</v>
      </c>
      <c r="R314" t="s">
        <v>25</v>
      </c>
      <c r="S314">
        <v>25.17</v>
      </c>
      <c r="T314">
        <v>100</v>
      </c>
      <c r="V314">
        <v>0</v>
      </c>
      <c r="X314" t="s">
        <v>1379</v>
      </c>
      <c r="AA314">
        <v>1440</v>
      </c>
      <c r="AB314" t="s">
        <v>26</v>
      </c>
      <c r="AC314">
        <v>99</v>
      </c>
      <c r="AD314" t="s">
        <v>27</v>
      </c>
      <c r="AE314" t="s">
        <v>1356</v>
      </c>
      <c r="AF314">
        <v>0</v>
      </c>
      <c r="AK314" s="12">
        <f t="shared" si="48"/>
        <v>46111</v>
      </c>
      <c r="AL314" s="1" t="str">
        <f t="shared" si="49"/>
        <v>Week14</v>
      </c>
      <c r="AM314" s="1" t="s">
        <v>108</v>
      </c>
      <c r="AN314" s="1" t="str">
        <f t="shared" si="50"/>
        <v>Go</v>
      </c>
      <c r="AO314" s="2">
        <f t="shared" si="51"/>
        <v>100</v>
      </c>
      <c r="AP314" s="1">
        <f t="shared" si="52"/>
        <v>0</v>
      </c>
      <c r="AQ314" s="1">
        <f t="shared" si="53"/>
        <v>0</v>
      </c>
      <c r="AR314" s="1" t="s">
        <v>93</v>
      </c>
      <c r="AS314" s="1" t="s">
        <v>96</v>
      </c>
      <c r="AT314" s="1" t="s">
        <v>96</v>
      </c>
      <c r="AU314" s="1" t="str">
        <f t="shared" si="54"/>
        <v/>
      </c>
      <c r="AV314" s="1" t="str">
        <f t="shared" si="55"/>
        <v>12832989Gopal Rajith</v>
      </c>
      <c r="AW314" s="1" t="str">
        <f t="shared" si="56"/>
        <v/>
      </c>
      <c r="AX314" s="1" t="str">
        <f t="shared" si="57"/>
        <v/>
      </c>
      <c r="AY314" s="1" t="s">
        <v>29</v>
      </c>
      <c r="AZ314" s="1" t="b">
        <v>0</v>
      </c>
      <c r="BA314" s="1" t="str">
        <f t="shared" si="58"/>
        <v/>
      </c>
      <c r="BB314" s="1">
        <f t="shared" si="59"/>
        <v>0</v>
      </c>
      <c r="BC314" s="1" t="s">
        <v>99</v>
      </c>
      <c r="BD314" s="1" t="s">
        <v>43</v>
      </c>
      <c r="BE314" s="1" t="s">
        <v>98</v>
      </c>
      <c r="BF314" s="1" t="b">
        <v>0</v>
      </c>
      <c r="BG314" s="1" t="str">
        <f>VLOOKUP(AM314,Group!$C:$H,5,0)</f>
        <v>Top 25</v>
      </c>
      <c r="BH314" s="1" t="str">
        <f>VLOOKUP(P314,others!$C:$G,5,0)</f>
        <v>MTx-India</v>
      </c>
    </row>
    <row r="315" spans="1:60" x14ac:dyDescent="0.25">
      <c r="A315" s="14">
        <v>46106.340289351851</v>
      </c>
      <c r="B315" s="14">
        <v>46106.569456018522</v>
      </c>
      <c r="C315" s="14">
        <v>46111.770231481481</v>
      </c>
      <c r="D315" s="14">
        <v>46111.999398148146</v>
      </c>
      <c r="E315" s="14">
        <v>46111.001712962963</v>
      </c>
      <c r="F315" s="14">
        <v>46111.999398148146</v>
      </c>
      <c r="G315" t="s">
        <v>470</v>
      </c>
      <c r="H315">
        <v>1810</v>
      </c>
      <c r="I315">
        <v>1436.6667</v>
      </c>
      <c r="J315" t="s">
        <v>104</v>
      </c>
      <c r="K315">
        <v>12832252</v>
      </c>
      <c r="L315" t="s">
        <v>1273</v>
      </c>
      <c r="M315" t="s">
        <v>163</v>
      </c>
      <c r="N315" t="s">
        <v>88</v>
      </c>
      <c r="O315" t="s">
        <v>455</v>
      </c>
      <c r="P315" t="s">
        <v>99</v>
      </c>
      <c r="Q315" t="s">
        <v>29</v>
      </c>
      <c r="R315" t="s">
        <v>25</v>
      </c>
      <c r="S315">
        <v>74.28</v>
      </c>
      <c r="T315">
        <v>100</v>
      </c>
      <c r="U315" t="s">
        <v>100</v>
      </c>
      <c r="V315">
        <v>1</v>
      </c>
      <c r="X315" t="s">
        <v>1274</v>
      </c>
      <c r="AA315">
        <v>1440</v>
      </c>
      <c r="AB315" t="s">
        <v>26</v>
      </c>
      <c r="AC315">
        <v>225</v>
      </c>
      <c r="AD315" t="s">
        <v>27</v>
      </c>
      <c r="AE315" t="s">
        <v>28</v>
      </c>
      <c r="AF315">
        <v>0</v>
      </c>
      <c r="AK315" s="12">
        <f t="shared" si="48"/>
        <v>46111</v>
      </c>
      <c r="AL315" s="1" t="str">
        <f t="shared" si="49"/>
        <v>Week14</v>
      </c>
      <c r="AM315" s="1" t="s">
        <v>169</v>
      </c>
      <c r="AN315" s="1" t="str">
        <f t="shared" si="50"/>
        <v>Go</v>
      </c>
      <c r="AO315" s="2">
        <f t="shared" si="51"/>
        <v>100</v>
      </c>
      <c r="AP315" s="1">
        <f t="shared" si="52"/>
        <v>0</v>
      </c>
      <c r="AQ315" s="1">
        <f t="shared" si="53"/>
        <v>0</v>
      </c>
      <c r="AR315" s="1" t="s">
        <v>96</v>
      </c>
      <c r="AS315" s="1" t="s">
        <v>96</v>
      </c>
      <c r="AT315" s="1" t="s">
        <v>96</v>
      </c>
      <c r="AU315" s="1" t="str">
        <f t="shared" si="54"/>
        <v>Minor</v>
      </c>
      <c r="AV315" s="1" t="str">
        <f t="shared" si="55"/>
        <v>12832252Gopal Rajith</v>
      </c>
      <c r="AW315" s="1" t="str">
        <f t="shared" si="56"/>
        <v>Minor</v>
      </c>
      <c r="AX315" s="1">
        <f t="shared" si="57"/>
        <v>0</v>
      </c>
      <c r="AY315" s="1" t="s">
        <v>29</v>
      </c>
      <c r="AZ315" s="1" t="b">
        <v>0</v>
      </c>
      <c r="BA315" s="1">
        <f t="shared" si="58"/>
        <v>1</v>
      </c>
      <c r="BB315" s="1">
        <f t="shared" si="59"/>
        <v>1</v>
      </c>
      <c r="BC315" s="1" t="s">
        <v>99</v>
      </c>
      <c r="BD315" s="1" t="s">
        <v>43</v>
      </c>
      <c r="BE315" s="1" t="s">
        <v>98</v>
      </c>
      <c r="BF315" s="1" t="b">
        <v>0</v>
      </c>
      <c r="BG315" s="1" t="str">
        <f>VLOOKUP(AM315,Group!$C:$H,5,0)</f>
        <v>Fundamental</v>
      </c>
      <c r="BH315" s="1" t="str">
        <f>VLOOKUP(P315,others!$C:$G,5,0)</f>
        <v>MTx-India</v>
      </c>
    </row>
    <row r="316" spans="1:60" x14ac:dyDescent="0.25">
      <c r="A316" s="14">
        <v>46106.665856481479</v>
      </c>
      <c r="B316" s="14">
        <v>46106.89502314815</v>
      </c>
      <c r="C316" s="14">
        <v>46111.776296296295</v>
      </c>
      <c r="D316" s="14">
        <v>46112.005462962959</v>
      </c>
      <c r="E316" s="14">
        <v>46111.001782407409</v>
      </c>
      <c r="F316" s="14">
        <v>46112.005462962959</v>
      </c>
      <c r="G316" t="s">
        <v>470</v>
      </c>
      <c r="H316">
        <v>2895</v>
      </c>
      <c r="I316">
        <v>1445.3</v>
      </c>
      <c r="J316" t="s">
        <v>104</v>
      </c>
      <c r="K316">
        <v>12832478</v>
      </c>
      <c r="L316" t="s">
        <v>1399</v>
      </c>
      <c r="M316" t="s">
        <v>101</v>
      </c>
      <c r="N316" t="s">
        <v>88</v>
      </c>
      <c r="O316" t="s">
        <v>1371</v>
      </c>
      <c r="P316" t="s">
        <v>482</v>
      </c>
      <c r="Q316" t="s">
        <v>24</v>
      </c>
      <c r="R316" t="s">
        <v>25</v>
      </c>
      <c r="S316">
        <v>29.32</v>
      </c>
      <c r="T316">
        <v>99</v>
      </c>
      <c r="U316" t="s">
        <v>471</v>
      </c>
      <c r="V316">
        <v>1</v>
      </c>
      <c r="X316" t="s">
        <v>469</v>
      </c>
      <c r="AA316">
        <v>1440</v>
      </c>
      <c r="AB316" t="s">
        <v>26</v>
      </c>
      <c r="AC316">
        <v>123</v>
      </c>
      <c r="AD316" t="s">
        <v>27</v>
      </c>
      <c r="AE316" t="s">
        <v>28</v>
      </c>
      <c r="AF316">
        <v>4</v>
      </c>
      <c r="AK316" s="12">
        <f t="shared" si="48"/>
        <v>46112</v>
      </c>
      <c r="AL316" s="1" t="str">
        <f t="shared" si="49"/>
        <v>Week14</v>
      </c>
      <c r="AM316" s="1" t="s">
        <v>102</v>
      </c>
      <c r="AN316" s="1" t="str">
        <f t="shared" si="50"/>
        <v>NoGo</v>
      </c>
      <c r="AO316" s="2">
        <f t="shared" si="51"/>
        <v>96.589358799454303</v>
      </c>
      <c r="AP316" s="1">
        <f t="shared" si="52"/>
        <v>1</v>
      </c>
      <c r="AQ316" s="1">
        <f t="shared" si="53"/>
        <v>1</v>
      </c>
      <c r="AR316" s="1" t="s">
        <v>95</v>
      </c>
      <c r="AS316" s="1" t="s">
        <v>93</v>
      </c>
      <c r="AT316" s="1" t="s">
        <v>93</v>
      </c>
      <c r="AU316" s="1" t="str">
        <f t="shared" si="54"/>
        <v>Major</v>
      </c>
      <c r="AV316" s="1" t="str">
        <f t="shared" si="55"/>
        <v>12832478Chintul Sutaria</v>
      </c>
      <c r="AW316" s="1" t="str">
        <f t="shared" si="56"/>
        <v>Major</v>
      </c>
      <c r="AX316" s="1">
        <f t="shared" si="57"/>
        <v>1</v>
      </c>
      <c r="AY316" s="1" t="s">
        <v>24</v>
      </c>
      <c r="AZ316" s="1" t="b">
        <v>1</v>
      </c>
      <c r="BA316" s="1">
        <f t="shared" si="58"/>
        <v>1</v>
      </c>
      <c r="BB316" s="1">
        <f t="shared" si="59"/>
        <v>1</v>
      </c>
      <c r="BC316" s="1" t="s">
        <v>468</v>
      </c>
      <c r="BD316" s="1" t="s">
        <v>1269</v>
      </c>
      <c r="BE316" s="1" t="s">
        <v>98</v>
      </c>
      <c r="BF316" s="1" t="b">
        <v>1</v>
      </c>
      <c r="BG316" s="1" t="str">
        <f>VLOOKUP(AM316,Group!$C:$H,5,0)</f>
        <v>Top 25</v>
      </c>
      <c r="BH316" s="1" t="str">
        <f>VLOOKUP(P316,others!$C:$G,5,0)</f>
        <v>QA</v>
      </c>
    </row>
    <row r="317" spans="1:60" x14ac:dyDescent="0.25">
      <c r="A317" s="14">
        <v>46106.665856481479</v>
      </c>
      <c r="B317" s="14">
        <v>46106.89502314815</v>
      </c>
      <c r="C317" s="14">
        <v>46111.776296296295</v>
      </c>
      <c r="D317" s="14">
        <v>46112.005462962959</v>
      </c>
      <c r="E317" s="14">
        <v>46111.001782407409</v>
      </c>
      <c r="F317" s="14">
        <v>46112.005462962959</v>
      </c>
      <c r="G317" t="s">
        <v>470</v>
      </c>
      <c r="H317">
        <v>2895</v>
      </c>
      <c r="I317">
        <v>1445.3</v>
      </c>
      <c r="J317" t="s">
        <v>104</v>
      </c>
      <c r="K317">
        <v>12832478</v>
      </c>
      <c r="L317" t="s">
        <v>1399</v>
      </c>
      <c r="M317" t="s">
        <v>101</v>
      </c>
      <c r="N317" t="s">
        <v>88</v>
      </c>
      <c r="O317" t="s">
        <v>1371</v>
      </c>
      <c r="P317" t="s">
        <v>482</v>
      </c>
      <c r="Q317" t="s">
        <v>24</v>
      </c>
      <c r="R317" t="s">
        <v>25</v>
      </c>
      <c r="S317">
        <v>29.32</v>
      </c>
      <c r="T317">
        <v>99</v>
      </c>
      <c r="U317" t="s">
        <v>100</v>
      </c>
      <c r="V317">
        <v>1</v>
      </c>
      <c r="X317" t="s">
        <v>469</v>
      </c>
      <c r="AA317">
        <v>1440</v>
      </c>
      <c r="AB317" t="s">
        <v>26</v>
      </c>
      <c r="AC317">
        <v>123</v>
      </c>
      <c r="AD317" t="s">
        <v>27</v>
      </c>
      <c r="AE317" t="s">
        <v>28</v>
      </c>
      <c r="AF317">
        <v>4</v>
      </c>
      <c r="AK317" s="12">
        <f t="shared" si="48"/>
        <v>46112</v>
      </c>
      <c r="AL317" s="1" t="str">
        <f t="shared" si="49"/>
        <v>Week14</v>
      </c>
      <c r="AM317" s="1" t="s">
        <v>102</v>
      </c>
      <c r="AN317" s="1" t="str">
        <f t="shared" si="50"/>
        <v>NoGo</v>
      </c>
      <c r="AO317" s="2">
        <f t="shared" si="51"/>
        <v>96.589358799454303</v>
      </c>
      <c r="AP317" s="1">
        <f t="shared" si="52"/>
        <v>0</v>
      </c>
      <c r="AQ317" s="1">
        <f t="shared" si="53"/>
        <v>1</v>
      </c>
      <c r="AR317" s="1" t="s">
        <v>95</v>
      </c>
      <c r="AS317" s="1" t="s">
        <v>93</v>
      </c>
      <c r="AT317" s="1" t="s">
        <v>93</v>
      </c>
      <c r="AU317" s="1" t="str">
        <f t="shared" si="54"/>
        <v>Minor</v>
      </c>
      <c r="AV317" s="1" t="str">
        <f t="shared" si="55"/>
        <v>12832478Chintul Sutaria</v>
      </c>
      <c r="AW317" s="1" t="str">
        <f t="shared" si="56"/>
        <v>Minor</v>
      </c>
      <c r="AX317" s="1">
        <f t="shared" si="57"/>
        <v>0</v>
      </c>
      <c r="AY317" s="1" t="s">
        <v>24</v>
      </c>
      <c r="AZ317" s="1" t="b">
        <v>0</v>
      </c>
      <c r="BA317" s="1">
        <f t="shared" si="58"/>
        <v>1</v>
      </c>
      <c r="BB317" s="1">
        <f t="shared" si="59"/>
        <v>1</v>
      </c>
      <c r="BC317" s="1" t="s">
        <v>468</v>
      </c>
      <c r="BD317" s="1" t="s">
        <v>1269</v>
      </c>
      <c r="BE317" s="1" t="s">
        <v>98</v>
      </c>
      <c r="BF317" s="1" t="b">
        <v>0</v>
      </c>
      <c r="BG317" s="1" t="str">
        <f>VLOOKUP(AM317,Group!$C:$H,5,0)</f>
        <v>Top 25</v>
      </c>
      <c r="BH317" s="1" t="str">
        <f>VLOOKUP(P317,others!$C:$G,5,0)</f>
        <v>QA</v>
      </c>
    </row>
    <row r="318" spans="1:60" x14ac:dyDescent="0.25">
      <c r="A318" s="14">
        <v>46108.969733796293</v>
      </c>
      <c r="B318" s="14">
        <v>46109.198900462965</v>
      </c>
      <c r="C318" s="14">
        <v>46112.459479166668</v>
      </c>
      <c r="D318" s="14">
        <v>46112.688645833332</v>
      </c>
      <c r="E318" s="14">
        <v>46111.855636574073</v>
      </c>
      <c r="F318" s="14">
        <v>46112.688645833332</v>
      </c>
      <c r="G318" t="s">
        <v>470</v>
      </c>
      <c r="H318">
        <v>1530</v>
      </c>
      <c r="I318">
        <v>1199.5333000000001</v>
      </c>
      <c r="J318" t="s">
        <v>104</v>
      </c>
      <c r="K318">
        <v>12833275</v>
      </c>
      <c r="L318" t="s">
        <v>1400</v>
      </c>
      <c r="M318" t="s">
        <v>176</v>
      </c>
      <c r="N318" t="s">
        <v>88</v>
      </c>
      <c r="O318" t="s">
        <v>1371</v>
      </c>
      <c r="P318" t="s">
        <v>482</v>
      </c>
      <c r="Q318" t="s">
        <v>24</v>
      </c>
      <c r="R318" t="s">
        <v>25</v>
      </c>
      <c r="S318">
        <v>57.98</v>
      </c>
      <c r="T318">
        <v>100</v>
      </c>
      <c r="U318" t="s">
        <v>100</v>
      </c>
      <c r="V318">
        <v>5</v>
      </c>
      <c r="X318" t="s">
        <v>1401</v>
      </c>
      <c r="AA318">
        <v>1440</v>
      </c>
      <c r="AB318" t="s">
        <v>26</v>
      </c>
      <c r="AC318">
        <v>982</v>
      </c>
      <c r="AD318" t="s">
        <v>27</v>
      </c>
      <c r="AE318" t="s">
        <v>28</v>
      </c>
      <c r="AF318">
        <v>0</v>
      </c>
      <c r="AK318" s="12">
        <f t="shared" si="48"/>
        <v>46112</v>
      </c>
      <c r="AL318" s="1" t="str">
        <f t="shared" si="49"/>
        <v>Week14</v>
      </c>
      <c r="AM318" s="1" t="s">
        <v>191</v>
      </c>
      <c r="AN318" s="1" t="str">
        <f t="shared" si="50"/>
        <v>Go</v>
      </c>
      <c r="AO318" s="2">
        <f t="shared" si="51"/>
        <v>100</v>
      </c>
      <c r="AP318" s="1">
        <f t="shared" si="52"/>
        <v>0</v>
      </c>
      <c r="AQ318" s="1">
        <f t="shared" si="53"/>
        <v>0</v>
      </c>
      <c r="AR318" s="1" t="s">
        <v>95</v>
      </c>
      <c r="AS318" s="1" t="s">
        <v>93</v>
      </c>
      <c r="AT318" s="1" t="s">
        <v>95</v>
      </c>
      <c r="AU318" s="1" t="str">
        <f t="shared" si="54"/>
        <v>Minor</v>
      </c>
      <c r="AV318" s="1" t="str">
        <f t="shared" si="55"/>
        <v>12833275Chintul Sutaria</v>
      </c>
      <c r="AW318" s="1" t="str">
        <f t="shared" si="56"/>
        <v>Minor</v>
      </c>
      <c r="AX318" s="1">
        <f t="shared" si="57"/>
        <v>0</v>
      </c>
      <c r="AY318" s="1" t="s">
        <v>24</v>
      </c>
      <c r="AZ318" s="1" t="b">
        <v>0</v>
      </c>
      <c r="BA318" s="1">
        <f t="shared" si="58"/>
        <v>1</v>
      </c>
      <c r="BB318" s="1">
        <f t="shared" si="59"/>
        <v>5</v>
      </c>
      <c r="BC318" s="1" t="s">
        <v>127</v>
      </c>
      <c r="BD318" s="1" t="s">
        <v>1269</v>
      </c>
      <c r="BE318" s="1" t="s">
        <v>98</v>
      </c>
      <c r="BF318" s="1" t="b">
        <v>0</v>
      </c>
      <c r="BG318" s="1" t="str">
        <f>VLOOKUP(AM318,Group!$C:$H,5,0)</f>
        <v>Others</v>
      </c>
      <c r="BH318" s="1" t="str">
        <f>VLOOKUP(P318,others!$C:$G,5,0)</f>
        <v>QA</v>
      </c>
    </row>
    <row r="319" spans="1:60" x14ac:dyDescent="0.25">
      <c r="A319" s="14">
        <v>46104.727685185186</v>
      </c>
      <c r="B319" s="14">
        <v>46104.95685185185</v>
      </c>
      <c r="C319" s="14">
        <v>46112.479409722226</v>
      </c>
      <c r="D319" s="14">
        <v>46112.70857638889</v>
      </c>
      <c r="E319" s="14">
        <v>46111.855069444442</v>
      </c>
      <c r="F319" s="14">
        <v>46112.70857638889</v>
      </c>
      <c r="G319" t="s">
        <v>470</v>
      </c>
      <c r="H319">
        <v>1643</v>
      </c>
      <c r="I319">
        <v>1229.05</v>
      </c>
      <c r="J319" t="s">
        <v>104</v>
      </c>
      <c r="K319">
        <v>12831673</v>
      </c>
      <c r="L319" t="s">
        <v>1402</v>
      </c>
      <c r="M319" t="s">
        <v>116</v>
      </c>
      <c r="N319" t="s">
        <v>88</v>
      </c>
      <c r="O319" t="s">
        <v>1371</v>
      </c>
      <c r="P319" t="s">
        <v>482</v>
      </c>
      <c r="Q319" t="s">
        <v>24</v>
      </c>
      <c r="R319" t="s">
        <v>25</v>
      </c>
      <c r="S319">
        <v>113.34</v>
      </c>
      <c r="T319">
        <v>99</v>
      </c>
      <c r="U319" t="s">
        <v>472</v>
      </c>
      <c r="V319">
        <v>1</v>
      </c>
      <c r="X319" t="s">
        <v>1251</v>
      </c>
      <c r="AA319">
        <v>1440</v>
      </c>
      <c r="AB319" t="s">
        <v>26</v>
      </c>
      <c r="AC319">
        <v>1240</v>
      </c>
      <c r="AD319" t="s">
        <v>27</v>
      </c>
      <c r="AE319" t="s">
        <v>28</v>
      </c>
      <c r="AF319">
        <v>0</v>
      </c>
      <c r="AK319" s="12">
        <f t="shared" si="48"/>
        <v>46112</v>
      </c>
      <c r="AL319" s="1" t="str">
        <f t="shared" si="49"/>
        <v>Week14</v>
      </c>
      <c r="AM319" s="1" t="s">
        <v>119</v>
      </c>
      <c r="AN319" s="1" t="str">
        <f t="shared" si="50"/>
        <v>Go</v>
      </c>
      <c r="AO319" s="2">
        <f t="shared" si="51"/>
        <v>99.117698958884773</v>
      </c>
      <c r="AP319" s="1">
        <f t="shared" si="52"/>
        <v>1</v>
      </c>
      <c r="AQ319" s="1">
        <f t="shared" si="53"/>
        <v>1</v>
      </c>
      <c r="AR319" s="1" t="s">
        <v>95</v>
      </c>
      <c r="AS319" s="1" t="s">
        <v>93</v>
      </c>
      <c r="AT319" s="1" t="s">
        <v>93</v>
      </c>
      <c r="AU319" s="1" t="str">
        <f t="shared" si="54"/>
        <v>Major</v>
      </c>
      <c r="AV319" s="1" t="str">
        <f t="shared" si="55"/>
        <v>12831673Chintul Sutaria</v>
      </c>
      <c r="AW319" s="1" t="str">
        <f t="shared" si="56"/>
        <v>Major</v>
      </c>
      <c r="AX319" s="1">
        <f t="shared" si="57"/>
        <v>1</v>
      </c>
      <c r="AY319" s="1" t="s">
        <v>24</v>
      </c>
      <c r="AZ319" s="1" t="b">
        <v>1</v>
      </c>
      <c r="BA319" s="1">
        <f t="shared" si="58"/>
        <v>1</v>
      </c>
      <c r="BB319" s="1">
        <f t="shared" si="59"/>
        <v>1</v>
      </c>
      <c r="BC319" s="1" t="s">
        <v>482</v>
      </c>
      <c r="BD319" s="1" t="s">
        <v>43</v>
      </c>
      <c r="BE319" s="1" t="s">
        <v>98</v>
      </c>
      <c r="BF319" s="1" t="b">
        <v>1</v>
      </c>
      <c r="BG319" s="1" t="str">
        <f>VLOOKUP(AM319,Group!$C:$H,5,0)</f>
        <v>Top 25</v>
      </c>
      <c r="BH319" s="1" t="str">
        <f>VLOOKUP(P319,others!$C:$G,5,0)</f>
        <v>QA</v>
      </c>
    </row>
    <row r="320" spans="1:60" x14ac:dyDescent="0.25">
      <c r="A320" s="14">
        <v>46104.727685185186</v>
      </c>
      <c r="B320" s="14">
        <v>46104.95685185185</v>
      </c>
      <c r="C320" s="14">
        <v>46112.479409722226</v>
      </c>
      <c r="D320" s="14">
        <v>46112.70857638889</v>
      </c>
      <c r="E320" s="14">
        <v>46111.855069444442</v>
      </c>
      <c r="F320" s="14">
        <v>46112.70857638889</v>
      </c>
      <c r="G320" t="s">
        <v>470</v>
      </c>
      <c r="H320">
        <v>1643</v>
      </c>
      <c r="I320">
        <v>1229.05</v>
      </c>
      <c r="J320" t="s">
        <v>104</v>
      </c>
      <c r="K320">
        <v>12831673</v>
      </c>
      <c r="L320" t="s">
        <v>1402</v>
      </c>
      <c r="M320" t="s">
        <v>116</v>
      </c>
      <c r="N320" t="s">
        <v>88</v>
      </c>
      <c r="O320" t="s">
        <v>1371</v>
      </c>
      <c r="P320" t="s">
        <v>482</v>
      </c>
      <c r="Q320" t="s">
        <v>24</v>
      </c>
      <c r="R320" t="s">
        <v>25</v>
      </c>
      <c r="S320">
        <v>113.34</v>
      </c>
      <c r="T320">
        <v>99</v>
      </c>
      <c r="U320" t="s">
        <v>100</v>
      </c>
      <c r="V320">
        <v>5</v>
      </c>
      <c r="X320" t="s">
        <v>1251</v>
      </c>
      <c r="AA320">
        <v>1440</v>
      </c>
      <c r="AB320" t="s">
        <v>26</v>
      </c>
      <c r="AC320">
        <v>1240</v>
      </c>
      <c r="AD320" t="s">
        <v>27</v>
      </c>
      <c r="AE320" t="s">
        <v>28</v>
      </c>
      <c r="AF320">
        <v>0</v>
      </c>
      <c r="AK320" s="12">
        <f t="shared" si="48"/>
        <v>46112</v>
      </c>
      <c r="AL320" s="1" t="str">
        <f t="shared" si="49"/>
        <v>Week14</v>
      </c>
      <c r="AM320" s="1" t="s">
        <v>119</v>
      </c>
      <c r="AN320" s="1" t="str">
        <f t="shared" si="50"/>
        <v>Go</v>
      </c>
      <c r="AO320" s="2">
        <f t="shared" si="51"/>
        <v>99.117698958884773</v>
      </c>
      <c r="AP320" s="1">
        <f t="shared" si="52"/>
        <v>0</v>
      </c>
      <c r="AQ320" s="1">
        <f t="shared" si="53"/>
        <v>1</v>
      </c>
      <c r="AR320" s="1" t="s">
        <v>95</v>
      </c>
      <c r="AS320" s="1" t="s">
        <v>93</v>
      </c>
      <c r="AT320" s="1" t="s">
        <v>93</v>
      </c>
      <c r="AU320" s="1" t="str">
        <f t="shared" si="54"/>
        <v>Minor</v>
      </c>
      <c r="AV320" s="1" t="str">
        <f t="shared" si="55"/>
        <v>12831673Chintul Sutaria</v>
      </c>
      <c r="AW320" s="1" t="str">
        <f t="shared" si="56"/>
        <v>Minor</v>
      </c>
      <c r="AX320" s="1">
        <f t="shared" si="57"/>
        <v>0</v>
      </c>
      <c r="AY320" s="1" t="s">
        <v>24</v>
      </c>
      <c r="AZ320" s="1" t="b">
        <v>0</v>
      </c>
      <c r="BA320" s="1">
        <f t="shared" si="58"/>
        <v>1</v>
      </c>
      <c r="BB320" s="1">
        <f t="shared" si="59"/>
        <v>5</v>
      </c>
      <c r="BC320" s="1" t="s">
        <v>482</v>
      </c>
      <c r="BD320" s="1" t="s">
        <v>43</v>
      </c>
      <c r="BE320" s="1" t="s">
        <v>98</v>
      </c>
      <c r="BF320" s="1" t="b">
        <v>0</v>
      </c>
      <c r="BG320" s="1" t="str">
        <f>VLOOKUP(AM320,Group!$C:$H,5,0)</f>
        <v>Top 25</v>
      </c>
      <c r="BH320" s="1" t="str">
        <f>VLOOKUP(P320,others!$C:$G,5,0)</f>
        <v>QA</v>
      </c>
    </row>
    <row r="321" spans="1:60" x14ac:dyDescent="0.25">
      <c r="A321" s="14">
        <v>46107.540393518517</v>
      </c>
      <c r="B321" s="14">
        <v>46107.769560185188</v>
      </c>
      <c r="C321" s="14">
        <v>46112.522326388891</v>
      </c>
      <c r="D321" s="14">
        <v>46112.751493055555</v>
      </c>
      <c r="E321" s="14">
        <v>46112.689143518517</v>
      </c>
      <c r="F321" s="14">
        <v>46112.751493055555</v>
      </c>
      <c r="G321" t="s">
        <v>470</v>
      </c>
      <c r="H321">
        <v>409</v>
      </c>
      <c r="I321">
        <v>89.783299999999997</v>
      </c>
      <c r="J321" t="s">
        <v>104</v>
      </c>
      <c r="K321">
        <v>12832718</v>
      </c>
      <c r="L321" t="s">
        <v>1403</v>
      </c>
      <c r="M321" t="s">
        <v>106</v>
      </c>
      <c r="N321" t="s">
        <v>97</v>
      </c>
      <c r="O321" t="s">
        <v>455</v>
      </c>
      <c r="P321" t="s">
        <v>99</v>
      </c>
      <c r="Q321" t="s">
        <v>29</v>
      </c>
      <c r="R321" t="s">
        <v>25</v>
      </c>
      <c r="S321">
        <v>10.85</v>
      </c>
      <c r="T321">
        <v>100</v>
      </c>
      <c r="U321" t="s">
        <v>100</v>
      </c>
      <c r="V321">
        <v>1</v>
      </c>
      <c r="X321" t="s">
        <v>1404</v>
      </c>
      <c r="AA321">
        <v>360</v>
      </c>
      <c r="AB321" t="s">
        <v>26</v>
      </c>
      <c r="AC321">
        <v>30</v>
      </c>
      <c r="AD321" t="s">
        <v>27</v>
      </c>
      <c r="AE321" t="s">
        <v>28</v>
      </c>
      <c r="AF321">
        <v>1</v>
      </c>
      <c r="AK321" s="12">
        <f t="shared" si="48"/>
        <v>46112</v>
      </c>
      <c r="AL321" s="1" t="str">
        <f t="shared" si="49"/>
        <v>Week14</v>
      </c>
      <c r="AM321" s="1" t="s">
        <v>108</v>
      </c>
      <c r="AN321" s="1" t="str">
        <f t="shared" si="50"/>
        <v>Go</v>
      </c>
      <c r="AO321" s="2">
        <f t="shared" si="51"/>
        <v>100</v>
      </c>
      <c r="AP321" s="1">
        <f t="shared" si="52"/>
        <v>0</v>
      </c>
      <c r="AQ321" s="1">
        <f t="shared" si="53"/>
        <v>0</v>
      </c>
      <c r="AR321" s="1" t="s">
        <v>93</v>
      </c>
      <c r="AS321" s="1" t="s">
        <v>96</v>
      </c>
      <c r="AT321" s="1" t="s">
        <v>96</v>
      </c>
      <c r="AU321" s="1" t="str">
        <f t="shared" si="54"/>
        <v>Minor</v>
      </c>
      <c r="AV321" s="1" t="str">
        <f t="shared" si="55"/>
        <v>12832718Gopal Rajith</v>
      </c>
      <c r="AW321" s="1" t="str">
        <f t="shared" si="56"/>
        <v>Minor</v>
      </c>
      <c r="AX321" s="1">
        <f t="shared" si="57"/>
        <v>0</v>
      </c>
      <c r="AY321" s="1" t="s">
        <v>29</v>
      </c>
      <c r="AZ321" s="1" t="b">
        <v>0</v>
      </c>
      <c r="BA321" s="1">
        <f t="shared" si="58"/>
        <v>1</v>
      </c>
      <c r="BB321" s="1">
        <f t="shared" si="59"/>
        <v>1</v>
      </c>
      <c r="BC321" s="1" t="s">
        <v>99</v>
      </c>
      <c r="BD321" s="1" t="s">
        <v>43</v>
      </c>
      <c r="BE321" s="1" t="s">
        <v>98</v>
      </c>
      <c r="BF321" s="1" t="b">
        <v>0</v>
      </c>
      <c r="BG321" s="1" t="str">
        <f>VLOOKUP(AM321,Group!$C:$H,5,0)</f>
        <v>Top 25</v>
      </c>
      <c r="BH321" s="1" t="str">
        <f>VLOOKUP(P321,others!$C:$G,5,0)</f>
        <v>MTx-India</v>
      </c>
    </row>
    <row r="322" spans="1:60" x14ac:dyDescent="0.25">
      <c r="A322" s="14">
        <v>46107.539398148147</v>
      </c>
      <c r="B322" s="14">
        <v>46107.768564814818</v>
      </c>
      <c r="C322" s="14">
        <v>46112.523229166669</v>
      </c>
      <c r="D322" s="14">
        <v>46112.752395833333</v>
      </c>
      <c r="E322" s="14">
        <v>46112.689074074071</v>
      </c>
      <c r="F322" s="14">
        <v>46112.752395833333</v>
      </c>
      <c r="G322" t="s">
        <v>470</v>
      </c>
      <c r="H322">
        <v>64</v>
      </c>
      <c r="I322">
        <v>91.183300000000003</v>
      </c>
      <c r="J322" t="s">
        <v>104</v>
      </c>
      <c r="K322">
        <v>12832722</v>
      </c>
      <c r="L322" t="s">
        <v>1403</v>
      </c>
      <c r="M322" t="s">
        <v>106</v>
      </c>
      <c r="N322" t="s">
        <v>97</v>
      </c>
      <c r="O322" t="s">
        <v>455</v>
      </c>
      <c r="P322" t="s">
        <v>99</v>
      </c>
      <c r="Q322" t="s">
        <v>29</v>
      </c>
      <c r="R322" t="s">
        <v>25</v>
      </c>
      <c r="S322">
        <v>11.68</v>
      </c>
      <c r="T322">
        <v>100</v>
      </c>
      <c r="V322">
        <v>0</v>
      </c>
      <c r="X322" t="s">
        <v>1404</v>
      </c>
      <c r="AA322">
        <v>360</v>
      </c>
      <c r="AB322" t="s">
        <v>26</v>
      </c>
      <c r="AC322">
        <v>37</v>
      </c>
      <c r="AD322" t="s">
        <v>27</v>
      </c>
      <c r="AE322" t="s">
        <v>28</v>
      </c>
      <c r="AF322">
        <v>1</v>
      </c>
      <c r="AK322" s="12">
        <f t="shared" ref="AK322:AK333" si="60">INT(D322)</f>
        <v>46112</v>
      </c>
      <c r="AL322" s="1" t="str">
        <f t="shared" ref="AL322:AL333" si="61">"Week"&amp;WEEKNUM(D322)</f>
        <v>Week14</v>
      </c>
      <c r="AM322" s="1" t="s">
        <v>108</v>
      </c>
      <c r="AN322" s="1" t="str">
        <f t="shared" ref="AN322:AN333" si="62">IF(AO322&gt;98.5,"Go","NoGo")</f>
        <v>Go</v>
      </c>
      <c r="AO322" s="2">
        <f t="shared" ref="AO322:AO333" si="63">100-(AQ322/S322*100)</f>
        <v>100</v>
      </c>
      <c r="AP322" s="1">
        <f t="shared" ref="AP322:AP333" si="64">IFERROR(AX322*V322,0)</f>
        <v>0</v>
      </c>
      <c r="AQ322" s="1">
        <f t="shared" ref="AQ322:AQ333" si="65">100-T322</f>
        <v>0</v>
      </c>
      <c r="AR322" s="1" t="s">
        <v>93</v>
      </c>
      <c r="AS322" s="1" t="s">
        <v>96</v>
      </c>
      <c r="AT322" s="1" t="s">
        <v>96</v>
      </c>
      <c r="AU322" s="1" t="str">
        <f t="shared" ref="AU322:AU333" si="66">IF(AX322="","",IF(AX322=1,"Major",IF(AX322=3,"Critical",IF(AX322=0,"Minor",""))))</f>
        <v/>
      </c>
      <c r="AV322" s="1" t="str">
        <f t="shared" ref="AV322:AV333" si="67">K322&amp;P322</f>
        <v>12832722Gopal Rajith</v>
      </c>
      <c r="AW322" s="1" t="str">
        <f t="shared" ref="AW322:AW333" si="68">IF(U322="","",LEFT(U322,FIND("-",U322,1)-1))</f>
        <v/>
      </c>
      <c r="AX322" s="1" t="str">
        <f t="shared" ref="AX322:AX333" si="69">IF(AW322="Minor",0,IF(AW322="Major",1,IF(AW322="Critical",3,"")))</f>
        <v/>
      </c>
      <c r="AY322" s="1" t="s">
        <v>29</v>
      </c>
      <c r="AZ322" s="1" t="b">
        <v>0</v>
      </c>
      <c r="BA322" s="1" t="str">
        <f t="shared" ref="BA322:BA333" si="70">IF(U322="","",COUNTIF(U322,U322:U322))</f>
        <v/>
      </c>
      <c r="BB322" s="1">
        <f t="shared" ref="BB322:BB333" si="71">V322</f>
        <v>0</v>
      </c>
      <c r="BC322" s="1" t="s">
        <v>99</v>
      </c>
      <c r="BD322" s="1" t="s">
        <v>43</v>
      </c>
      <c r="BE322" s="1" t="s">
        <v>98</v>
      </c>
      <c r="BF322" s="1" t="b">
        <v>0</v>
      </c>
      <c r="BG322" s="1" t="str">
        <f>VLOOKUP(AM322,Group!$C:$H,5,0)</f>
        <v>Top 25</v>
      </c>
      <c r="BH322" s="1" t="str">
        <f>VLOOKUP(P322,others!$C:$G,5,0)</f>
        <v>MTx-India</v>
      </c>
    </row>
    <row r="323" spans="1:60" x14ac:dyDescent="0.25">
      <c r="A323" s="14">
        <v>46107.541620370372</v>
      </c>
      <c r="B323" s="14">
        <v>46107.770787037036</v>
      </c>
      <c r="C323" s="14">
        <v>46112.524629629632</v>
      </c>
      <c r="D323" s="14">
        <v>46112.753796296296</v>
      </c>
      <c r="E323" s="14">
        <v>46112.689201388886</v>
      </c>
      <c r="F323" s="14">
        <v>46112.753796296296</v>
      </c>
      <c r="G323" t="s">
        <v>470</v>
      </c>
      <c r="H323">
        <v>108</v>
      </c>
      <c r="I323">
        <v>93.0167</v>
      </c>
      <c r="J323" t="s">
        <v>104</v>
      </c>
      <c r="K323">
        <v>12832727</v>
      </c>
      <c r="L323" t="s">
        <v>1403</v>
      </c>
      <c r="M323" t="s">
        <v>106</v>
      </c>
      <c r="N323" t="s">
        <v>97</v>
      </c>
      <c r="O323" t="s">
        <v>455</v>
      </c>
      <c r="P323" t="s">
        <v>99</v>
      </c>
      <c r="Q323" t="s">
        <v>29</v>
      </c>
      <c r="R323" t="s">
        <v>25</v>
      </c>
      <c r="S323">
        <v>13.51</v>
      </c>
      <c r="T323">
        <v>100</v>
      </c>
      <c r="V323">
        <v>0</v>
      </c>
      <c r="X323" t="s">
        <v>1404</v>
      </c>
      <c r="AA323">
        <v>360</v>
      </c>
      <c r="AB323" t="s">
        <v>26</v>
      </c>
      <c r="AC323">
        <v>51</v>
      </c>
      <c r="AD323" t="s">
        <v>27</v>
      </c>
      <c r="AE323" t="s">
        <v>28</v>
      </c>
      <c r="AF323">
        <v>1</v>
      </c>
      <c r="AK323" s="12">
        <f t="shared" si="60"/>
        <v>46112</v>
      </c>
      <c r="AL323" s="1" t="str">
        <f t="shared" si="61"/>
        <v>Week14</v>
      </c>
      <c r="AM323" s="1" t="s">
        <v>108</v>
      </c>
      <c r="AN323" s="1" t="str">
        <f t="shared" si="62"/>
        <v>Go</v>
      </c>
      <c r="AO323" s="2">
        <f t="shared" si="63"/>
        <v>100</v>
      </c>
      <c r="AP323" s="1">
        <f t="shared" si="64"/>
        <v>0</v>
      </c>
      <c r="AQ323" s="1">
        <f t="shared" si="65"/>
        <v>0</v>
      </c>
      <c r="AR323" s="1" t="s">
        <v>93</v>
      </c>
      <c r="AS323" s="1" t="s">
        <v>96</v>
      </c>
      <c r="AT323" s="1" t="s">
        <v>96</v>
      </c>
      <c r="AU323" s="1" t="str">
        <f t="shared" si="66"/>
        <v/>
      </c>
      <c r="AV323" s="1" t="str">
        <f t="shared" si="67"/>
        <v>12832727Gopal Rajith</v>
      </c>
      <c r="AW323" s="1" t="str">
        <f t="shared" si="68"/>
        <v/>
      </c>
      <c r="AX323" s="1" t="str">
        <f t="shared" si="69"/>
        <v/>
      </c>
      <c r="AY323" s="1" t="s">
        <v>29</v>
      </c>
      <c r="AZ323" s="1" t="b">
        <v>0</v>
      </c>
      <c r="BA323" s="1" t="str">
        <f t="shared" si="70"/>
        <v/>
      </c>
      <c r="BB323" s="1">
        <f t="shared" si="71"/>
        <v>0</v>
      </c>
      <c r="BC323" s="1" t="s">
        <v>99</v>
      </c>
      <c r="BD323" s="1" t="s">
        <v>43</v>
      </c>
      <c r="BE323" s="1" t="s">
        <v>98</v>
      </c>
      <c r="BF323" s="1" t="b">
        <v>0</v>
      </c>
      <c r="BG323" s="1" t="str">
        <f>VLOOKUP(AM323,Group!$C:$H,5,0)</f>
        <v>Top 25</v>
      </c>
      <c r="BH323" s="1" t="str">
        <f>VLOOKUP(P323,others!$C:$G,5,0)</f>
        <v>MTx-India</v>
      </c>
    </row>
    <row r="324" spans="1:60" x14ac:dyDescent="0.25">
      <c r="A324" s="14">
        <v>46107.366574074076</v>
      </c>
      <c r="B324" s="14">
        <v>46107.59574074074</v>
      </c>
      <c r="C324" s="14">
        <v>46112.525821759256</v>
      </c>
      <c r="D324" s="14">
        <v>46112.754988425928</v>
      </c>
      <c r="E324" s="14">
        <v>46112.689270833333</v>
      </c>
      <c r="F324" s="14">
        <v>46112.754988425928</v>
      </c>
      <c r="G324" t="s">
        <v>470</v>
      </c>
      <c r="H324">
        <v>90</v>
      </c>
      <c r="I324">
        <v>94.633300000000006</v>
      </c>
      <c r="J324" t="s">
        <v>104</v>
      </c>
      <c r="K324">
        <v>12832665</v>
      </c>
      <c r="L324" t="s">
        <v>1395</v>
      </c>
      <c r="M324" t="s">
        <v>106</v>
      </c>
      <c r="N324" t="s">
        <v>97</v>
      </c>
      <c r="O324" t="s">
        <v>455</v>
      </c>
      <c r="P324" t="s">
        <v>99</v>
      </c>
      <c r="Q324" t="s">
        <v>29</v>
      </c>
      <c r="R324" t="s">
        <v>25</v>
      </c>
      <c r="S324">
        <v>15.45</v>
      </c>
      <c r="T324">
        <v>99</v>
      </c>
      <c r="U324" t="s">
        <v>471</v>
      </c>
      <c r="V324">
        <v>1</v>
      </c>
      <c r="X324" t="s">
        <v>1349</v>
      </c>
      <c r="AA324">
        <v>720</v>
      </c>
      <c r="AB324" t="s">
        <v>26</v>
      </c>
      <c r="AC324">
        <v>73</v>
      </c>
      <c r="AD324" t="s">
        <v>27</v>
      </c>
      <c r="AE324" t="s">
        <v>28</v>
      </c>
      <c r="AF324">
        <v>0</v>
      </c>
      <c r="AK324" s="12">
        <f t="shared" si="60"/>
        <v>46112</v>
      </c>
      <c r="AL324" s="1" t="str">
        <f t="shared" si="61"/>
        <v>Week14</v>
      </c>
      <c r="AM324" s="1" t="s">
        <v>108</v>
      </c>
      <c r="AN324" s="1" t="str">
        <f t="shared" si="62"/>
        <v>NoGo</v>
      </c>
      <c r="AO324" s="2">
        <f t="shared" si="63"/>
        <v>93.527508090614887</v>
      </c>
      <c r="AP324" s="1">
        <f t="shared" si="64"/>
        <v>1</v>
      </c>
      <c r="AQ324" s="1">
        <f t="shared" si="65"/>
        <v>1</v>
      </c>
      <c r="AR324" s="1" t="s">
        <v>93</v>
      </c>
      <c r="AS324" s="1" t="s">
        <v>96</v>
      </c>
      <c r="AT324" s="1" t="s">
        <v>96</v>
      </c>
      <c r="AU324" s="1" t="str">
        <f t="shared" si="66"/>
        <v>Major</v>
      </c>
      <c r="AV324" s="1" t="str">
        <f t="shared" si="67"/>
        <v>12832665Gopal Rajith</v>
      </c>
      <c r="AW324" s="1" t="str">
        <f t="shared" si="68"/>
        <v>Major</v>
      </c>
      <c r="AX324" s="1">
        <f t="shared" si="69"/>
        <v>1</v>
      </c>
      <c r="AY324" s="1" t="s">
        <v>29</v>
      </c>
      <c r="AZ324" s="1" t="b">
        <v>0</v>
      </c>
      <c r="BA324" s="1">
        <f t="shared" si="70"/>
        <v>1</v>
      </c>
      <c r="BB324" s="1">
        <f t="shared" si="71"/>
        <v>1</v>
      </c>
      <c r="BC324" s="1" t="s">
        <v>99</v>
      </c>
      <c r="BD324" s="1" t="s">
        <v>43</v>
      </c>
      <c r="BE324" s="1" t="s">
        <v>98</v>
      </c>
      <c r="BF324" s="1" t="b">
        <v>0</v>
      </c>
      <c r="BG324" s="1" t="str">
        <f>VLOOKUP(AM324,Group!$C:$H,5,0)</f>
        <v>Top 25</v>
      </c>
      <c r="BH324" s="1" t="str">
        <f>VLOOKUP(P324,others!$C:$G,5,0)</f>
        <v>MTx-India</v>
      </c>
    </row>
    <row r="325" spans="1:60" x14ac:dyDescent="0.25">
      <c r="A325" s="14">
        <v>46110.815798611111</v>
      </c>
      <c r="B325" s="14">
        <v>46111.044965277775</v>
      </c>
      <c r="C325" s="14">
        <v>46113.453136574077</v>
      </c>
      <c r="D325" s="14">
        <v>46113.682303240741</v>
      </c>
      <c r="E325" s="14">
        <v>46112.689479166664</v>
      </c>
      <c r="F325" s="14">
        <v>46113.682303240741</v>
      </c>
      <c r="G325" t="s">
        <v>470</v>
      </c>
      <c r="H325">
        <v>537</v>
      </c>
      <c r="I325">
        <v>1429.6667</v>
      </c>
      <c r="J325" t="s">
        <v>104</v>
      </c>
      <c r="K325">
        <v>12833381</v>
      </c>
      <c r="L325" t="s">
        <v>151</v>
      </c>
      <c r="M325" t="s">
        <v>151</v>
      </c>
      <c r="N325" t="s">
        <v>88</v>
      </c>
      <c r="O325" t="s">
        <v>1371</v>
      </c>
      <c r="P325" t="s">
        <v>482</v>
      </c>
      <c r="Q325" t="s">
        <v>24</v>
      </c>
      <c r="R325" t="s">
        <v>25</v>
      </c>
      <c r="S325">
        <v>35.08</v>
      </c>
      <c r="T325">
        <v>99</v>
      </c>
      <c r="U325" t="s">
        <v>471</v>
      </c>
      <c r="V325">
        <v>1</v>
      </c>
      <c r="X325" t="s">
        <v>1283</v>
      </c>
      <c r="AA325">
        <v>1440</v>
      </c>
      <c r="AB325" t="s">
        <v>26</v>
      </c>
      <c r="AC325">
        <v>174</v>
      </c>
      <c r="AD325" t="s">
        <v>27</v>
      </c>
      <c r="AE325" t="s">
        <v>28</v>
      </c>
      <c r="AF325">
        <v>0</v>
      </c>
      <c r="AK325" s="12">
        <f t="shared" si="60"/>
        <v>46113</v>
      </c>
      <c r="AL325" s="1" t="str">
        <f t="shared" si="61"/>
        <v>Week14</v>
      </c>
      <c r="AM325" s="1" t="s">
        <v>140</v>
      </c>
      <c r="AN325" s="1" t="str">
        <f t="shared" si="62"/>
        <v>NoGo</v>
      </c>
      <c r="AO325" s="2">
        <f t="shared" si="63"/>
        <v>97.149372862029651</v>
      </c>
      <c r="AP325" s="1">
        <f t="shared" si="64"/>
        <v>1</v>
      </c>
      <c r="AQ325" s="1">
        <f t="shared" si="65"/>
        <v>1</v>
      </c>
      <c r="AR325" s="1" t="s">
        <v>93</v>
      </c>
      <c r="AS325" s="1" t="s">
        <v>93</v>
      </c>
      <c r="AT325" s="1" t="s">
        <v>93</v>
      </c>
      <c r="AU325" s="1" t="str">
        <f t="shared" si="66"/>
        <v>Major</v>
      </c>
      <c r="AV325" s="1" t="str">
        <f t="shared" si="67"/>
        <v>12833381Chintul Sutaria</v>
      </c>
      <c r="AW325" s="1" t="str">
        <f t="shared" si="68"/>
        <v>Major</v>
      </c>
      <c r="AX325" s="1">
        <f t="shared" si="69"/>
        <v>1</v>
      </c>
      <c r="AY325" s="1" t="s">
        <v>24</v>
      </c>
      <c r="AZ325" s="1" t="b">
        <v>1</v>
      </c>
      <c r="BA325" s="1">
        <f t="shared" si="70"/>
        <v>1</v>
      </c>
      <c r="BB325" s="1">
        <f t="shared" si="71"/>
        <v>1</v>
      </c>
      <c r="BC325" s="1" t="s">
        <v>457</v>
      </c>
      <c r="BD325" s="1" t="s">
        <v>1269</v>
      </c>
      <c r="BE325" s="1" t="s">
        <v>98</v>
      </c>
      <c r="BF325" s="1" t="b">
        <v>1</v>
      </c>
      <c r="BG325" s="1" t="str">
        <f>VLOOKUP(AM325,Group!$C:$H,5,0)</f>
        <v>Others</v>
      </c>
      <c r="BH325" s="1" t="str">
        <f>VLOOKUP(P325,others!$C:$G,5,0)</f>
        <v>QA</v>
      </c>
    </row>
    <row r="326" spans="1:60" x14ac:dyDescent="0.25">
      <c r="A326" s="14">
        <v>46110.815798611111</v>
      </c>
      <c r="B326" s="14">
        <v>46111.044965277775</v>
      </c>
      <c r="C326" s="14">
        <v>46113.453136574077</v>
      </c>
      <c r="D326" s="14">
        <v>46113.682303240741</v>
      </c>
      <c r="E326" s="14">
        <v>46112.689479166664</v>
      </c>
      <c r="F326" s="14">
        <v>46113.682303240741</v>
      </c>
      <c r="G326" t="s">
        <v>470</v>
      </c>
      <c r="H326">
        <v>537</v>
      </c>
      <c r="I326">
        <v>1429.6667</v>
      </c>
      <c r="J326" t="s">
        <v>104</v>
      </c>
      <c r="K326">
        <v>12833381</v>
      </c>
      <c r="L326" t="s">
        <v>151</v>
      </c>
      <c r="M326" t="s">
        <v>151</v>
      </c>
      <c r="N326" t="s">
        <v>88</v>
      </c>
      <c r="O326" t="s">
        <v>1371</v>
      </c>
      <c r="P326" t="s">
        <v>482</v>
      </c>
      <c r="Q326" t="s">
        <v>24</v>
      </c>
      <c r="R326" t="s">
        <v>25</v>
      </c>
      <c r="S326">
        <v>35.08</v>
      </c>
      <c r="T326">
        <v>99</v>
      </c>
      <c r="U326" t="s">
        <v>100</v>
      </c>
      <c r="V326">
        <v>2</v>
      </c>
      <c r="X326" t="s">
        <v>1283</v>
      </c>
      <c r="AA326">
        <v>1440</v>
      </c>
      <c r="AB326" t="s">
        <v>26</v>
      </c>
      <c r="AC326">
        <v>174</v>
      </c>
      <c r="AD326" t="s">
        <v>27</v>
      </c>
      <c r="AE326" t="s">
        <v>28</v>
      </c>
      <c r="AF326">
        <v>0</v>
      </c>
      <c r="AK326" s="12">
        <f t="shared" si="60"/>
        <v>46113</v>
      </c>
      <c r="AL326" s="1" t="str">
        <f t="shared" si="61"/>
        <v>Week14</v>
      </c>
      <c r="AM326" s="1" t="s">
        <v>140</v>
      </c>
      <c r="AN326" s="1" t="str">
        <f t="shared" si="62"/>
        <v>NoGo</v>
      </c>
      <c r="AO326" s="2">
        <f t="shared" si="63"/>
        <v>97.149372862029651</v>
      </c>
      <c r="AP326" s="1">
        <f t="shared" si="64"/>
        <v>0</v>
      </c>
      <c r="AQ326" s="1">
        <f t="shared" si="65"/>
        <v>1</v>
      </c>
      <c r="AR326" s="1" t="s">
        <v>93</v>
      </c>
      <c r="AS326" s="1" t="s">
        <v>93</v>
      </c>
      <c r="AT326" s="1" t="s">
        <v>93</v>
      </c>
      <c r="AU326" s="1" t="str">
        <f t="shared" si="66"/>
        <v>Minor</v>
      </c>
      <c r="AV326" s="1" t="str">
        <f t="shared" si="67"/>
        <v>12833381Chintul Sutaria</v>
      </c>
      <c r="AW326" s="1" t="str">
        <f t="shared" si="68"/>
        <v>Minor</v>
      </c>
      <c r="AX326" s="1">
        <f t="shared" si="69"/>
        <v>0</v>
      </c>
      <c r="AY326" s="1" t="s">
        <v>24</v>
      </c>
      <c r="AZ326" s="1" t="b">
        <v>0</v>
      </c>
      <c r="BA326" s="1">
        <f t="shared" si="70"/>
        <v>1</v>
      </c>
      <c r="BB326" s="1">
        <f t="shared" si="71"/>
        <v>2</v>
      </c>
      <c r="BC326" s="1" t="s">
        <v>457</v>
      </c>
      <c r="BD326" s="1" t="s">
        <v>1269</v>
      </c>
      <c r="BE326" s="1" t="s">
        <v>98</v>
      </c>
      <c r="BF326" s="1" t="b">
        <v>0</v>
      </c>
      <c r="BG326" s="1" t="str">
        <f>VLOOKUP(AM326,Group!$C:$H,5,0)</f>
        <v>Others</v>
      </c>
      <c r="BH326" s="1" t="str">
        <f>VLOOKUP(P326,others!$C:$G,5,0)</f>
        <v>QA</v>
      </c>
    </row>
    <row r="327" spans="1:60" x14ac:dyDescent="0.25">
      <c r="A327" s="14">
        <v>46106.885694444441</v>
      </c>
      <c r="B327" s="14">
        <v>46107.114861111113</v>
      </c>
      <c r="C327" s="14">
        <v>46113.471342592595</v>
      </c>
      <c r="D327" s="14">
        <v>46113.700509259259</v>
      </c>
      <c r="E327" s="14">
        <v>46111.855752314812</v>
      </c>
      <c r="F327" s="14">
        <v>46113.700509259259</v>
      </c>
      <c r="G327" t="s">
        <v>470</v>
      </c>
      <c r="H327">
        <v>7487</v>
      </c>
      <c r="I327">
        <v>2656.45</v>
      </c>
      <c r="J327" t="s">
        <v>104</v>
      </c>
      <c r="K327">
        <v>12832573</v>
      </c>
      <c r="L327" t="s">
        <v>1275</v>
      </c>
      <c r="M327" t="s">
        <v>116</v>
      </c>
      <c r="N327" t="s">
        <v>88</v>
      </c>
      <c r="O327" t="s">
        <v>1371</v>
      </c>
      <c r="P327" t="s">
        <v>482</v>
      </c>
      <c r="Q327" t="s">
        <v>24</v>
      </c>
      <c r="R327" t="s">
        <v>25</v>
      </c>
      <c r="S327">
        <v>141.54</v>
      </c>
      <c r="T327">
        <v>100</v>
      </c>
      <c r="U327" t="s">
        <v>100</v>
      </c>
      <c r="V327">
        <v>4</v>
      </c>
      <c r="X327" t="s">
        <v>1251</v>
      </c>
      <c r="AA327">
        <v>1440</v>
      </c>
      <c r="AB327" t="s">
        <v>26</v>
      </c>
      <c r="AC327">
        <v>710</v>
      </c>
      <c r="AD327" t="s">
        <v>27</v>
      </c>
      <c r="AE327" t="s">
        <v>28</v>
      </c>
      <c r="AF327">
        <v>1</v>
      </c>
      <c r="AK327" s="12">
        <f t="shared" si="60"/>
        <v>46113</v>
      </c>
      <c r="AL327" s="1" t="str">
        <f t="shared" si="61"/>
        <v>Week14</v>
      </c>
      <c r="AM327" s="1" t="s">
        <v>119</v>
      </c>
      <c r="AN327" s="1" t="str">
        <f t="shared" si="62"/>
        <v>Go</v>
      </c>
      <c r="AO327" s="2">
        <f t="shared" si="63"/>
        <v>100</v>
      </c>
      <c r="AP327" s="1">
        <f t="shared" si="64"/>
        <v>0</v>
      </c>
      <c r="AQ327" s="1">
        <f t="shared" si="65"/>
        <v>0</v>
      </c>
      <c r="AR327" s="1" t="s">
        <v>95</v>
      </c>
      <c r="AS327" s="1" t="s">
        <v>93</v>
      </c>
      <c r="AT327" s="1" t="s">
        <v>93</v>
      </c>
      <c r="AU327" s="1" t="str">
        <f t="shared" si="66"/>
        <v>Minor</v>
      </c>
      <c r="AV327" s="1" t="str">
        <f t="shared" si="67"/>
        <v>12832573Chintul Sutaria</v>
      </c>
      <c r="AW327" s="1" t="str">
        <f t="shared" si="68"/>
        <v>Minor</v>
      </c>
      <c r="AX327" s="1">
        <f t="shared" si="69"/>
        <v>0</v>
      </c>
      <c r="AY327" s="1" t="s">
        <v>24</v>
      </c>
      <c r="AZ327" s="1" t="b">
        <v>0</v>
      </c>
      <c r="BA327" s="1">
        <f t="shared" si="70"/>
        <v>1</v>
      </c>
      <c r="BB327" s="1">
        <f t="shared" si="71"/>
        <v>4</v>
      </c>
      <c r="BC327" s="1" t="s">
        <v>1105</v>
      </c>
      <c r="BD327" s="1" t="s">
        <v>1269</v>
      </c>
      <c r="BE327" s="1" t="s">
        <v>98</v>
      </c>
      <c r="BF327" s="1" t="b">
        <v>0</v>
      </c>
      <c r="BG327" s="1" t="str">
        <f>VLOOKUP(AM327,Group!$C:$H,5,0)</f>
        <v>Top 25</v>
      </c>
      <c r="BH327" s="1" t="str">
        <f>VLOOKUP(P327,others!$C:$G,5,0)</f>
        <v>QA</v>
      </c>
    </row>
    <row r="328" spans="1:60" x14ac:dyDescent="0.25">
      <c r="A328" s="14">
        <v>46107.490173611113</v>
      </c>
      <c r="B328" s="14">
        <v>46107.719340277778</v>
      </c>
      <c r="C328" s="14">
        <v>46113.477465277778</v>
      </c>
      <c r="D328" s="14">
        <v>46113.706631944442</v>
      </c>
      <c r="E328" s="14">
        <v>46111.856053240743</v>
      </c>
      <c r="F328" s="14">
        <v>46113.706631944442</v>
      </c>
      <c r="G328" t="s">
        <v>470</v>
      </c>
      <c r="H328">
        <v>517</v>
      </c>
      <c r="I328">
        <v>2664.8332999999998</v>
      </c>
      <c r="J328" t="s">
        <v>104</v>
      </c>
      <c r="K328">
        <v>12832769</v>
      </c>
      <c r="L328" t="s">
        <v>1405</v>
      </c>
      <c r="M328" t="s">
        <v>139</v>
      </c>
      <c r="N328" t="s">
        <v>97</v>
      </c>
      <c r="O328" t="s">
        <v>455</v>
      </c>
      <c r="P328" t="s">
        <v>99</v>
      </c>
      <c r="Q328" t="s">
        <v>29</v>
      </c>
      <c r="R328" t="s">
        <v>25</v>
      </c>
      <c r="S328">
        <v>60.6</v>
      </c>
      <c r="T328">
        <v>100</v>
      </c>
      <c r="U328" t="s">
        <v>100</v>
      </c>
      <c r="V328">
        <v>2</v>
      </c>
      <c r="X328" t="s">
        <v>1259</v>
      </c>
      <c r="AA328">
        <v>720</v>
      </c>
      <c r="AB328" t="s">
        <v>26</v>
      </c>
      <c r="AC328">
        <v>464</v>
      </c>
      <c r="AD328" t="s">
        <v>27</v>
      </c>
      <c r="AE328" t="s">
        <v>28</v>
      </c>
      <c r="AF328">
        <v>0</v>
      </c>
      <c r="AK328" s="12">
        <f t="shared" si="60"/>
        <v>46113</v>
      </c>
      <c r="AL328" s="1" t="str">
        <f t="shared" si="61"/>
        <v>Week14</v>
      </c>
      <c r="AM328" s="1" t="s">
        <v>141</v>
      </c>
      <c r="AN328" s="1" t="str">
        <f t="shared" si="62"/>
        <v>Go</v>
      </c>
      <c r="AO328" s="2">
        <f t="shared" si="63"/>
        <v>100</v>
      </c>
      <c r="AP328" s="1">
        <f t="shared" si="64"/>
        <v>0</v>
      </c>
      <c r="AQ328" s="1">
        <f t="shared" si="65"/>
        <v>0</v>
      </c>
      <c r="AR328" s="1" t="s">
        <v>96</v>
      </c>
      <c r="AS328" s="1" t="s">
        <v>96</v>
      </c>
      <c r="AT328" s="1" t="s">
        <v>96</v>
      </c>
      <c r="AU328" s="1" t="str">
        <f t="shared" si="66"/>
        <v>Minor</v>
      </c>
      <c r="AV328" s="1" t="str">
        <f t="shared" si="67"/>
        <v>12832769Gopal Rajith</v>
      </c>
      <c r="AW328" s="1" t="str">
        <f t="shared" si="68"/>
        <v>Minor</v>
      </c>
      <c r="AX328" s="1">
        <f t="shared" si="69"/>
        <v>0</v>
      </c>
      <c r="AY328" s="1" t="s">
        <v>29</v>
      </c>
      <c r="AZ328" s="1" t="b">
        <v>0</v>
      </c>
      <c r="BA328" s="1">
        <f t="shared" si="70"/>
        <v>1</v>
      </c>
      <c r="BB328" s="1">
        <f t="shared" si="71"/>
        <v>2</v>
      </c>
      <c r="BC328" s="1" t="s">
        <v>99</v>
      </c>
      <c r="BD328" s="1" t="s">
        <v>43</v>
      </c>
      <c r="BE328" s="1" t="s">
        <v>98</v>
      </c>
      <c r="BF328" s="1" t="b">
        <v>0</v>
      </c>
      <c r="BG328" s="1" t="str">
        <f>VLOOKUP(AM328,Group!$C:$H,5,0)</f>
        <v>Others</v>
      </c>
      <c r="BH328" s="1" t="str">
        <f>VLOOKUP(P328,others!$C:$G,5,0)</f>
        <v>MTx-India</v>
      </c>
    </row>
    <row r="329" spans="1:60" x14ac:dyDescent="0.25">
      <c r="A329" s="14">
        <v>46104.336030092592</v>
      </c>
      <c r="B329" s="14">
        <v>46104.565196759257</v>
      </c>
      <c r="C329" s="14">
        <v>46113.540868055556</v>
      </c>
      <c r="D329" s="14">
        <v>46113.77003472222</v>
      </c>
      <c r="E329" s="14">
        <v>46112.688726851855</v>
      </c>
      <c r="F329" s="14">
        <v>46113.77003472222</v>
      </c>
      <c r="G329" t="s">
        <v>470</v>
      </c>
      <c r="H329">
        <v>1055</v>
      </c>
      <c r="I329">
        <v>1557.0833</v>
      </c>
      <c r="J329" t="s">
        <v>104</v>
      </c>
      <c r="K329">
        <v>12831522</v>
      </c>
      <c r="L329" t="s">
        <v>1273</v>
      </c>
      <c r="M329" t="s">
        <v>163</v>
      </c>
      <c r="N329" t="s">
        <v>88</v>
      </c>
      <c r="O329" t="s">
        <v>455</v>
      </c>
      <c r="P329" t="s">
        <v>99</v>
      </c>
      <c r="Q329" t="s">
        <v>29</v>
      </c>
      <c r="R329" t="s">
        <v>25</v>
      </c>
      <c r="S329">
        <v>74.69</v>
      </c>
      <c r="T329">
        <v>100</v>
      </c>
      <c r="U329" t="s">
        <v>100</v>
      </c>
      <c r="V329">
        <v>1</v>
      </c>
      <c r="X329" t="s">
        <v>1274</v>
      </c>
      <c r="AA329">
        <v>1440</v>
      </c>
      <c r="AB329" t="s">
        <v>26</v>
      </c>
      <c r="AC329">
        <v>229</v>
      </c>
      <c r="AD329" t="s">
        <v>27</v>
      </c>
      <c r="AE329" t="s">
        <v>28</v>
      </c>
      <c r="AF329">
        <v>0</v>
      </c>
      <c r="AK329" s="12">
        <f t="shared" si="60"/>
        <v>46113</v>
      </c>
      <c r="AL329" s="1" t="str">
        <f t="shared" si="61"/>
        <v>Week14</v>
      </c>
      <c r="AM329" s="1" t="s">
        <v>169</v>
      </c>
      <c r="AN329" s="1" t="str">
        <f t="shared" si="62"/>
        <v>Go</v>
      </c>
      <c r="AO329" s="2">
        <f t="shared" si="63"/>
        <v>100</v>
      </c>
      <c r="AP329" s="1">
        <f t="shared" si="64"/>
        <v>0</v>
      </c>
      <c r="AQ329" s="1">
        <f t="shared" si="65"/>
        <v>0</v>
      </c>
      <c r="AR329" s="1" t="s">
        <v>96</v>
      </c>
      <c r="AS329" s="1" t="s">
        <v>96</v>
      </c>
      <c r="AT329" s="1" t="s">
        <v>96</v>
      </c>
      <c r="AU329" s="1" t="str">
        <f t="shared" si="66"/>
        <v>Minor</v>
      </c>
      <c r="AV329" s="1" t="str">
        <f t="shared" si="67"/>
        <v>12831522Gopal Rajith</v>
      </c>
      <c r="AW329" s="1" t="str">
        <f t="shared" si="68"/>
        <v>Minor</v>
      </c>
      <c r="AX329" s="1">
        <f t="shared" si="69"/>
        <v>0</v>
      </c>
      <c r="AY329" s="1" t="s">
        <v>29</v>
      </c>
      <c r="AZ329" s="1" t="b">
        <v>0</v>
      </c>
      <c r="BA329" s="1">
        <f t="shared" si="70"/>
        <v>1</v>
      </c>
      <c r="BB329" s="1">
        <f t="shared" si="71"/>
        <v>1</v>
      </c>
      <c r="BC329" s="1" t="s">
        <v>99</v>
      </c>
      <c r="BD329" s="1" t="s">
        <v>43</v>
      </c>
      <c r="BE329" s="1" t="s">
        <v>98</v>
      </c>
      <c r="BF329" s="1" t="b">
        <v>0</v>
      </c>
      <c r="BG329" s="1" t="str">
        <f>VLOOKUP(AM329,Group!$C:$H,5,0)</f>
        <v>Fundamental</v>
      </c>
      <c r="BH329" s="1" t="str">
        <f>VLOOKUP(P329,others!$C:$G,5,0)</f>
        <v>MTx-India</v>
      </c>
    </row>
    <row r="330" spans="1:60" x14ac:dyDescent="0.25">
      <c r="A330" s="14">
        <v>46108.479641203703</v>
      </c>
      <c r="B330" s="14">
        <v>46108.708807870367</v>
      </c>
      <c r="C330" s="14">
        <v>46113.554155092592</v>
      </c>
      <c r="D330" s="14">
        <v>46113.783321759256</v>
      </c>
      <c r="E330" s="14">
        <v>46111.856307870374</v>
      </c>
      <c r="F330" s="14">
        <v>46113.783321759256</v>
      </c>
      <c r="G330" t="s">
        <v>470</v>
      </c>
      <c r="H330">
        <v>5600</v>
      </c>
      <c r="I330">
        <v>2774.9</v>
      </c>
      <c r="J330" t="s">
        <v>104</v>
      </c>
      <c r="K330">
        <v>12833034</v>
      </c>
      <c r="L330" t="s">
        <v>1247</v>
      </c>
      <c r="M330" t="s">
        <v>155</v>
      </c>
      <c r="N330" t="s">
        <v>88</v>
      </c>
      <c r="O330" t="s">
        <v>1371</v>
      </c>
      <c r="P330" t="s">
        <v>482</v>
      </c>
      <c r="Q330" t="s">
        <v>24</v>
      </c>
      <c r="R330" t="s">
        <v>25</v>
      </c>
      <c r="S330">
        <v>68.2</v>
      </c>
      <c r="T330">
        <v>100</v>
      </c>
      <c r="U330" t="s">
        <v>100</v>
      </c>
      <c r="V330">
        <v>1</v>
      </c>
      <c r="X330" t="s">
        <v>1406</v>
      </c>
      <c r="AA330">
        <v>1440</v>
      </c>
      <c r="AB330" t="s">
        <v>26</v>
      </c>
      <c r="AC330">
        <v>448</v>
      </c>
      <c r="AD330" t="s">
        <v>27</v>
      </c>
      <c r="AE330" t="s">
        <v>28</v>
      </c>
      <c r="AF330">
        <v>1</v>
      </c>
      <c r="AK330" s="12">
        <f t="shared" si="60"/>
        <v>46113</v>
      </c>
      <c r="AL330" s="1" t="str">
        <f t="shared" si="61"/>
        <v>Week14</v>
      </c>
      <c r="AM330" s="1" t="s">
        <v>159</v>
      </c>
      <c r="AN330" s="1" t="str">
        <f t="shared" si="62"/>
        <v>Go</v>
      </c>
      <c r="AO330" s="2">
        <f t="shared" si="63"/>
        <v>100</v>
      </c>
      <c r="AP330" s="1">
        <f t="shared" si="64"/>
        <v>0</v>
      </c>
      <c r="AQ330" s="1">
        <f t="shared" si="65"/>
        <v>0</v>
      </c>
      <c r="AR330" s="1" t="s">
        <v>95</v>
      </c>
      <c r="AS330" s="1" t="s">
        <v>93</v>
      </c>
      <c r="AT330" s="1" t="s">
        <v>95</v>
      </c>
      <c r="AU330" s="1" t="str">
        <f t="shared" si="66"/>
        <v>Minor</v>
      </c>
      <c r="AV330" s="1" t="str">
        <f t="shared" si="67"/>
        <v>12833034Chintul Sutaria</v>
      </c>
      <c r="AW330" s="1" t="str">
        <f t="shared" si="68"/>
        <v>Minor</v>
      </c>
      <c r="AX330" s="1">
        <f t="shared" si="69"/>
        <v>0</v>
      </c>
      <c r="AY330" s="1" t="s">
        <v>24</v>
      </c>
      <c r="AZ330" s="1" t="b">
        <v>0</v>
      </c>
      <c r="BA330" s="1">
        <f t="shared" si="70"/>
        <v>1</v>
      </c>
      <c r="BB330" s="1">
        <f t="shared" si="71"/>
        <v>1</v>
      </c>
      <c r="BC330" s="1" t="s">
        <v>127</v>
      </c>
      <c r="BD330" s="1" t="s">
        <v>1269</v>
      </c>
      <c r="BE330" s="1" t="s">
        <v>98</v>
      </c>
      <c r="BF330" s="1" t="b">
        <v>0</v>
      </c>
      <c r="BG330" s="1" t="str">
        <f>VLOOKUP(AM330,Group!$C:$H,5,0)</f>
        <v>Others</v>
      </c>
      <c r="BH330" s="1" t="str">
        <f>VLOOKUP(P330,others!$C:$G,5,0)</f>
        <v>QA</v>
      </c>
    </row>
    <row r="331" spans="1:60" x14ac:dyDescent="0.25">
      <c r="A331" s="14">
        <v>46108.660671296297</v>
      </c>
      <c r="B331" s="14">
        <v>46108.889837962961</v>
      </c>
      <c r="C331" s="14">
        <v>46113.640509259261</v>
      </c>
      <c r="D331" s="14">
        <v>46113.869675925926</v>
      </c>
      <c r="E331" s="14">
        <v>46112.689398148148</v>
      </c>
      <c r="F331" s="14">
        <v>46113.869675925926</v>
      </c>
      <c r="G331" t="s">
        <v>470</v>
      </c>
      <c r="H331">
        <v>1524</v>
      </c>
      <c r="I331">
        <v>1699.6</v>
      </c>
      <c r="J331" t="s">
        <v>104</v>
      </c>
      <c r="K331">
        <v>12833214</v>
      </c>
      <c r="L331" t="s">
        <v>1295</v>
      </c>
      <c r="M331" t="s">
        <v>101</v>
      </c>
      <c r="N331" t="s">
        <v>88</v>
      </c>
      <c r="O331" t="s">
        <v>1371</v>
      </c>
      <c r="P331" t="s">
        <v>482</v>
      </c>
      <c r="Q331" t="s">
        <v>24</v>
      </c>
      <c r="R331" t="s">
        <v>1241</v>
      </c>
      <c r="S331">
        <v>51.57</v>
      </c>
      <c r="T331">
        <v>98</v>
      </c>
      <c r="U331" t="s">
        <v>471</v>
      </c>
      <c r="V331">
        <v>2</v>
      </c>
      <c r="X331" t="s">
        <v>469</v>
      </c>
      <c r="AA331">
        <v>1440</v>
      </c>
      <c r="AB331" t="s">
        <v>26</v>
      </c>
      <c r="AC331">
        <v>235</v>
      </c>
      <c r="AD331" t="s">
        <v>27</v>
      </c>
      <c r="AE331" t="s">
        <v>28</v>
      </c>
      <c r="AF331">
        <v>4</v>
      </c>
      <c r="AK331" s="12">
        <f t="shared" si="60"/>
        <v>46113</v>
      </c>
      <c r="AL331" s="1" t="str">
        <f t="shared" si="61"/>
        <v>Week14</v>
      </c>
      <c r="AM331" s="1" t="s">
        <v>102</v>
      </c>
      <c r="AN331" s="1" t="str">
        <f t="shared" si="62"/>
        <v>NoGo</v>
      </c>
      <c r="AO331" s="2">
        <f t="shared" si="63"/>
        <v>96.121776226488265</v>
      </c>
      <c r="AP331" s="1">
        <f t="shared" si="64"/>
        <v>2</v>
      </c>
      <c r="AQ331" s="1">
        <f t="shared" si="65"/>
        <v>2</v>
      </c>
      <c r="AR331" s="1" t="s">
        <v>95</v>
      </c>
      <c r="AS331" s="1" t="s">
        <v>93</v>
      </c>
      <c r="AT331" s="1" t="s">
        <v>93</v>
      </c>
      <c r="AU331" s="1" t="str">
        <f t="shared" si="66"/>
        <v>Major</v>
      </c>
      <c r="AV331" s="1" t="str">
        <f t="shared" si="67"/>
        <v>12833214Chintul Sutaria</v>
      </c>
      <c r="AW331" s="1" t="str">
        <f t="shared" si="68"/>
        <v>Major</v>
      </c>
      <c r="AX331" s="1">
        <f t="shared" si="69"/>
        <v>1</v>
      </c>
      <c r="AY331" s="1" t="s">
        <v>24</v>
      </c>
      <c r="AZ331" s="1" t="b">
        <v>1</v>
      </c>
      <c r="BA331" s="1">
        <f t="shared" si="70"/>
        <v>1</v>
      </c>
      <c r="BB331" s="1">
        <f t="shared" si="71"/>
        <v>2</v>
      </c>
      <c r="BC331" s="1" t="s">
        <v>468</v>
      </c>
      <c r="BD331" s="1" t="s">
        <v>1269</v>
      </c>
      <c r="BE331" s="1" t="s">
        <v>98</v>
      </c>
      <c r="BF331" s="1" t="b">
        <v>1</v>
      </c>
      <c r="BG331" s="1" t="str">
        <f>VLOOKUP(AM331,Group!$C:$H,5,0)</f>
        <v>Top 25</v>
      </c>
      <c r="BH331" s="1" t="str">
        <f>VLOOKUP(P331,others!$C:$G,5,0)</f>
        <v>QA</v>
      </c>
    </row>
    <row r="332" spans="1:60" x14ac:dyDescent="0.25">
      <c r="A332" s="14">
        <v>46108.660671296297</v>
      </c>
      <c r="B332" s="14">
        <v>46108.889837962961</v>
      </c>
      <c r="C332" s="14">
        <v>46113.640509259261</v>
      </c>
      <c r="D332" s="14">
        <v>46113.869675925926</v>
      </c>
      <c r="E332" s="14">
        <v>46112.689398148148</v>
      </c>
      <c r="F332" s="14">
        <v>46113.869675925926</v>
      </c>
      <c r="G332" t="s">
        <v>470</v>
      </c>
      <c r="H332">
        <v>1524</v>
      </c>
      <c r="I332">
        <v>1699.6</v>
      </c>
      <c r="J332" t="s">
        <v>104</v>
      </c>
      <c r="K332">
        <v>12833214</v>
      </c>
      <c r="L332" t="s">
        <v>1295</v>
      </c>
      <c r="M332" t="s">
        <v>101</v>
      </c>
      <c r="N332" t="s">
        <v>88</v>
      </c>
      <c r="O332" t="s">
        <v>1371</v>
      </c>
      <c r="P332" t="s">
        <v>482</v>
      </c>
      <c r="Q332" t="s">
        <v>24</v>
      </c>
      <c r="R332" t="s">
        <v>1241</v>
      </c>
      <c r="S332">
        <v>51.57</v>
      </c>
      <c r="T332">
        <v>98</v>
      </c>
      <c r="U332" t="s">
        <v>100</v>
      </c>
      <c r="V332">
        <v>9</v>
      </c>
      <c r="X332" t="s">
        <v>469</v>
      </c>
      <c r="AA332">
        <v>1440</v>
      </c>
      <c r="AB332" t="s">
        <v>26</v>
      </c>
      <c r="AC332">
        <v>235</v>
      </c>
      <c r="AD332" t="s">
        <v>27</v>
      </c>
      <c r="AE332" t="s">
        <v>28</v>
      </c>
      <c r="AF332">
        <v>4</v>
      </c>
      <c r="AK332" s="12">
        <f t="shared" si="60"/>
        <v>46113</v>
      </c>
      <c r="AL332" s="1" t="str">
        <f t="shared" si="61"/>
        <v>Week14</v>
      </c>
      <c r="AM332" s="1" t="s">
        <v>102</v>
      </c>
      <c r="AN332" s="1" t="str">
        <f t="shared" si="62"/>
        <v>NoGo</v>
      </c>
      <c r="AO332" s="2">
        <f t="shared" si="63"/>
        <v>96.121776226488265</v>
      </c>
      <c r="AP332" s="1">
        <f t="shared" si="64"/>
        <v>0</v>
      </c>
      <c r="AQ332" s="1">
        <f t="shared" si="65"/>
        <v>2</v>
      </c>
      <c r="AR332" s="1" t="s">
        <v>95</v>
      </c>
      <c r="AS332" s="1" t="s">
        <v>93</v>
      </c>
      <c r="AT332" s="1" t="s">
        <v>93</v>
      </c>
      <c r="AU332" s="1" t="str">
        <f t="shared" si="66"/>
        <v>Minor</v>
      </c>
      <c r="AV332" s="1" t="str">
        <f t="shared" si="67"/>
        <v>12833214Chintul Sutaria</v>
      </c>
      <c r="AW332" s="1" t="str">
        <f t="shared" si="68"/>
        <v>Minor</v>
      </c>
      <c r="AX332" s="1">
        <f t="shared" si="69"/>
        <v>0</v>
      </c>
      <c r="AY332" s="1" t="s">
        <v>24</v>
      </c>
      <c r="AZ332" s="1" t="b">
        <v>0</v>
      </c>
      <c r="BA332" s="1">
        <f t="shared" si="70"/>
        <v>1</v>
      </c>
      <c r="BB332" s="1">
        <f t="shared" si="71"/>
        <v>9</v>
      </c>
      <c r="BC332" s="1" t="s">
        <v>468</v>
      </c>
      <c r="BD332" s="1" t="s">
        <v>1269</v>
      </c>
      <c r="BE332" s="1" t="s">
        <v>98</v>
      </c>
      <c r="BF332" s="1" t="b">
        <v>0</v>
      </c>
      <c r="BG332" s="1" t="str">
        <f>VLOOKUP(AM332,Group!$C:$H,5,0)</f>
        <v>Top 25</v>
      </c>
      <c r="BH332" s="1" t="str">
        <f>VLOOKUP(P332,others!$C:$G,5,0)</f>
        <v>QA</v>
      </c>
    </row>
    <row r="333" spans="1:60" x14ac:dyDescent="0.25">
      <c r="A333" s="14">
        <v>46115.340092592596</v>
      </c>
      <c r="B333" s="14">
        <v>46115.56925925926</v>
      </c>
      <c r="C333" s="14">
        <v>46119.772326388891</v>
      </c>
      <c r="D333" s="14">
        <v>46120.001493055555</v>
      </c>
      <c r="E333" s="14">
        <v>46119.51121527778</v>
      </c>
      <c r="F333" s="14">
        <v>46120.001493055555</v>
      </c>
      <c r="G333" t="s">
        <v>470</v>
      </c>
      <c r="H333">
        <v>138</v>
      </c>
      <c r="I333">
        <v>706</v>
      </c>
      <c r="J333" t="s">
        <v>104</v>
      </c>
      <c r="K333">
        <v>12834786</v>
      </c>
      <c r="L333" t="s">
        <v>1407</v>
      </c>
      <c r="M333" t="s">
        <v>128</v>
      </c>
      <c r="N333" t="s">
        <v>88</v>
      </c>
      <c r="O333" t="s">
        <v>455</v>
      </c>
      <c r="P333" t="s">
        <v>99</v>
      </c>
      <c r="Q333" t="s">
        <v>29</v>
      </c>
      <c r="R333" t="s">
        <v>25</v>
      </c>
      <c r="S333">
        <v>16.32</v>
      </c>
      <c r="T333">
        <v>100</v>
      </c>
      <c r="V333">
        <v>0</v>
      </c>
      <c r="X333" t="s">
        <v>1364</v>
      </c>
      <c r="AA333">
        <v>1440</v>
      </c>
      <c r="AB333" t="s">
        <v>26</v>
      </c>
      <c r="AC333">
        <v>99</v>
      </c>
      <c r="AD333" t="s">
        <v>27</v>
      </c>
      <c r="AE333" t="s">
        <v>28</v>
      </c>
      <c r="AF333">
        <v>0</v>
      </c>
      <c r="AK333" s="12">
        <f t="shared" si="60"/>
        <v>46120</v>
      </c>
      <c r="AL333" s="1" t="str">
        <f t="shared" si="61"/>
        <v>Week15</v>
      </c>
      <c r="AM333" s="1" t="s">
        <v>134</v>
      </c>
      <c r="AN333" s="1" t="str">
        <f t="shared" si="62"/>
        <v>Go</v>
      </c>
      <c r="AO333" s="2">
        <f t="shared" si="63"/>
        <v>100</v>
      </c>
      <c r="AP333" s="1">
        <f t="shared" si="64"/>
        <v>0</v>
      </c>
      <c r="AQ333" s="1">
        <f t="shared" si="65"/>
        <v>0</v>
      </c>
      <c r="AR333" s="1" t="s">
        <v>95</v>
      </c>
      <c r="AS333" s="1" t="s">
        <v>96</v>
      </c>
      <c r="AT333" s="1" t="s">
        <v>96</v>
      </c>
      <c r="AU333" s="1" t="str">
        <f t="shared" si="66"/>
        <v/>
      </c>
      <c r="AV333" s="1" t="str">
        <f t="shared" si="67"/>
        <v>12834786Gopal Rajith</v>
      </c>
      <c r="AW333" s="1" t="str">
        <f t="shared" si="68"/>
        <v/>
      </c>
      <c r="AX333" s="1" t="str">
        <f t="shared" si="69"/>
        <v/>
      </c>
      <c r="AY333" s="1" t="s">
        <v>29</v>
      </c>
      <c r="AZ333" s="1" t="b">
        <v>0</v>
      </c>
      <c r="BA333" s="1" t="str">
        <f t="shared" si="70"/>
        <v/>
      </c>
      <c r="BB333" s="1">
        <f t="shared" si="71"/>
        <v>0</v>
      </c>
      <c r="BC333" s="1" t="s">
        <v>99</v>
      </c>
      <c r="BD333" s="1" t="s">
        <v>43</v>
      </c>
      <c r="BE333" s="1" t="s">
        <v>98</v>
      </c>
      <c r="BF333" s="1" t="b">
        <v>0</v>
      </c>
      <c r="BG333" s="1" t="str">
        <f>VLOOKUP(AM333,Group!$C:$H,5,0)</f>
        <v>Others</v>
      </c>
      <c r="BH333" s="1" t="str">
        <f>VLOOKUP(P333,others!$C:$G,5,0)</f>
        <v>MTx-India</v>
      </c>
    </row>
    <row r="334" spans="1:60" x14ac:dyDescent="0.25">
      <c r="A334" s="14"/>
      <c r="B334" s="14"/>
      <c r="C334" s="14"/>
      <c r="D334" s="14"/>
      <c r="E334" s="14"/>
      <c r="F334" s="14"/>
      <c r="T334"/>
      <c r="AK334" s="12"/>
      <c r="AL334" s="1"/>
      <c r="AM334" s="1"/>
      <c r="AN334" s="1"/>
      <c r="AO334" s="2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</row>
    <row r="335" spans="1:60" x14ac:dyDescent="0.25">
      <c r="A335" s="14"/>
      <c r="B335" s="14"/>
      <c r="C335" s="14"/>
      <c r="D335" s="14"/>
      <c r="E335" s="14"/>
      <c r="F335" s="14"/>
      <c r="T335"/>
      <c r="AK335" s="12"/>
      <c r="AL335" s="1"/>
      <c r="AM335" s="1"/>
      <c r="AN335" s="1"/>
      <c r="AO335" s="2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</row>
    <row r="336" spans="1:60" x14ac:dyDescent="0.25">
      <c r="A336" s="14"/>
      <c r="B336" s="14"/>
      <c r="C336" s="14"/>
      <c r="D336" s="14"/>
      <c r="E336" s="14"/>
      <c r="F336" s="14"/>
      <c r="T336"/>
      <c r="AK336" s="12"/>
      <c r="AL336" s="1"/>
      <c r="AM336" s="1"/>
      <c r="AN336" s="1"/>
      <c r="AO336" s="2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</row>
    <row r="337" spans="1:60" x14ac:dyDescent="0.25">
      <c r="A337" s="14"/>
      <c r="B337" s="14"/>
      <c r="C337" s="14"/>
      <c r="D337" s="14"/>
      <c r="E337" s="14"/>
      <c r="F337" s="14"/>
      <c r="T337"/>
      <c r="AK337" s="12"/>
      <c r="AL337" s="1"/>
      <c r="AM337" s="1"/>
      <c r="AN337" s="1"/>
      <c r="AO337" s="2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</row>
    <row r="338" spans="1:60" x14ac:dyDescent="0.25">
      <c r="A338" s="14"/>
      <c r="B338" s="14"/>
      <c r="C338" s="14"/>
      <c r="D338" s="14"/>
      <c r="E338" s="14"/>
      <c r="F338" s="14"/>
      <c r="T338"/>
      <c r="AK338" s="12"/>
      <c r="AL338" s="1"/>
      <c r="AM338" s="1"/>
      <c r="AN338" s="1"/>
      <c r="AO338" s="2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</row>
    <row r="339" spans="1:60" x14ac:dyDescent="0.25">
      <c r="A339" s="14"/>
      <c r="B339" s="14"/>
      <c r="C339" s="14"/>
      <c r="D339" s="14"/>
      <c r="E339" s="14"/>
      <c r="F339" s="14"/>
      <c r="T339"/>
      <c r="AK339" s="12"/>
      <c r="AL339" s="1"/>
      <c r="AM339" s="1"/>
      <c r="AN339" s="1"/>
      <c r="AO339" s="2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</row>
    <row r="340" spans="1:60" x14ac:dyDescent="0.25">
      <c r="A340" s="14"/>
      <c r="B340" s="14"/>
      <c r="C340" s="14"/>
      <c r="D340" s="14"/>
      <c r="E340" s="14"/>
      <c r="F340" s="14"/>
      <c r="T340"/>
      <c r="AK340" s="12"/>
      <c r="AL340" s="1"/>
      <c r="AM340" s="1"/>
      <c r="AN340" s="1"/>
      <c r="AO340" s="2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</row>
    <row r="341" spans="1:60" x14ac:dyDescent="0.25">
      <c r="A341" s="14"/>
      <c r="B341" s="14"/>
      <c r="C341" s="14"/>
      <c r="D341" s="14"/>
      <c r="E341" s="14"/>
      <c r="F341" s="14"/>
      <c r="T341"/>
      <c r="AK341" s="12"/>
      <c r="AL341" s="1"/>
      <c r="AM341" s="1"/>
      <c r="AN341" s="1"/>
      <c r="AO341" s="2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</row>
    <row r="342" spans="1:60" x14ac:dyDescent="0.25">
      <c r="A342" s="14"/>
      <c r="B342" s="14"/>
      <c r="C342" s="14"/>
      <c r="D342" s="14"/>
      <c r="E342" s="14"/>
      <c r="F342" s="14"/>
      <c r="T342"/>
      <c r="AK342" s="12"/>
      <c r="AL342" s="1"/>
      <c r="AM342" s="1"/>
      <c r="AN342" s="1"/>
      <c r="AO342" s="2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</row>
    <row r="343" spans="1:60" x14ac:dyDescent="0.25">
      <c r="A343" s="14"/>
      <c r="B343" s="14"/>
      <c r="C343" s="14"/>
      <c r="D343" s="14"/>
      <c r="E343" s="14"/>
      <c r="F343" s="14"/>
      <c r="T343"/>
      <c r="AK343" s="12"/>
      <c r="AL343" s="1"/>
      <c r="AM343" s="1"/>
      <c r="AN343" s="1"/>
      <c r="AO343" s="2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</row>
    <row r="344" spans="1:60" x14ac:dyDescent="0.25">
      <c r="A344" s="14"/>
      <c r="B344" s="14"/>
      <c r="C344" s="14"/>
      <c r="D344" s="14"/>
      <c r="E344" s="14"/>
      <c r="F344" s="14"/>
      <c r="T344"/>
      <c r="AK344" s="12"/>
      <c r="AL344" s="1"/>
      <c r="AM344" s="1"/>
      <c r="AN344" s="1"/>
      <c r="AO344" s="2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</row>
    <row r="345" spans="1:60" x14ac:dyDescent="0.25">
      <c r="A345" s="14"/>
      <c r="B345" s="14"/>
      <c r="C345" s="14"/>
      <c r="D345" s="14"/>
      <c r="E345" s="14"/>
      <c r="F345" s="14"/>
      <c r="T345"/>
      <c r="AK345" s="12"/>
      <c r="AL345" s="1"/>
      <c r="AM345" s="1"/>
      <c r="AN345" s="1"/>
      <c r="AO345" s="2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</row>
    <row r="346" spans="1:60" x14ac:dyDescent="0.25">
      <c r="A346" s="14"/>
      <c r="B346" s="14"/>
      <c r="C346" s="14"/>
      <c r="D346" s="14"/>
      <c r="E346" s="14"/>
      <c r="F346" s="14"/>
      <c r="T346"/>
      <c r="AK346" s="12"/>
      <c r="AL346" s="1"/>
      <c r="AM346" s="1"/>
      <c r="AN346" s="1"/>
      <c r="AO346" s="2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</row>
    <row r="347" spans="1:60" x14ac:dyDescent="0.25">
      <c r="A347" s="14"/>
      <c r="B347" s="14"/>
      <c r="C347" s="14"/>
      <c r="D347" s="14"/>
      <c r="E347" s="14"/>
      <c r="F347" s="14"/>
      <c r="T347"/>
      <c r="AK347" s="12"/>
      <c r="AL347" s="1"/>
      <c r="AM347" s="1"/>
      <c r="AN347" s="1"/>
      <c r="AO347" s="2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</row>
    <row r="348" spans="1:60" x14ac:dyDescent="0.25">
      <c r="A348" s="14"/>
      <c r="B348" s="14"/>
      <c r="C348" s="14"/>
      <c r="D348" s="14"/>
      <c r="E348" s="14"/>
      <c r="F348" s="14"/>
      <c r="T348"/>
      <c r="AK348" s="12"/>
      <c r="AL348" s="1"/>
      <c r="AM348" s="1"/>
      <c r="AN348" s="1"/>
      <c r="AO348" s="2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</row>
    <row r="349" spans="1:60" x14ac:dyDescent="0.25">
      <c r="A349" s="14"/>
      <c r="B349" s="14"/>
      <c r="C349" s="14"/>
      <c r="D349" s="14"/>
      <c r="E349" s="14"/>
      <c r="F349" s="14"/>
      <c r="T349"/>
      <c r="AK349" s="12"/>
      <c r="AL349" s="1"/>
      <c r="AM349" s="1"/>
      <c r="AN349" s="1"/>
      <c r="AO349" s="2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</row>
    <row r="350" spans="1:60" x14ac:dyDescent="0.25">
      <c r="A350" s="14"/>
      <c r="B350" s="14"/>
      <c r="C350" s="14"/>
      <c r="D350" s="14"/>
      <c r="E350" s="14"/>
      <c r="F350" s="14"/>
      <c r="T350"/>
      <c r="AK350" s="12"/>
      <c r="AL350" s="1"/>
      <c r="AM350" s="1"/>
      <c r="AN350" s="1"/>
      <c r="AO350" s="2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</row>
    <row r="351" spans="1:60" x14ac:dyDescent="0.25">
      <c r="A351" s="14"/>
      <c r="B351" s="14"/>
      <c r="C351" s="14"/>
      <c r="D351" s="14"/>
      <c r="E351" s="14"/>
      <c r="F351" s="14"/>
      <c r="T351"/>
      <c r="AK351" s="12"/>
      <c r="AL351" s="1"/>
      <c r="AM351" s="1"/>
      <c r="AN351" s="1"/>
      <c r="AO351" s="2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</row>
    <row r="352" spans="1:60" x14ac:dyDescent="0.25">
      <c r="A352" s="14"/>
      <c r="B352" s="14"/>
      <c r="C352" s="14"/>
      <c r="D352" s="14"/>
      <c r="E352" s="14"/>
      <c r="F352" s="14"/>
      <c r="T352"/>
      <c r="AK352" s="12"/>
      <c r="AL352" s="1"/>
      <c r="AM352" s="1"/>
      <c r="AN352" s="1"/>
      <c r="AO352" s="2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</row>
    <row r="353" spans="1:60" x14ac:dyDescent="0.25">
      <c r="A353" s="14"/>
      <c r="B353" s="14"/>
      <c r="C353" s="14"/>
      <c r="D353" s="14"/>
      <c r="E353" s="14"/>
      <c r="F353" s="14"/>
      <c r="T353"/>
      <c r="AK353" s="12"/>
      <c r="AL353" s="1"/>
      <c r="AM353" s="1"/>
      <c r="AN353" s="1"/>
      <c r="AO353" s="2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</row>
    <row r="354" spans="1:60" x14ac:dyDescent="0.25">
      <c r="A354" s="14"/>
      <c r="B354" s="14"/>
      <c r="C354" s="14"/>
      <c r="D354" s="14"/>
      <c r="E354" s="14"/>
      <c r="F354" s="14"/>
      <c r="T354"/>
      <c r="AK354" s="12"/>
      <c r="AL354" s="1"/>
      <c r="AM354" s="1"/>
      <c r="AN354" s="1"/>
      <c r="AO354" s="2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</row>
    <row r="355" spans="1:60" x14ac:dyDescent="0.25">
      <c r="A355" s="14"/>
      <c r="B355" s="14"/>
      <c r="C355" s="14"/>
      <c r="D355" s="14"/>
      <c r="E355" s="14"/>
      <c r="F355" s="14"/>
      <c r="T355"/>
      <c r="AK355" s="12"/>
      <c r="AL355" s="1"/>
      <c r="AM355" s="1"/>
      <c r="AN355" s="1"/>
      <c r="AO355" s="2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</row>
    <row r="356" spans="1:60" x14ac:dyDescent="0.25">
      <c r="A356" s="14"/>
      <c r="B356" s="14"/>
      <c r="C356" s="14"/>
      <c r="D356" s="14"/>
      <c r="E356" s="14"/>
      <c r="F356" s="14"/>
      <c r="T356"/>
      <c r="AK356" s="12"/>
      <c r="AL356" s="1"/>
      <c r="AM356" s="1"/>
      <c r="AN356" s="1"/>
      <c r="AO356" s="2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</row>
    <row r="357" spans="1:60" x14ac:dyDescent="0.25">
      <c r="A357" s="14"/>
      <c r="B357" s="14"/>
      <c r="C357" s="14"/>
      <c r="D357" s="14"/>
      <c r="E357" s="14"/>
      <c r="F357" s="14"/>
      <c r="T357"/>
      <c r="AK357" s="12"/>
      <c r="AL357" s="1"/>
      <c r="AM357" s="1"/>
      <c r="AN357" s="1"/>
      <c r="AO357" s="2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</row>
    <row r="358" spans="1:60" x14ac:dyDescent="0.25">
      <c r="A358" s="14"/>
      <c r="B358" s="14"/>
      <c r="C358" s="14"/>
      <c r="D358" s="14"/>
      <c r="E358" s="14"/>
      <c r="F358" s="14"/>
      <c r="T358"/>
      <c r="AK358" s="12"/>
      <c r="AL358" s="1"/>
      <c r="AM358" s="1"/>
      <c r="AN358" s="1"/>
      <c r="AO358" s="2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</row>
    <row r="359" spans="1:60" x14ac:dyDescent="0.25">
      <c r="A359" s="14"/>
      <c r="B359" s="14"/>
      <c r="C359" s="14"/>
      <c r="D359" s="14"/>
      <c r="E359" s="14"/>
      <c r="F359" s="14"/>
      <c r="T359"/>
      <c r="AK359" s="12"/>
      <c r="AL359" s="1"/>
      <c r="AM359" s="1"/>
      <c r="AN359" s="1"/>
      <c r="AO359" s="2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</row>
    <row r="360" spans="1:60" x14ac:dyDescent="0.25">
      <c r="A360" s="14"/>
      <c r="B360" s="14"/>
      <c r="C360" s="14"/>
      <c r="D360" s="14"/>
      <c r="E360" s="14"/>
      <c r="F360" s="14"/>
      <c r="T360"/>
      <c r="AK360" s="12"/>
      <c r="AL360" s="1"/>
      <c r="AM360" s="1"/>
      <c r="AN360" s="1"/>
      <c r="AO360" s="2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</row>
    <row r="361" spans="1:60" x14ac:dyDescent="0.25">
      <c r="A361" s="14"/>
      <c r="B361" s="14"/>
      <c r="C361" s="14"/>
      <c r="D361" s="14"/>
      <c r="E361" s="14"/>
      <c r="F361" s="14"/>
      <c r="T361"/>
      <c r="AK361" s="12"/>
      <c r="AL361" s="1"/>
      <c r="AM361" s="1"/>
      <c r="AN361" s="1"/>
      <c r="AO361" s="2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</row>
    <row r="362" spans="1:60" x14ac:dyDescent="0.25">
      <c r="A362" s="14"/>
      <c r="B362" s="14"/>
      <c r="C362" s="14"/>
      <c r="D362" s="14"/>
      <c r="E362" s="14"/>
      <c r="F362" s="14"/>
      <c r="T362"/>
      <c r="AK362" s="12"/>
      <c r="AL362" s="1"/>
      <c r="AM362" s="1"/>
      <c r="AN362" s="1"/>
      <c r="AO362" s="2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</row>
    <row r="363" spans="1:60" x14ac:dyDescent="0.25">
      <c r="A363" s="14"/>
      <c r="B363" s="14"/>
      <c r="C363" s="14"/>
      <c r="D363" s="14"/>
      <c r="E363" s="14"/>
      <c r="F363" s="14"/>
      <c r="T363"/>
      <c r="AK363" s="12"/>
      <c r="AL363" s="1"/>
      <c r="AM363" s="1"/>
      <c r="AN363" s="1"/>
      <c r="AO363" s="2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</row>
    <row r="364" spans="1:60" x14ac:dyDescent="0.25">
      <c r="A364" s="14"/>
      <c r="B364" s="14"/>
      <c r="C364" s="14"/>
      <c r="D364" s="14"/>
      <c r="E364" s="14"/>
      <c r="F364" s="14"/>
      <c r="T364"/>
      <c r="AK364" s="12"/>
      <c r="AL364" s="1"/>
      <c r="AM364" s="1"/>
      <c r="AN364" s="1"/>
      <c r="AO364" s="2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</row>
    <row r="365" spans="1:60" x14ac:dyDescent="0.25">
      <c r="A365" s="14"/>
      <c r="B365" s="14"/>
      <c r="C365" s="14"/>
      <c r="D365" s="14"/>
      <c r="E365" s="14"/>
      <c r="F365" s="14"/>
      <c r="T365"/>
      <c r="AK365" s="12"/>
      <c r="AL365" s="1"/>
      <c r="AM365" s="1"/>
      <c r="AN365" s="1"/>
      <c r="AO365" s="2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</row>
    <row r="366" spans="1:60" x14ac:dyDescent="0.25">
      <c r="A366" s="14"/>
      <c r="B366" s="14"/>
      <c r="C366" s="14"/>
      <c r="D366" s="14"/>
      <c r="E366" s="14"/>
      <c r="F366" s="14"/>
      <c r="T366"/>
      <c r="AK366" s="12"/>
      <c r="AL366" s="1"/>
      <c r="AM366" s="1"/>
      <c r="AN366" s="1"/>
      <c r="AO366" s="2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</row>
    <row r="367" spans="1:60" x14ac:dyDescent="0.25">
      <c r="A367" s="14"/>
      <c r="B367" s="14"/>
      <c r="C367" s="14"/>
      <c r="D367" s="14"/>
      <c r="E367" s="14"/>
      <c r="F367" s="14"/>
      <c r="T367"/>
      <c r="AK367" s="12"/>
      <c r="AL367" s="1"/>
      <c r="AM367" s="1"/>
      <c r="AN367" s="1"/>
      <c r="AO367" s="2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</row>
    <row r="368" spans="1:60" x14ac:dyDescent="0.25">
      <c r="A368" s="14"/>
      <c r="B368" s="14"/>
      <c r="C368" s="14"/>
      <c r="D368" s="14"/>
      <c r="E368" s="14"/>
      <c r="F368" s="14"/>
      <c r="T368"/>
      <c r="AK368" s="12"/>
      <c r="AL368" s="1"/>
      <c r="AM368" s="1"/>
      <c r="AN368" s="1"/>
      <c r="AO368" s="2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</row>
    <row r="369" spans="1:60" x14ac:dyDescent="0.25">
      <c r="A369" s="14"/>
      <c r="B369" s="14"/>
      <c r="C369" s="14"/>
      <c r="D369" s="14"/>
      <c r="E369" s="14"/>
      <c r="F369" s="14"/>
      <c r="T369"/>
      <c r="AK369" s="12"/>
      <c r="AL369" s="1"/>
      <c r="AM369" s="1"/>
      <c r="AN369" s="1"/>
      <c r="AO369" s="2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</row>
    <row r="370" spans="1:60" x14ac:dyDescent="0.25">
      <c r="A370" s="14"/>
      <c r="B370" s="14"/>
      <c r="C370" s="14"/>
      <c r="D370" s="14"/>
      <c r="E370" s="14"/>
      <c r="F370" s="14"/>
      <c r="T370"/>
      <c r="AK370" s="12"/>
      <c r="AL370" s="1"/>
      <c r="AM370" s="1"/>
      <c r="AN370" s="1"/>
      <c r="AO370" s="2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</row>
    <row r="371" spans="1:60" x14ac:dyDescent="0.25">
      <c r="A371" s="14"/>
      <c r="B371" s="14"/>
      <c r="C371" s="14"/>
      <c r="D371" s="14"/>
      <c r="E371" s="14"/>
      <c r="F371" s="14"/>
      <c r="T371"/>
      <c r="AK371" s="12"/>
      <c r="AL371" s="1"/>
      <c r="AM371" s="1"/>
      <c r="AN371" s="1"/>
      <c r="AO371" s="2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</row>
    <row r="372" spans="1:60" x14ac:dyDescent="0.25">
      <c r="A372" s="14"/>
      <c r="B372" s="14"/>
      <c r="C372" s="14"/>
      <c r="D372" s="14"/>
      <c r="E372" s="14"/>
      <c r="F372" s="14"/>
      <c r="T372"/>
      <c r="AK372" s="12"/>
      <c r="AL372" s="1"/>
      <c r="AM372" s="1"/>
      <c r="AN372" s="1"/>
      <c r="AO372" s="2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</row>
    <row r="373" spans="1:60" x14ac:dyDescent="0.25">
      <c r="A373" s="14"/>
      <c r="B373" s="14"/>
      <c r="C373" s="14"/>
      <c r="D373" s="14"/>
      <c r="E373" s="14"/>
      <c r="F373" s="14"/>
      <c r="T373"/>
      <c r="AK373" s="12"/>
      <c r="AL373" s="1"/>
      <c r="AM373" s="1"/>
      <c r="AN373" s="1"/>
      <c r="AO373" s="2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</row>
    <row r="374" spans="1:60" x14ac:dyDescent="0.25">
      <c r="A374" s="14"/>
      <c r="B374" s="14"/>
      <c r="C374" s="14"/>
      <c r="D374" s="14"/>
      <c r="E374" s="14"/>
      <c r="F374" s="14"/>
      <c r="T374"/>
      <c r="AK374" s="12"/>
      <c r="AL374" s="1"/>
      <c r="AM374" s="1"/>
      <c r="AN374" s="1"/>
      <c r="AO374" s="2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</row>
    <row r="375" spans="1:60" x14ac:dyDescent="0.25">
      <c r="A375" s="14"/>
      <c r="B375" s="14"/>
      <c r="C375" s="14"/>
      <c r="D375" s="14"/>
      <c r="E375" s="14"/>
      <c r="F375" s="14"/>
      <c r="T375"/>
      <c r="AK375" s="12"/>
      <c r="AL375" s="1"/>
      <c r="AM375" s="1"/>
      <c r="AN375" s="1"/>
      <c r="AO375" s="2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</row>
    <row r="376" spans="1:60" x14ac:dyDescent="0.25">
      <c r="A376" s="14"/>
      <c r="B376" s="14"/>
      <c r="C376" s="14"/>
      <c r="D376" s="14"/>
      <c r="E376" s="14"/>
      <c r="F376" s="14"/>
      <c r="T376"/>
      <c r="AK376" s="12"/>
      <c r="AL376" s="1"/>
      <c r="AM376" s="1"/>
      <c r="AN376" s="1"/>
      <c r="AO376" s="2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</row>
    <row r="377" spans="1:60" x14ac:dyDescent="0.25">
      <c r="A377" s="14"/>
      <c r="B377" s="14"/>
      <c r="C377" s="14"/>
      <c r="D377" s="14"/>
      <c r="E377" s="14"/>
      <c r="F377" s="14"/>
      <c r="T377"/>
      <c r="AK377" s="12"/>
      <c r="AL377" s="1"/>
      <c r="AM377" s="1"/>
      <c r="AN377" s="1"/>
      <c r="AO377" s="2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</row>
    <row r="378" spans="1:60" x14ac:dyDescent="0.25">
      <c r="A378" s="14"/>
      <c r="B378" s="14"/>
      <c r="C378" s="14"/>
      <c r="D378" s="14"/>
      <c r="E378" s="14"/>
      <c r="F378" s="14"/>
      <c r="T378"/>
      <c r="AK378" s="12"/>
      <c r="AL378" s="1"/>
      <c r="AM378" s="1"/>
      <c r="AN378" s="1"/>
      <c r="AO378" s="2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</row>
    <row r="379" spans="1:60" x14ac:dyDescent="0.25">
      <c r="A379" s="14"/>
      <c r="B379" s="14"/>
      <c r="C379" s="14"/>
      <c r="D379" s="14"/>
      <c r="E379" s="14"/>
      <c r="F379" s="14"/>
      <c r="T379"/>
      <c r="AK379" s="12"/>
      <c r="AL379" s="1"/>
      <c r="AM379" s="1"/>
      <c r="AN379" s="1"/>
      <c r="AO379" s="2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</row>
    <row r="380" spans="1:60" x14ac:dyDescent="0.25">
      <c r="A380" s="14"/>
      <c r="B380" s="14"/>
      <c r="C380" s="14"/>
      <c r="D380" s="14"/>
      <c r="E380" s="14"/>
      <c r="F380" s="14"/>
      <c r="T380"/>
      <c r="AK380" s="12"/>
      <c r="AL380" s="1"/>
      <c r="AM380" s="1"/>
      <c r="AN380" s="1"/>
      <c r="AO380" s="2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</row>
    <row r="381" spans="1:60" x14ac:dyDescent="0.25">
      <c r="A381" s="14"/>
      <c r="B381" s="14"/>
      <c r="C381" s="14"/>
      <c r="D381" s="14"/>
      <c r="E381" s="14"/>
      <c r="F381" s="14"/>
      <c r="T381"/>
      <c r="AK381" s="12"/>
      <c r="AL381" s="1"/>
      <c r="AM381" s="1"/>
      <c r="AN381" s="1"/>
      <c r="AO381" s="2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</row>
    <row r="382" spans="1:60" x14ac:dyDescent="0.25">
      <c r="A382" s="14"/>
      <c r="B382" s="14"/>
      <c r="C382" s="14"/>
      <c r="D382" s="14"/>
      <c r="E382" s="14"/>
      <c r="F382" s="14"/>
      <c r="T382"/>
      <c r="AK382" s="12"/>
      <c r="AL382" s="1"/>
      <c r="AM382" s="1"/>
      <c r="AN382" s="1"/>
      <c r="AO382" s="2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</row>
    <row r="383" spans="1:60" x14ac:dyDescent="0.25">
      <c r="A383" s="14"/>
      <c r="B383" s="14"/>
      <c r="C383" s="14"/>
      <c r="D383" s="14"/>
      <c r="E383" s="14"/>
      <c r="F383" s="14"/>
      <c r="T383"/>
      <c r="AK383" s="12"/>
      <c r="AL383" s="1"/>
      <c r="AM383" s="1"/>
      <c r="AN383" s="1"/>
      <c r="AO383" s="2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</row>
    <row r="384" spans="1:60" x14ac:dyDescent="0.25">
      <c r="A384" s="14"/>
      <c r="B384" s="14"/>
      <c r="C384" s="14"/>
      <c r="D384" s="14"/>
      <c r="E384" s="14"/>
      <c r="F384" s="14"/>
      <c r="T384"/>
      <c r="AK384" s="12"/>
      <c r="AL384" s="1"/>
      <c r="AM384" s="1"/>
      <c r="AN384" s="1"/>
      <c r="AO384" s="2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</row>
    <row r="385" spans="1:60" x14ac:dyDescent="0.25">
      <c r="A385" s="14"/>
      <c r="B385" s="14"/>
      <c r="C385" s="14"/>
      <c r="D385" s="14"/>
      <c r="E385" s="14"/>
      <c r="F385" s="14"/>
      <c r="T385"/>
      <c r="AK385" s="12"/>
      <c r="AL385" s="1"/>
      <c r="AM385" s="1"/>
      <c r="AN385" s="1"/>
      <c r="AO385" s="2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</row>
    <row r="386" spans="1:60" x14ac:dyDescent="0.25">
      <c r="A386" s="14"/>
      <c r="B386" s="14"/>
      <c r="C386" s="14"/>
      <c r="D386" s="14"/>
      <c r="E386" s="14"/>
      <c r="F386" s="14"/>
      <c r="T386"/>
      <c r="AK386" s="12"/>
      <c r="AL386" s="1"/>
      <c r="AM386" s="1"/>
      <c r="AN386" s="1"/>
      <c r="AO386" s="2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</row>
    <row r="387" spans="1:60" x14ac:dyDescent="0.25">
      <c r="A387" s="14"/>
      <c r="B387" s="14"/>
      <c r="C387" s="14"/>
      <c r="D387" s="14"/>
      <c r="E387" s="14"/>
      <c r="F387" s="14"/>
      <c r="T387"/>
      <c r="AK387" s="12"/>
      <c r="AL387" s="1"/>
      <c r="AM387" s="1"/>
      <c r="AN387" s="1"/>
      <c r="AO387" s="2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</row>
    <row r="388" spans="1:60" x14ac:dyDescent="0.25">
      <c r="A388" s="14"/>
      <c r="B388" s="14"/>
      <c r="C388" s="14"/>
      <c r="D388" s="14"/>
      <c r="E388" s="14"/>
      <c r="F388" s="14"/>
      <c r="T388"/>
      <c r="AK388" s="12"/>
      <c r="AL388" s="1"/>
      <c r="AM388" s="1"/>
      <c r="AN388" s="1"/>
      <c r="AO388" s="2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</row>
    <row r="389" spans="1:60" x14ac:dyDescent="0.25">
      <c r="A389" s="14"/>
      <c r="B389" s="14"/>
      <c r="C389" s="14"/>
      <c r="D389" s="14"/>
      <c r="E389" s="14"/>
      <c r="F389" s="14"/>
      <c r="T389"/>
      <c r="AK389" s="12"/>
      <c r="AL389" s="1"/>
      <c r="AM389" s="1"/>
      <c r="AN389" s="1"/>
      <c r="AO389" s="2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</row>
    <row r="390" spans="1:60" x14ac:dyDescent="0.25">
      <c r="A390" s="14"/>
      <c r="B390" s="14"/>
      <c r="C390" s="14"/>
      <c r="D390" s="14"/>
      <c r="E390" s="14"/>
      <c r="F390" s="14"/>
      <c r="T390"/>
      <c r="AK390" s="12"/>
      <c r="AL390" s="1"/>
      <c r="AM390" s="1"/>
      <c r="AN390" s="1"/>
      <c r="AO390" s="2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</row>
    <row r="391" spans="1:60" x14ac:dyDescent="0.25">
      <c r="A391" s="14"/>
      <c r="B391" s="14"/>
      <c r="C391" s="14"/>
      <c r="D391" s="14"/>
      <c r="E391" s="14"/>
      <c r="F391" s="14"/>
      <c r="T391"/>
      <c r="AK391" s="12"/>
      <c r="AL391" s="1"/>
      <c r="AM391" s="1"/>
      <c r="AN391" s="1"/>
      <c r="AO391" s="2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</row>
    <row r="392" spans="1:60" x14ac:dyDescent="0.25">
      <c r="A392" s="14"/>
      <c r="B392" s="14"/>
      <c r="C392" s="14"/>
      <c r="D392" s="14"/>
      <c r="E392" s="14"/>
      <c r="F392" s="14"/>
      <c r="T392"/>
      <c r="AK392" s="12"/>
      <c r="AL392" s="1"/>
      <c r="AM392" s="1"/>
      <c r="AN392" s="1"/>
      <c r="AO392" s="2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</row>
    <row r="393" spans="1:60" x14ac:dyDescent="0.25">
      <c r="A393" s="14"/>
      <c r="B393" s="14"/>
      <c r="C393" s="14"/>
      <c r="D393" s="14"/>
      <c r="E393" s="14"/>
      <c r="F393" s="14"/>
      <c r="T393"/>
      <c r="AK393" s="12"/>
      <c r="AL393" s="1"/>
      <c r="AM393" s="1"/>
      <c r="AN393" s="1"/>
      <c r="AO393" s="2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</row>
    <row r="394" spans="1:60" x14ac:dyDescent="0.25">
      <c r="A394" s="14"/>
      <c r="B394" s="14"/>
      <c r="C394" s="14"/>
      <c r="D394" s="14"/>
      <c r="E394" s="14"/>
      <c r="F394" s="14"/>
      <c r="T394"/>
      <c r="AK394" s="12"/>
      <c r="AL394" s="1"/>
      <c r="AM394" s="1"/>
      <c r="AN394" s="1"/>
      <c r="AO394" s="2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</row>
    <row r="395" spans="1:60" x14ac:dyDescent="0.25">
      <c r="A395" s="14"/>
      <c r="B395" s="14"/>
      <c r="C395" s="14"/>
      <c r="D395" s="14"/>
      <c r="E395" s="14"/>
      <c r="F395" s="14"/>
      <c r="T395"/>
      <c r="AK395" s="12"/>
      <c r="AL395" s="1"/>
      <c r="AM395" s="1"/>
      <c r="AN395" s="1"/>
      <c r="AO395" s="2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</row>
    <row r="396" spans="1:60" x14ac:dyDescent="0.25">
      <c r="A396" s="14"/>
      <c r="B396" s="14"/>
      <c r="C396" s="14"/>
      <c r="D396" s="14"/>
      <c r="E396" s="14"/>
      <c r="F396" s="14"/>
      <c r="T396"/>
      <c r="AK396" s="12"/>
      <c r="AL396" s="1"/>
      <c r="AM396" s="1"/>
      <c r="AN396" s="1"/>
      <c r="AO396" s="2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</row>
    <row r="397" spans="1:60" x14ac:dyDescent="0.25">
      <c r="A397" s="14"/>
      <c r="B397" s="14"/>
      <c r="C397" s="14"/>
      <c r="D397" s="14"/>
      <c r="E397" s="14"/>
      <c r="F397" s="14"/>
      <c r="T397"/>
      <c r="AK397" s="12"/>
      <c r="AL397" s="1"/>
      <c r="AM397" s="1"/>
      <c r="AN397" s="1"/>
      <c r="AO397" s="2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</row>
    <row r="398" spans="1:60" x14ac:dyDescent="0.25">
      <c r="A398" s="14"/>
      <c r="B398" s="14"/>
      <c r="C398" s="14"/>
      <c r="D398" s="14"/>
      <c r="E398" s="14"/>
      <c r="F398" s="14"/>
      <c r="T398"/>
      <c r="AK398" s="12"/>
      <c r="AL398" s="1"/>
      <c r="AM398" s="1"/>
      <c r="AN398" s="1"/>
      <c r="AO398" s="2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</row>
    <row r="399" spans="1:60" x14ac:dyDescent="0.25">
      <c r="A399" s="14"/>
      <c r="B399" s="14"/>
      <c r="C399" s="14"/>
      <c r="D399" s="14"/>
      <c r="E399" s="14"/>
      <c r="F399" s="14"/>
      <c r="T399"/>
      <c r="AK399" s="12"/>
      <c r="AL399" s="1"/>
      <c r="AM399" s="1"/>
      <c r="AN399" s="1"/>
      <c r="AO399" s="2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</row>
    <row r="400" spans="1:60" x14ac:dyDescent="0.25">
      <c r="A400" s="14"/>
      <c r="B400" s="14"/>
      <c r="C400" s="14"/>
      <c r="D400" s="14"/>
      <c r="E400" s="14"/>
      <c r="F400" s="14"/>
      <c r="T400"/>
      <c r="AK400" s="12"/>
      <c r="AL400" s="1"/>
      <c r="AM400" s="1"/>
      <c r="AN400" s="1"/>
      <c r="AO400" s="2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</row>
    <row r="401" spans="1:60" x14ac:dyDescent="0.25">
      <c r="A401" s="14"/>
      <c r="B401" s="14"/>
      <c r="C401" s="14"/>
      <c r="D401" s="14"/>
      <c r="E401" s="14"/>
      <c r="F401" s="14"/>
      <c r="T401"/>
      <c r="AK401" s="12"/>
      <c r="AL401" s="1"/>
      <c r="AM401" s="1"/>
      <c r="AN401" s="1"/>
      <c r="AO401" s="2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</row>
    <row r="402" spans="1:60" x14ac:dyDescent="0.25">
      <c r="A402" s="14"/>
      <c r="B402" s="14"/>
      <c r="C402" s="14"/>
      <c r="D402" s="14"/>
      <c r="E402" s="14"/>
      <c r="F402" s="14"/>
      <c r="T402"/>
      <c r="AK402" s="12"/>
      <c r="AL402" s="1"/>
      <c r="AM402" s="1"/>
      <c r="AN402" s="1"/>
      <c r="AO402" s="2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</row>
    <row r="403" spans="1:60" x14ac:dyDescent="0.25">
      <c r="A403" s="14"/>
      <c r="B403" s="14"/>
      <c r="C403" s="14"/>
      <c r="D403" s="14"/>
      <c r="E403" s="14"/>
      <c r="F403" s="14"/>
      <c r="T403"/>
      <c r="AK403" s="12"/>
      <c r="AL403" s="1"/>
      <c r="AM403" s="1"/>
      <c r="AN403" s="1"/>
      <c r="AO403" s="2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</row>
    <row r="404" spans="1:60" x14ac:dyDescent="0.25">
      <c r="A404" s="14"/>
      <c r="B404" s="14"/>
      <c r="C404" s="14"/>
      <c r="D404" s="14"/>
      <c r="E404" s="14"/>
      <c r="F404" s="14"/>
      <c r="T404"/>
      <c r="AK404" s="12"/>
      <c r="AL404" s="1"/>
      <c r="AM404" s="1"/>
      <c r="AN404" s="1"/>
      <c r="AO404" s="2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</row>
    <row r="405" spans="1:60" x14ac:dyDescent="0.25">
      <c r="A405" s="14"/>
      <c r="B405" s="14"/>
      <c r="C405" s="14"/>
      <c r="D405" s="14"/>
      <c r="E405" s="14"/>
      <c r="F405" s="14"/>
      <c r="T405"/>
      <c r="AK405" s="12"/>
      <c r="AL405" s="1"/>
      <c r="AM405" s="1"/>
      <c r="AN405" s="1"/>
      <c r="AO405" s="2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</row>
    <row r="406" spans="1:60" x14ac:dyDescent="0.25">
      <c r="A406" s="14"/>
      <c r="B406" s="14"/>
      <c r="C406" s="14"/>
      <c r="D406" s="14"/>
      <c r="E406" s="14"/>
      <c r="F406" s="14"/>
      <c r="T406"/>
      <c r="AK406" s="12"/>
      <c r="AL406" s="1"/>
      <c r="AM406" s="1"/>
      <c r="AN406" s="1"/>
      <c r="AO406" s="2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</row>
    <row r="407" spans="1:60" x14ac:dyDescent="0.25">
      <c r="A407" s="14"/>
      <c r="B407" s="14"/>
      <c r="C407" s="14"/>
      <c r="D407" s="14"/>
      <c r="E407" s="14"/>
      <c r="F407" s="14"/>
      <c r="T407"/>
      <c r="AK407" s="12"/>
      <c r="AL407" s="1"/>
      <c r="AM407" s="1"/>
      <c r="AN407" s="1"/>
      <c r="AO407" s="2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</row>
    <row r="408" spans="1:60" x14ac:dyDescent="0.25">
      <c r="A408" s="14"/>
      <c r="B408" s="14"/>
      <c r="C408" s="14"/>
      <c r="D408" s="14"/>
      <c r="E408" s="14"/>
      <c r="F408" s="14"/>
      <c r="T408"/>
      <c r="AK408" s="12"/>
      <c r="AL408" s="1"/>
      <c r="AM408" s="1"/>
      <c r="AN408" s="1"/>
      <c r="AO408" s="2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</row>
    <row r="409" spans="1:60" x14ac:dyDescent="0.25">
      <c r="A409" s="14"/>
      <c r="B409" s="14"/>
      <c r="C409" s="14"/>
      <c r="D409" s="14"/>
      <c r="E409" s="14"/>
      <c r="F409" s="14"/>
      <c r="T409"/>
      <c r="AK409" s="12"/>
      <c r="AL409" s="1"/>
      <c r="AM409" s="1"/>
      <c r="AN409" s="1"/>
      <c r="AO409" s="2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</row>
    <row r="410" spans="1:60" x14ac:dyDescent="0.25">
      <c r="A410" s="14"/>
      <c r="B410" s="14"/>
      <c r="C410" s="14"/>
      <c r="D410" s="14"/>
      <c r="E410" s="14"/>
      <c r="F410" s="14"/>
      <c r="T410"/>
      <c r="AK410" s="12"/>
      <c r="AL410" s="1"/>
      <c r="AM410" s="1"/>
      <c r="AN410" s="1"/>
      <c r="AO410" s="2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</row>
    <row r="411" spans="1:60" x14ac:dyDescent="0.25">
      <c r="A411" s="14"/>
      <c r="B411" s="14"/>
      <c r="C411" s="14"/>
      <c r="D411" s="14"/>
      <c r="E411" s="14"/>
      <c r="F411" s="14"/>
      <c r="T411"/>
      <c r="AK411" s="12"/>
      <c r="AL411" s="1"/>
      <c r="AM411" s="1"/>
      <c r="AN411" s="1"/>
      <c r="AO411" s="2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</row>
    <row r="412" spans="1:60" x14ac:dyDescent="0.25">
      <c r="A412" s="14"/>
      <c r="B412" s="14"/>
      <c r="C412" s="14"/>
      <c r="D412" s="14"/>
      <c r="E412" s="14"/>
      <c r="F412" s="14"/>
      <c r="T412"/>
      <c r="AK412" s="12"/>
      <c r="AL412" s="1"/>
      <c r="AM412" s="1"/>
      <c r="AN412" s="1"/>
      <c r="AO412" s="2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</row>
    <row r="413" spans="1:60" x14ac:dyDescent="0.25">
      <c r="A413" s="14"/>
      <c r="B413" s="14"/>
      <c r="C413" s="14"/>
      <c r="D413" s="14"/>
      <c r="E413" s="14"/>
      <c r="F413" s="14"/>
      <c r="T413"/>
      <c r="AK413" s="12"/>
      <c r="AL413" s="1"/>
      <c r="AM413" s="1"/>
      <c r="AN413" s="1"/>
      <c r="AO413" s="2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</row>
    <row r="414" spans="1:60" x14ac:dyDescent="0.25">
      <c r="A414" s="14"/>
      <c r="B414" s="14"/>
      <c r="C414" s="14"/>
      <c r="D414" s="14"/>
      <c r="E414" s="14"/>
      <c r="F414" s="14"/>
      <c r="T414"/>
      <c r="AK414" s="12"/>
      <c r="AL414" s="1"/>
      <c r="AM414" s="1"/>
      <c r="AN414" s="1"/>
      <c r="AO414" s="2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</row>
    <row r="415" spans="1:60" x14ac:dyDescent="0.25">
      <c r="A415" s="14"/>
      <c r="B415" s="14"/>
      <c r="C415" s="14"/>
      <c r="D415" s="14"/>
      <c r="E415" s="14"/>
      <c r="F415" s="14"/>
      <c r="T415"/>
      <c r="AK415" s="12"/>
      <c r="AL415" s="1"/>
      <c r="AM415" s="1"/>
      <c r="AN415" s="1"/>
      <c r="AO415" s="2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</row>
    <row r="416" spans="1:60" x14ac:dyDescent="0.25">
      <c r="A416" s="14"/>
      <c r="B416" s="14"/>
      <c r="C416" s="14"/>
      <c r="D416" s="14"/>
      <c r="E416" s="14"/>
      <c r="F416" s="14"/>
      <c r="T416"/>
      <c r="AK416" s="12"/>
      <c r="AL416" s="1"/>
      <c r="AM416" s="1"/>
      <c r="AN416" s="1"/>
      <c r="AO416" s="2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</row>
    <row r="417" spans="1:60" x14ac:dyDescent="0.25">
      <c r="A417" s="14"/>
      <c r="B417" s="14"/>
      <c r="C417" s="14"/>
      <c r="D417" s="14"/>
      <c r="E417" s="14"/>
      <c r="F417" s="14"/>
      <c r="T417"/>
      <c r="AK417" s="12"/>
      <c r="AL417" s="1"/>
      <c r="AM417" s="1"/>
      <c r="AN417" s="1"/>
      <c r="AO417" s="2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</row>
    <row r="418" spans="1:60" x14ac:dyDescent="0.25">
      <c r="A418" s="14"/>
      <c r="B418" s="14"/>
      <c r="C418" s="14"/>
      <c r="D418" s="14"/>
      <c r="E418" s="14"/>
      <c r="F418" s="14"/>
      <c r="T418"/>
      <c r="AK418" s="12"/>
      <c r="AL418" s="1"/>
      <c r="AM418" s="1"/>
      <c r="AN418" s="1"/>
      <c r="AO418" s="2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</row>
    <row r="419" spans="1:60" x14ac:dyDescent="0.25">
      <c r="A419" s="14"/>
      <c r="B419" s="14"/>
      <c r="C419" s="14"/>
      <c r="D419" s="14"/>
      <c r="E419" s="14"/>
      <c r="F419" s="14"/>
      <c r="T419"/>
      <c r="AK419" s="12"/>
      <c r="AL419" s="1"/>
      <c r="AM419" s="1"/>
      <c r="AN419" s="1"/>
      <c r="AO419" s="2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</row>
    <row r="420" spans="1:60" x14ac:dyDescent="0.25">
      <c r="A420" s="14"/>
      <c r="B420" s="14"/>
      <c r="C420" s="14"/>
      <c r="D420" s="14"/>
      <c r="E420" s="14"/>
      <c r="F420" s="14"/>
      <c r="T420"/>
      <c r="AK420" s="12"/>
      <c r="AL420" s="1"/>
      <c r="AM420" s="1"/>
      <c r="AN420" s="1"/>
      <c r="AO420" s="2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</row>
    <row r="421" spans="1:60" x14ac:dyDescent="0.25">
      <c r="A421" s="14"/>
      <c r="B421" s="14"/>
      <c r="C421" s="14"/>
      <c r="D421" s="14"/>
      <c r="E421" s="14"/>
      <c r="F421" s="14"/>
      <c r="T421"/>
      <c r="AK421" s="12"/>
      <c r="AL421" s="1"/>
      <c r="AM421" s="1"/>
      <c r="AN421" s="1"/>
      <c r="AO421" s="2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</row>
    <row r="422" spans="1:60" x14ac:dyDescent="0.25">
      <c r="A422" s="14"/>
      <c r="B422" s="14"/>
      <c r="C422" s="14"/>
      <c r="D422" s="14"/>
      <c r="E422" s="14"/>
      <c r="F422" s="14"/>
      <c r="T422"/>
      <c r="AK422" s="12"/>
      <c r="AL422" s="1"/>
      <c r="AM422" s="1"/>
      <c r="AN422" s="1"/>
      <c r="AO422" s="2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</row>
    <row r="423" spans="1:60" x14ac:dyDescent="0.25">
      <c r="A423" s="14"/>
      <c r="B423" s="14"/>
      <c r="C423" s="14"/>
      <c r="D423" s="14"/>
      <c r="E423" s="14"/>
      <c r="F423" s="14"/>
      <c r="T423"/>
      <c r="AK423" s="12"/>
      <c r="AL423" s="1"/>
      <c r="AM423" s="1"/>
      <c r="AN423" s="1"/>
      <c r="AO423" s="2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</row>
    <row r="424" spans="1:60" x14ac:dyDescent="0.25">
      <c r="A424" s="14"/>
      <c r="B424" s="14"/>
      <c r="C424" s="14"/>
      <c r="D424" s="14"/>
      <c r="E424" s="14"/>
      <c r="F424" s="14"/>
      <c r="T424"/>
      <c r="AK424" s="12"/>
      <c r="AL424" s="1"/>
      <c r="AM424" s="1"/>
      <c r="AN424" s="1"/>
      <c r="AO424" s="2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</row>
    <row r="425" spans="1:60" x14ac:dyDescent="0.25">
      <c r="A425" s="14"/>
      <c r="B425" s="14"/>
      <c r="C425" s="14"/>
      <c r="D425" s="14"/>
      <c r="E425" s="14"/>
      <c r="F425" s="14"/>
      <c r="T425"/>
      <c r="AK425" s="12"/>
      <c r="AL425" s="1"/>
      <c r="AM425" s="1"/>
      <c r="AN425" s="1"/>
      <c r="AO425" s="2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</row>
    <row r="426" spans="1:60" x14ac:dyDescent="0.25">
      <c r="A426" s="14"/>
      <c r="B426" s="14"/>
      <c r="C426" s="14"/>
      <c r="D426" s="14"/>
      <c r="E426" s="14"/>
      <c r="F426" s="14"/>
      <c r="T426"/>
      <c r="AK426" s="12"/>
      <c r="AL426" s="1"/>
      <c r="AM426" s="1"/>
      <c r="AN426" s="1"/>
      <c r="AO426" s="2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</row>
    <row r="427" spans="1:60" x14ac:dyDescent="0.25">
      <c r="A427" s="14"/>
      <c r="B427" s="14"/>
      <c r="C427" s="14"/>
      <c r="D427" s="14"/>
      <c r="E427" s="14"/>
      <c r="F427" s="14"/>
      <c r="T427"/>
      <c r="AK427" s="12"/>
      <c r="AL427" s="1"/>
      <c r="AM427" s="1"/>
      <c r="AN427" s="1"/>
      <c r="AO427" s="2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</row>
    <row r="428" spans="1:60" x14ac:dyDescent="0.25">
      <c r="A428" s="14"/>
      <c r="B428" s="14"/>
      <c r="C428" s="14"/>
      <c r="D428" s="14"/>
      <c r="E428" s="14"/>
      <c r="F428" s="14"/>
      <c r="T428"/>
      <c r="AK428" s="12"/>
      <c r="AL428" s="1"/>
      <c r="AM428" s="1"/>
      <c r="AN428" s="1"/>
      <c r="AO428" s="2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</row>
    <row r="429" spans="1:60" x14ac:dyDescent="0.25">
      <c r="A429" s="14"/>
      <c r="B429" s="14"/>
      <c r="C429" s="14"/>
      <c r="D429" s="14"/>
      <c r="E429" s="14"/>
      <c r="F429" s="14"/>
      <c r="T429"/>
      <c r="AK429" s="12"/>
      <c r="AL429" s="1"/>
      <c r="AM429" s="1"/>
      <c r="AN429" s="1"/>
      <c r="AO429" s="2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</row>
    <row r="430" spans="1:60" x14ac:dyDescent="0.25">
      <c r="A430" s="14"/>
      <c r="B430" s="14"/>
      <c r="C430" s="14"/>
      <c r="D430" s="14"/>
      <c r="E430" s="14"/>
      <c r="F430" s="14"/>
      <c r="T430"/>
      <c r="AK430" s="12"/>
      <c r="AL430" s="1"/>
      <c r="AM430" s="1"/>
      <c r="AN430" s="1"/>
      <c r="AO430" s="2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</row>
    <row r="431" spans="1:60" x14ac:dyDescent="0.25">
      <c r="A431" s="14"/>
      <c r="B431" s="14"/>
      <c r="C431" s="14"/>
      <c r="D431" s="14"/>
      <c r="E431" s="14"/>
      <c r="F431" s="14"/>
      <c r="T431"/>
      <c r="AK431" s="12"/>
      <c r="AL431" s="1"/>
      <c r="AM431" s="1"/>
      <c r="AN431" s="1"/>
      <c r="AO431" s="2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</row>
    <row r="432" spans="1:60" x14ac:dyDescent="0.25">
      <c r="A432" s="14"/>
      <c r="B432" s="14"/>
      <c r="C432" s="14"/>
      <c r="D432" s="14"/>
      <c r="E432" s="14"/>
      <c r="F432" s="14"/>
      <c r="T432"/>
      <c r="AK432" s="12"/>
      <c r="AL432" s="1"/>
      <c r="AM432" s="1"/>
      <c r="AN432" s="1"/>
      <c r="AO432" s="2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</row>
    <row r="433" spans="1:60" x14ac:dyDescent="0.25">
      <c r="A433" s="14"/>
      <c r="B433" s="14"/>
      <c r="C433" s="14"/>
      <c r="D433" s="14"/>
      <c r="E433" s="14"/>
      <c r="F433" s="14"/>
      <c r="T433"/>
      <c r="AK433" s="12"/>
      <c r="AL433" s="1"/>
      <c r="AM433" s="1"/>
      <c r="AN433" s="1"/>
      <c r="AO433" s="2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</row>
    <row r="434" spans="1:60" x14ac:dyDescent="0.25">
      <c r="A434" s="14"/>
      <c r="B434" s="14"/>
      <c r="C434" s="14"/>
      <c r="D434" s="14"/>
      <c r="E434" s="14"/>
      <c r="F434" s="14"/>
      <c r="T434"/>
      <c r="AK434" s="12"/>
      <c r="AL434" s="1"/>
      <c r="AM434" s="1"/>
      <c r="AN434" s="1"/>
      <c r="AO434" s="2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</row>
    <row r="435" spans="1:60" x14ac:dyDescent="0.25">
      <c r="A435" s="14"/>
      <c r="B435" s="14"/>
      <c r="C435" s="14"/>
      <c r="D435" s="14"/>
      <c r="E435" s="14"/>
      <c r="F435" s="14"/>
      <c r="T435"/>
      <c r="AK435" s="12"/>
      <c r="AL435" s="1"/>
      <c r="AM435" s="1"/>
      <c r="AN435" s="1"/>
      <c r="AO435" s="2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</row>
    <row r="436" spans="1:60" x14ac:dyDescent="0.25">
      <c r="A436" s="14"/>
      <c r="B436" s="14"/>
      <c r="C436" s="14"/>
      <c r="D436" s="14"/>
      <c r="E436" s="14"/>
      <c r="F436" s="14"/>
      <c r="T436"/>
      <c r="AK436" s="12"/>
      <c r="AL436" s="1"/>
      <c r="AM436" s="1"/>
      <c r="AN436" s="1"/>
      <c r="AO436" s="2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</row>
    <row r="437" spans="1:60" x14ac:dyDescent="0.25">
      <c r="A437" s="14"/>
      <c r="B437" s="14"/>
      <c r="C437" s="14"/>
      <c r="D437" s="14"/>
      <c r="E437" s="14"/>
      <c r="F437" s="14"/>
      <c r="T437"/>
      <c r="AK437" s="12"/>
      <c r="AL437" s="1"/>
      <c r="AM437" s="1"/>
      <c r="AN437" s="1"/>
      <c r="AO437" s="2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</row>
    <row r="438" spans="1:60" x14ac:dyDescent="0.25">
      <c r="A438" s="14"/>
      <c r="B438" s="14"/>
      <c r="C438" s="14"/>
      <c r="D438" s="14"/>
      <c r="E438" s="14"/>
      <c r="F438" s="14"/>
      <c r="T438"/>
      <c r="AK438" s="12"/>
      <c r="AL438" s="1"/>
      <c r="AM438" s="1"/>
      <c r="AN438" s="1"/>
      <c r="AO438" s="2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</row>
    <row r="439" spans="1:60" x14ac:dyDescent="0.25">
      <c r="A439" s="14"/>
      <c r="B439" s="14"/>
      <c r="C439" s="14"/>
      <c r="D439" s="14"/>
      <c r="E439" s="14"/>
      <c r="F439" s="14"/>
      <c r="T439"/>
      <c r="AK439" s="12"/>
      <c r="AL439" s="1"/>
      <c r="AM439" s="1"/>
      <c r="AN439" s="1"/>
      <c r="AO439" s="2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</row>
    <row r="440" spans="1:60" x14ac:dyDescent="0.25">
      <c r="A440" s="14"/>
      <c r="B440" s="14"/>
      <c r="C440" s="14"/>
      <c r="D440" s="14"/>
      <c r="E440" s="14"/>
      <c r="F440" s="14"/>
      <c r="T440"/>
      <c r="AK440" s="12"/>
      <c r="AL440" s="1"/>
      <c r="AM440" s="1"/>
      <c r="AN440" s="1"/>
      <c r="AO440" s="2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</row>
    <row r="441" spans="1:60" x14ac:dyDescent="0.25">
      <c r="A441" s="14"/>
      <c r="B441" s="14"/>
      <c r="C441" s="14"/>
      <c r="D441" s="14"/>
      <c r="E441" s="14"/>
      <c r="F441" s="14"/>
      <c r="T441"/>
      <c r="AK441" s="12"/>
      <c r="AL441" s="1"/>
      <c r="AM441" s="1"/>
      <c r="AN441" s="1"/>
      <c r="AO441" s="2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</row>
    <row r="442" spans="1:60" x14ac:dyDescent="0.25">
      <c r="A442" s="14"/>
      <c r="B442" s="14"/>
      <c r="C442" s="14"/>
      <c r="D442" s="14"/>
      <c r="E442" s="14"/>
      <c r="F442" s="14"/>
      <c r="T442"/>
      <c r="AK442" s="12"/>
      <c r="AL442" s="1"/>
      <c r="AM442" s="1"/>
      <c r="AN442" s="1"/>
      <c r="AO442" s="2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</row>
    <row r="443" spans="1:60" x14ac:dyDescent="0.25">
      <c r="A443" s="14"/>
      <c r="B443" s="14"/>
      <c r="C443" s="14"/>
      <c r="D443" s="14"/>
      <c r="E443" s="14"/>
      <c r="F443" s="14"/>
      <c r="T443"/>
      <c r="AK443" s="12"/>
      <c r="AL443" s="1"/>
      <c r="AM443" s="1"/>
      <c r="AN443" s="1"/>
      <c r="AO443" s="2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</row>
    <row r="444" spans="1:60" x14ac:dyDescent="0.25">
      <c r="A444" s="14"/>
      <c r="B444" s="14"/>
      <c r="C444" s="14"/>
      <c r="D444" s="14"/>
      <c r="E444" s="14"/>
      <c r="F444" s="14"/>
      <c r="T444"/>
      <c r="AK444" s="12"/>
      <c r="AL444" s="1"/>
      <c r="AM444" s="1"/>
      <c r="AN444" s="1"/>
      <c r="AO444" s="2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</row>
    <row r="445" spans="1:60" x14ac:dyDescent="0.25">
      <c r="A445" s="14"/>
      <c r="B445" s="14"/>
      <c r="C445" s="14"/>
      <c r="D445" s="14"/>
      <c r="E445" s="14"/>
      <c r="F445" s="14"/>
      <c r="T445"/>
      <c r="AK445" s="12"/>
      <c r="AL445" s="1"/>
      <c r="AM445" s="1"/>
      <c r="AN445" s="1"/>
      <c r="AO445" s="2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</row>
    <row r="446" spans="1:60" x14ac:dyDescent="0.25">
      <c r="A446" s="14"/>
      <c r="B446" s="14"/>
      <c r="C446" s="14"/>
      <c r="D446" s="14"/>
      <c r="E446" s="14"/>
      <c r="F446" s="14"/>
      <c r="T446"/>
      <c r="AK446" s="12"/>
      <c r="AL446" s="1"/>
      <c r="AM446" s="1"/>
      <c r="AN446" s="1"/>
      <c r="AO446" s="2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</row>
    <row r="447" spans="1:60" x14ac:dyDescent="0.25">
      <c r="A447" s="14"/>
      <c r="B447" s="14"/>
      <c r="C447" s="14"/>
      <c r="D447" s="14"/>
      <c r="E447" s="14"/>
      <c r="F447" s="14"/>
      <c r="T447"/>
      <c r="AK447" s="12"/>
      <c r="AL447" s="1"/>
      <c r="AM447" s="1"/>
      <c r="AN447" s="1"/>
      <c r="AO447" s="2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</row>
    <row r="448" spans="1:60" x14ac:dyDescent="0.25">
      <c r="A448" s="14"/>
      <c r="B448" s="14"/>
      <c r="C448" s="14"/>
      <c r="D448" s="14"/>
      <c r="E448" s="14"/>
      <c r="F448" s="14"/>
      <c r="T448"/>
      <c r="AK448" s="12"/>
      <c r="AL448" s="1"/>
      <c r="AM448" s="1"/>
      <c r="AN448" s="1"/>
      <c r="AO448" s="2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</row>
    <row r="449" spans="1:60" x14ac:dyDescent="0.25">
      <c r="A449" s="14"/>
      <c r="B449" s="14"/>
      <c r="C449" s="14"/>
      <c r="D449" s="14"/>
      <c r="E449" s="14"/>
      <c r="F449" s="14"/>
      <c r="T449"/>
      <c r="AK449" s="12"/>
      <c r="AL449" s="1"/>
      <c r="AM449" s="1"/>
      <c r="AN449" s="1"/>
      <c r="AO449" s="2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</row>
    <row r="450" spans="1:60" x14ac:dyDescent="0.25">
      <c r="A450" s="14"/>
      <c r="B450" s="14"/>
      <c r="C450" s="14"/>
      <c r="D450" s="14"/>
      <c r="E450" s="14"/>
      <c r="F450" s="14"/>
      <c r="T450"/>
      <c r="AK450" s="12"/>
      <c r="AL450" s="1"/>
      <c r="AM450" s="1"/>
      <c r="AN450" s="1"/>
      <c r="AO450" s="2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</row>
    <row r="451" spans="1:60" x14ac:dyDescent="0.25">
      <c r="A451" s="14"/>
      <c r="B451" s="14"/>
      <c r="C451" s="14"/>
      <c r="D451" s="14"/>
      <c r="E451" s="14"/>
      <c r="F451" s="14"/>
      <c r="T451"/>
      <c r="AK451" s="12"/>
      <c r="AL451" s="1"/>
      <c r="AM451" s="1"/>
      <c r="AN451" s="1"/>
      <c r="AO451" s="2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</row>
    <row r="452" spans="1:60" x14ac:dyDescent="0.25">
      <c r="A452" s="14"/>
      <c r="B452" s="14"/>
      <c r="C452" s="14"/>
      <c r="D452" s="14"/>
      <c r="E452" s="14"/>
      <c r="F452" s="14"/>
      <c r="T452"/>
      <c r="AK452" s="12"/>
      <c r="AL452" s="1"/>
      <c r="AM452" s="1"/>
      <c r="AN452" s="1"/>
      <c r="AO452" s="2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</row>
    <row r="453" spans="1:60" x14ac:dyDescent="0.25">
      <c r="A453" s="14"/>
      <c r="B453" s="14"/>
      <c r="C453" s="14"/>
      <c r="D453" s="14"/>
      <c r="E453" s="14"/>
      <c r="F453" s="14"/>
      <c r="T453"/>
      <c r="AK453" s="12"/>
      <c r="AL453" s="1"/>
      <c r="AM453" s="1"/>
      <c r="AN453" s="1"/>
      <c r="AO453" s="2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</row>
    <row r="454" spans="1:60" x14ac:dyDescent="0.25">
      <c r="A454" s="14"/>
      <c r="B454" s="14"/>
      <c r="C454" s="14"/>
      <c r="D454" s="14"/>
      <c r="E454" s="14"/>
      <c r="F454" s="14"/>
      <c r="T454"/>
      <c r="AK454" s="12"/>
      <c r="AL454" s="1"/>
      <c r="AM454" s="1"/>
      <c r="AN454" s="1"/>
      <c r="AO454" s="2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</row>
    <row r="455" spans="1:60" x14ac:dyDescent="0.25">
      <c r="A455" s="14"/>
      <c r="B455" s="14"/>
      <c r="C455" s="14"/>
      <c r="D455" s="14"/>
      <c r="E455" s="14"/>
      <c r="F455" s="14"/>
      <c r="T455"/>
      <c r="AK455" s="12"/>
      <c r="AL455" s="1"/>
      <c r="AM455" s="1"/>
      <c r="AN455" s="1"/>
      <c r="AO455" s="2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</row>
    <row r="456" spans="1:60" x14ac:dyDescent="0.25">
      <c r="A456" s="14"/>
      <c r="B456" s="14"/>
      <c r="C456" s="14"/>
      <c r="D456" s="14"/>
      <c r="E456" s="14"/>
      <c r="F456" s="14"/>
      <c r="T456"/>
      <c r="AK456" s="12"/>
      <c r="AL456" s="1"/>
      <c r="AM456" s="1"/>
      <c r="AN456" s="1"/>
      <c r="AO456" s="2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</row>
    <row r="457" spans="1:60" x14ac:dyDescent="0.25">
      <c r="A457" s="14"/>
      <c r="B457" s="14"/>
      <c r="C457" s="14"/>
      <c r="D457" s="14"/>
      <c r="E457" s="14"/>
      <c r="F457" s="14"/>
      <c r="T457"/>
      <c r="AK457" s="12"/>
      <c r="AL457" s="1"/>
      <c r="AM457" s="1"/>
      <c r="AN457" s="1"/>
      <c r="AO457" s="2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</row>
    <row r="458" spans="1:60" x14ac:dyDescent="0.25">
      <c r="A458" s="14"/>
      <c r="B458" s="14"/>
      <c r="C458" s="14"/>
      <c r="D458" s="14"/>
      <c r="E458" s="14"/>
      <c r="F458" s="14"/>
      <c r="T458"/>
      <c r="AK458" s="12"/>
      <c r="AL458" s="1"/>
      <c r="AM458" s="1"/>
      <c r="AN458" s="1"/>
      <c r="AO458" s="2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</row>
    <row r="459" spans="1:60" x14ac:dyDescent="0.25">
      <c r="A459" s="14"/>
      <c r="B459" s="14"/>
      <c r="C459" s="14"/>
      <c r="D459" s="14"/>
      <c r="E459" s="14"/>
      <c r="F459" s="14"/>
      <c r="T459"/>
      <c r="AK459" s="12"/>
      <c r="AL459" s="1"/>
      <c r="AM459" s="1"/>
      <c r="AN459" s="1"/>
      <c r="AO459" s="2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</row>
    <row r="460" spans="1:60" x14ac:dyDescent="0.25">
      <c r="A460" s="14"/>
      <c r="B460" s="14"/>
      <c r="C460" s="14"/>
      <c r="D460" s="14"/>
      <c r="E460" s="14"/>
      <c r="F460" s="14"/>
      <c r="T460"/>
      <c r="AK460" s="12"/>
      <c r="AL460" s="1"/>
      <c r="AM460" s="1"/>
      <c r="AN460" s="1"/>
      <c r="AO460" s="2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</row>
    <row r="461" spans="1:60" x14ac:dyDescent="0.25">
      <c r="A461" s="14"/>
      <c r="B461" s="14"/>
      <c r="C461" s="14"/>
      <c r="D461" s="14"/>
      <c r="E461" s="14"/>
      <c r="F461" s="14"/>
      <c r="T461"/>
      <c r="AK461" s="12"/>
      <c r="AL461" s="1"/>
      <c r="AM461" s="1"/>
      <c r="AN461" s="1"/>
      <c r="AO461" s="2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</row>
    <row r="462" spans="1:60" x14ac:dyDescent="0.25">
      <c r="A462" s="14"/>
      <c r="B462" s="14"/>
      <c r="C462" s="14"/>
      <c r="D462" s="14"/>
      <c r="E462" s="14"/>
      <c r="F462" s="14"/>
      <c r="T462"/>
      <c r="AK462" s="12"/>
      <c r="AL462" s="1"/>
      <c r="AM462" s="1"/>
      <c r="AN462" s="1"/>
      <c r="AO462" s="2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</row>
    <row r="463" spans="1:60" x14ac:dyDescent="0.25">
      <c r="A463" s="14"/>
      <c r="B463" s="14"/>
      <c r="C463" s="14"/>
      <c r="D463" s="14"/>
      <c r="E463" s="14"/>
      <c r="F463" s="14"/>
      <c r="T463"/>
      <c r="AK463" s="12"/>
      <c r="AL463" s="1"/>
      <c r="AM463" s="1"/>
      <c r="AN463" s="1"/>
      <c r="AO463" s="2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</row>
    <row r="464" spans="1:60" x14ac:dyDescent="0.25">
      <c r="A464" s="14"/>
      <c r="B464" s="14"/>
      <c r="C464" s="14"/>
      <c r="D464" s="14"/>
      <c r="E464" s="14"/>
      <c r="F464" s="14"/>
      <c r="T464"/>
      <c r="AK464" s="12"/>
      <c r="AL464" s="1"/>
      <c r="AM464" s="1"/>
      <c r="AN464" s="1"/>
      <c r="AO464" s="2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</row>
    <row r="465" spans="1:60" x14ac:dyDescent="0.25">
      <c r="A465" s="14"/>
      <c r="B465" s="14"/>
      <c r="C465" s="14"/>
      <c r="D465" s="14"/>
      <c r="E465" s="14"/>
      <c r="F465" s="14"/>
      <c r="T465"/>
      <c r="AK465" s="12"/>
      <c r="AL465" s="1"/>
      <c r="AM465" s="1"/>
      <c r="AN465" s="1"/>
      <c r="AO465" s="2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</row>
    <row r="466" spans="1:60" x14ac:dyDescent="0.25">
      <c r="A466" s="14"/>
      <c r="B466" s="14"/>
      <c r="C466" s="14"/>
      <c r="D466" s="14"/>
      <c r="E466" s="14"/>
      <c r="F466" s="14"/>
      <c r="T466"/>
      <c r="AK466" s="12"/>
      <c r="AL466" s="1"/>
      <c r="AM466" s="1"/>
      <c r="AN466" s="1"/>
      <c r="AO466" s="2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</row>
    <row r="467" spans="1:60" x14ac:dyDescent="0.25">
      <c r="A467" s="14"/>
      <c r="B467" s="14"/>
      <c r="C467" s="14"/>
      <c r="D467" s="14"/>
      <c r="E467" s="14"/>
      <c r="F467" s="14"/>
      <c r="T467"/>
      <c r="AK467" s="12"/>
      <c r="AL467" s="1"/>
      <c r="AM467" s="1"/>
      <c r="AN467" s="1"/>
      <c r="AO467" s="2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</row>
    <row r="468" spans="1:60" x14ac:dyDescent="0.25">
      <c r="A468" s="14"/>
      <c r="B468" s="14"/>
      <c r="C468" s="14"/>
      <c r="D468" s="14"/>
      <c r="E468" s="14"/>
      <c r="F468" s="14"/>
      <c r="T468"/>
      <c r="AK468" s="12"/>
      <c r="AL468" s="1"/>
      <c r="AM468" s="1"/>
      <c r="AN468" s="1"/>
      <c r="AO468" s="2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</row>
    <row r="469" spans="1:60" x14ac:dyDescent="0.25">
      <c r="A469" s="14"/>
      <c r="B469" s="14"/>
      <c r="C469" s="14"/>
      <c r="D469" s="14"/>
      <c r="E469" s="14"/>
      <c r="F469" s="14"/>
      <c r="T469"/>
      <c r="AK469" s="12"/>
      <c r="AL469" s="1"/>
      <c r="AM469" s="1"/>
      <c r="AN469" s="1"/>
      <c r="AO469" s="2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</row>
    <row r="470" spans="1:60" x14ac:dyDescent="0.25">
      <c r="A470" s="14"/>
      <c r="B470" s="14"/>
      <c r="C470" s="14"/>
      <c r="D470" s="14"/>
      <c r="E470" s="14"/>
      <c r="F470" s="14"/>
      <c r="T470"/>
      <c r="AK470" s="12"/>
      <c r="AL470" s="1"/>
      <c r="AM470" s="1"/>
      <c r="AN470" s="1"/>
      <c r="AO470" s="2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</row>
    <row r="471" spans="1:60" x14ac:dyDescent="0.25">
      <c r="A471" s="14"/>
      <c r="B471" s="14"/>
      <c r="C471" s="14"/>
      <c r="D471" s="14"/>
      <c r="E471" s="14"/>
      <c r="F471" s="14"/>
      <c r="T471"/>
      <c r="AK471" s="12"/>
      <c r="AL471" s="1"/>
      <c r="AM471" s="1"/>
      <c r="AN471" s="1"/>
      <c r="AO471" s="2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</row>
    <row r="472" spans="1:60" x14ac:dyDescent="0.25">
      <c r="A472" s="14"/>
      <c r="B472" s="14"/>
      <c r="C472" s="14"/>
      <c r="D472" s="14"/>
      <c r="E472" s="14"/>
      <c r="F472" s="14"/>
      <c r="T472"/>
      <c r="AK472" s="12"/>
      <c r="AL472" s="1"/>
      <c r="AM472" s="1"/>
      <c r="AN472" s="1"/>
      <c r="AO472" s="2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</row>
    <row r="473" spans="1:60" x14ac:dyDescent="0.25">
      <c r="A473" s="14"/>
      <c r="B473" s="14"/>
      <c r="C473" s="14"/>
      <c r="D473" s="14"/>
      <c r="E473" s="14"/>
      <c r="F473" s="14"/>
      <c r="T473"/>
      <c r="AK473" s="12"/>
      <c r="AL473" s="1"/>
      <c r="AM473" s="1"/>
      <c r="AN473" s="1"/>
      <c r="AO473" s="2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</row>
    <row r="474" spans="1:60" x14ac:dyDescent="0.25">
      <c r="A474" s="14"/>
      <c r="B474" s="14"/>
      <c r="C474" s="14"/>
      <c r="D474" s="14"/>
      <c r="E474" s="14"/>
      <c r="F474" s="14"/>
      <c r="T474"/>
      <c r="AK474" s="12"/>
      <c r="AL474" s="1"/>
      <c r="AM474" s="1"/>
      <c r="AN474" s="1"/>
      <c r="AO474" s="2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</row>
    <row r="475" spans="1:60" x14ac:dyDescent="0.25">
      <c r="A475" s="14"/>
      <c r="B475" s="14"/>
      <c r="C475" s="14"/>
      <c r="D475" s="14"/>
      <c r="E475" s="14"/>
      <c r="F475" s="14"/>
      <c r="T475"/>
      <c r="AK475" s="12"/>
      <c r="AL475" s="1"/>
      <c r="AM475" s="1"/>
      <c r="AN475" s="1"/>
      <c r="AO475" s="2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</row>
    <row r="476" spans="1:60" x14ac:dyDescent="0.25">
      <c r="A476" s="14"/>
      <c r="B476" s="14"/>
      <c r="C476" s="14"/>
      <c r="D476" s="14"/>
      <c r="E476" s="14"/>
      <c r="F476" s="14"/>
      <c r="T476"/>
      <c r="AK476" s="12"/>
      <c r="AL476" s="1"/>
      <c r="AM476" s="1"/>
      <c r="AN476" s="1"/>
      <c r="AO476" s="2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</row>
    <row r="477" spans="1:60" x14ac:dyDescent="0.25">
      <c r="A477" s="14"/>
      <c r="B477" s="14"/>
      <c r="C477" s="14"/>
      <c r="D477" s="14"/>
      <c r="E477" s="14"/>
      <c r="F477" s="14"/>
      <c r="T477"/>
      <c r="AK477" s="12"/>
      <c r="AL477" s="1"/>
      <c r="AM477" s="1"/>
      <c r="AN477" s="1"/>
      <c r="AO477" s="2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</row>
    <row r="478" spans="1:60" x14ac:dyDescent="0.25">
      <c r="A478" s="14"/>
      <c r="B478" s="14"/>
      <c r="C478" s="14"/>
      <c r="D478" s="14"/>
      <c r="E478" s="14"/>
      <c r="F478" s="14"/>
      <c r="T478"/>
      <c r="AK478" s="12"/>
      <c r="AL478" s="1"/>
      <c r="AM478" s="1"/>
      <c r="AN478" s="1"/>
      <c r="AO478" s="2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</row>
    <row r="479" spans="1:60" x14ac:dyDescent="0.25">
      <c r="A479" s="14"/>
      <c r="B479" s="14"/>
      <c r="C479" s="14"/>
      <c r="D479" s="14"/>
      <c r="E479" s="14"/>
      <c r="F479" s="14"/>
      <c r="T479"/>
      <c r="AK479" s="12"/>
      <c r="AL479" s="1"/>
      <c r="AM479" s="1"/>
      <c r="AN479" s="1"/>
      <c r="AO479" s="2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</row>
    <row r="480" spans="1:60" x14ac:dyDescent="0.25">
      <c r="A480" s="14"/>
      <c r="B480" s="14"/>
      <c r="C480" s="14"/>
      <c r="D480" s="14"/>
      <c r="E480" s="14"/>
      <c r="F480" s="14"/>
      <c r="T480"/>
      <c r="AK480" s="12"/>
      <c r="AL480" s="1"/>
      <c r="AM480" s="1"/>
      <c r="AN480" s="1"/>
      <c r="AO480" s="2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</row>
    <row r="481" spans="1:60" x14ac:dyDescent="0.25">
      <c r="A481" s="14"/>
      <c r="B481" s="14"/>
      <c r="C481" s="14"/>
      <c r="D481" s="14"/>
      <c r="E481" s="14"/>
      <c r="F481" s="14"/>
      <c r="T481"/>
      <c r="AK481" s="12"/>
      <c r="AL481" s="1"/>
      <c r="AM481" s="1"/>
      <c r="AN481" s="1"/>
      <c r="AO481" s="2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</row>
    <row r="482" spans="1:60" x14ac:dyDescent="0.25">
      <c r="A482" s="14"/>
      <c r="B482" s="14"/>
      <c r="C482" s="14"/>
      <c r="D482" s="14"/>
      <c r="E482" s="14"/>
      <c r="F482" s="14"/>
      <c r="T482"/>
      <c r="AK482" s="12"/>
      <c r="AL482" s="1"/>
      <c r="AM482" s="1"/>
      <c r="AN482" s="1"/>
      <c r="AO482" s="2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</row>
    <row r="483" spans="1:60" x14ac:dyDescent="0.25">
      <c r="A483" s="14"/>
      <c r="B483" s="14"/>
      <c r="C483" s="14"/>
      <c r="D483" s="14"/>
      <c r="E483" s="14"/>
      <c r="F483" s="14"/>
      <c r="T483"/>
      <c r="AK483" s="12"/>
      <c r="AL483" s="1"/>
      <c r="AM483" s="1"/>
      <c r="AN483" s="1"/>
      <c r="AO483" s="2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</row>
    <row r="484" spans="1:60" x14ac:dyDescent="0.25">
      <c r="A484" s="14"/>
      <c r="B484" s="14"/>
      <c r="C484" s="14"/>
      <c r="D484" s="14"/>
      <c r="E484" s="14"/>
      <c r="F484" s="14"/>
      <c r="T484"/>
      <c r="AK484" s="12"/>
      <c r="AL484" s="1"/>
      <c r="AM484" s="1"/>
      <c r="AN484" s="1"/>
      <c r="AO484" s="2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</row>
    <row r="485" spans="1:60" x14ac:dyDescent="0.25">
      <c r="A485" s="14"/>
      <c r="B485" s="14"/>
      <c r="C485" s="14"/>
      <c r="D485" s="14"/>
      <c r="E485" s="14"/>
      <c r="F485" s="14"/>
      <c r="T485"/>
      <c r="AK485" s="12"/>
      <c r="AL485" s="1"/>
      <c r="AM485" s="1"/>
      <c r="AN485" s="1"/>
      <c r="AO485" s="2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</row>
    <row r="486" spans="1:60" x14ac:dyDescent="0.25">
      <c r="A486" s="14"/>
      <c r="B486" s="14"/>
      <c r="C486" s="14"/>
      <c r="D486" s="14"/>
      <c r="E486" s="14"/>
      <c r="F486" s="14"/>
      <c r="T486"/>
      <c r="AK486" s="12"/>
      <c r="AL486" s="1"/>
      <c r="AM486" s="1"/>
      <c r="AN486" s="1"/>
      <c r="AO486" s="2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</row>
    <row r="487" spans="1:60" x14ac:dyDescent="0.25">
      <c r="A487" s="14"/>
      <c r="B487" s="14"/>
      <c r="C487" s="14"/>
      <c r="D487" s="14"/>
      <c r="E487" s="14"/>
      <c r="F487" s="14"/>
      <c r="T487"/>
      <c r="AK487" s="12"/>
      <c r="AL487" s="1"/>
      <c r="AM487" s="1"/>
      <c r="AN487" s="1"/>
      <c r="AO487" s="2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</row>
    <row r="488" spans="1:60" x14ac:dyDescent="0.25">
      <c r="A488" s="14"/>
      <c r="B488" s="14"/>
      <c r="C488" s="14"/>
      <c r="D488" s="14"/>
      <c r="E488" s="14"/>
      <c r="F488" s="14"/>
      <c r="T488"/>
      <c r="AK488" s="12"/>
      <c r="AL488" s="1"/>
      <c r="AM488" s="1"/>
      <c r="AN488" s="1"/>
      <c r="AO488" s="2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</row>
    <row r="489" spans="1:60" x14ac:dyDescent="0.25">
      <c r="A489" s="14"/>
      <c r="B489" s="14"/>
      <c r="C489" s="14"/>
      <c r="D489" s="14"/>
      <c r="E489" s="14"/>
      <c r="F489" s="14"/>
      <c r="T489"/>
      <c r="AK489" s="12"/>
      <c r="AL489" s="1"/>
      <c r="AM489" s="1"/>
      <c r="AN489" s="1"/>
      <c r="AO489" s="2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</row>
    <row r="490" spans="1:60" x14ac:dyDescent="0.25">
      <c r="A490" s="14"/>
      <c r="B490" s="14"/>
      <c r="C490" s="14"/>
      <c r="D490" s="14"/>
      <c r="E490" s="14"/>
      <c r="F490" s="14"/>
      <c r="T490"/>
      <c r="AK490" s="12"/>
      <c r="AL490" s="1"/>
      <c r="AM490" s="1"/>
      <c r="AN490" s="1"/>
      <c r="AO490" s="2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</row>
    <row r="491" spans="1:60" x14ac:dyDescent="0.25">
      <c r="A491" s="14"/>
      <c r="B491" s="14"/>
      <c r="C491" s="14"/>
      <c r="D491" s="14"/>
      <c r="E491" s="14"/>
      <c r="F491" s="14"/>
      <c r="T491"/>
      <c r="AK491" s="12"/>
      <c r="AL491" s="1"/>
      <c r="AM491" s="1"/>
      <c r="AN491" s="1"/>
      <c r="AO491" s="2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</row>
    <row r="492" spans="1:60" x14ac:dyDescent="0.25">
      <c r="A492" s="14"/>
      <c r="B492" s="14"/>
      <c r="C492" s="14"/>
      <c r="D492" s="14"/>
      <c r="E492" s="14"/>
      <c r="F492" s="14"/>
      <c r="T492"/>
      <c r="AK492" s="12"/>
      <c r="AL492" s="1"/>
      <c r="AM492" s="1"/>
      <c r="AN492" s="1"/>
      <c r="AO492" s="2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</row>
    <row r="493" spans="1:60" x14ac:dyDescent="0.25">
      <c r="A493" s="14"/>
      <c r="B493" s="14"/>
      <c r="C493" s="14"/>
      <c r="D493" s="14"/>
      <c r="E493" s="14"/>
      <c r="F493" s="14"/>
      <c r="T493"/>
      <c r="AK493" s="12"/>
      <c r="AL493" s="1"/>
      <c r="AM493" s="1"/>
      <c r="AN493" s="1"/>
      <c r="AO493" s="2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</row>
    <row r="494" spans="1:60" x14ac:dyDescent="0.25">
      <c r="A494" s="14"/>
      <c r="B494" s="14"/>
      <c r="C494" s="14"/>
      <c r="D494" s="14"/>
      <c r="E494" s="14"/>
      <c r="F494" s="14"/>
      <c r="T494"/>
      <c r="AK494" s="12"/>
      <c r="AL494" s="1"/>
      <c r="AM494" s="1"/>
      <c r="AN494" s="1"/>
      <c r="AO494" s="2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</row>
    <row r="495" spans="1:60" x14ac:dyDescent="0.25">
      <c r="A495" s="14"/>
      <c r="B495" s="14"/>
      <c r="C495" s="14"/>
      <c r="D495" s="14"/>
      <c r="E495" s="14"/>
      <c r="F495" s="14"/>
      <c r="T495"/>
      <c r="AK495" s="12"/>
      <c r="AL495" s="1"/>
      <c r="AM495" s="1"/>
      <c r="AN495" s="1"/>
      <c r="AO495" s="2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</row>
    <row r="496" spans="1:60" x14ac:dyDescent="0.25">
      <c r="A496" s="14"/>
      <c r="B496" s="14"/>
      <c r="C496" s="14"/>
      <c r="D496" s="14"/>
      <c r="E496" s="14"/>
      <c r="F496" s="14"/>
      <c r="T496"/>
      <c r="AK496" s="12"/>
      <c r="AL496" s="1"/>
      <c r="AM496" s="1"/>
      <c r="AN496" s="1"/>
      <c r="AO496" s="2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</row>
    <row r="497" spans="1:60" x14ac:dyDescent="0.25">
      <c r="A497" s="14"/>
      <c r="B497" s="14"/>
      <c r="C497" s="14"/>
      <c r="D497" s="14"/>
      <c r="E497" s="14"/>
      <c r="F497" s="14"/>
      <c r="T497"/>
      <c r="AK497" s="12"/>
      <c r="AL497" s="1"/>
      <c r="AM497" s="1"/>
      <c r="AN497" s="1"/>
      <c r="AO497" s="2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</row>
    <row r="498" spans="1:60" x14ac:dyDescent="0.25">
      <c r="A498" s="14"/>
      <c r="B498" s="14"/>
      <c r="C498" s="14"/>
      <c r="D498" s="14"/>
      <c r="E498" s="14"/>
      <c r="F498" s="14"/>
      <c r="T498"/>
      <c r="AK498" s="12"/>
      <c r="AL498" s="1"/>
      <c r="AM498" s="1"/>
      <c r="AN498" s="1"/>
      <c r="AO498" s="2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</row>
    <row r="499" spans="1:60" x14ac:dyDescent="0.25">
      <c r="A499" s="14"/>
      <c r="B499" s="14"/>
      <c r="C499" s="14"/>
      <c r="D499" s="14"/>
      <c r="E499" s="14"/>
      <c r="F499" s="14"/>
      <c r="T499"/>
      <c r="AK499" s="12"/>
      <c r="AL499" s="1"/>
      <c r="AM499" s="1"/>
      <c r="AN499" s="1"/>
      <c r="AO499" s="2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</row>
    <row r="500" spans="1:60" x14ac:dyDescent="0.25">
      <c r="A500" s="14"/>
      <c r="B500" s="14"/>
      <c r="C500" s="14"/>
      <c r="D500" s="14"/>
      <c r="E500" s="14"/>
      <c r="F500" s="14"/>
      <c r="T500"/>
      <c r="AK500" s="12"/>
      <c r="AL500" s="1"/>
      <c r="AM500" s="1"/>
      <c r="AN500" s="1"/>
      <c r="AO500" s="2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</row>
    <row r="501" spans="1:60" x14ac:dyDescent="0.25">
      <c r="A501" s="14"/>
      <c r="B501" s="14"/>
      <c r="C501" s="14"/>
      <c r="D501" s="14"/>
      <c r="E501" s="14"/>
      <c r="F501" s="14"/>
      <c r="T501"/>
      <c r="AK501" s="12"/>
      <c r="AL501" s="1"/>
      <c r="AM501" s="1"/>
      <c r="AN501" s="1"/>
      <c r="AO501" s="2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</row>
    <row r="502" spans="1:60" x14ac:dyDescent="0.25">
      <c r="A502" s="14"/>
      <c r="B502" s="14"/>
      <c r="C502" s="14"/>
      <c r="D502" s="14"/>
      <c r="E502" s="14"/>
      <c r="F502" s="14"/>
      <c r="T502"/>
      <c r="AK502" s="12"/>
      <c r="AL502" s="1"/>
      <c r="AM502" s="1"/>
      <c r="AN502" s="1"/>
      <c r="AO502" s="2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</row>
    <row r="503" spans="1:60" x14ac:dyDescent="0.25">
      <c r="A503" s="14"/>
      <c r="B503" s="14"/>
      <c r="C503" s="14"/>
      <c r="D503" s="14"/>
      <c r="E503" s="14"/>
      <c r="F503" s="14"/>
      <c r="T503"/>
      <c r="AK503" s="12"/>
      <c r="AL503" s="1"/>
      <c r="AM503" s="1"/>
      <c r="AN503" s="1"/>
      <c r="AO503" s="2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</row>
    <row r="504" spans="1:60" x14ac:dyDescent="0.25">
      <c r="A504" s="14"/>
      <c r="B504" s="14"/>
      <c r="C504" s="14"/>
      <c r="D504" s="14"/>
      <c r="E504" s="14"/>
      <c r="F504" s="14"/>
      <c r="T504"/>
      <c r="AK504" s="12"/>
      <c r="AL504" s="1"/>
      <c r="AM504" s="1"/>
      <c r="AN504" s="1"/>
      <c r="AO504" s="2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</row>
    <row r="505" spans="1:60" x14ac:dyDescent="0.25">
      <c r="A505" s="14"/>
      <c r="B505" s="14"/>
      <c r="C505" s="14"/>
      <c r="D505" s="14"/>
      <c r="E505" s="14"/>
      <c r="F505" s="14"/>
      <c r="T505"/>
      <c r="AK505" s="12"/>
      <c r="AL505" s="1"/>
      <c r="AM505" s="1"/>
      <c r="AN505" s="1"/>
      <c r="AO505" s="2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</row>
    <row r="506" spans="1:60" x14ac:dyDescent="0.25">
      <c r="A506" s="14"/>
      <c r="B506" s="14"/>
      <c r="C506" s="14"/>
      <c r="D506" s="14"/>
      <c r="E506" s="14"/>
      <c r="F506" s="14"/>
      <c r="T506"/>
      <c r="AK506" s="12"/>
      <c r="AL506" s="1"/>
      <c r="AM506" s="1"/>
      <c r="AN506" s="1"/>
      <c r="AO506" s="2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</row>
    <row r="507" spans="1:60" x14ac:dyDescent="0.25">
      <c r="A507" s="14"/>
      <c r="B507" s="14"/>
      <c r="C507" s="14"/>
      <c r="D507" s="14"/>
      <c r="E507" s="14"/>
      <c r="F507" s="14"/>
      <c r="T507"/>
      <c r="AK507" s="12"/>
      <c r="AL507" s="1"/>
      <c r="AM507" s="1"/>
      <c r="AN507" s="1"/>
      <c r="AO507" s="2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</row>
    <row r="508" spans="1:60" x14ac:dyDescent="0.25">
      <c r="A508" s="14"/>
      <c r="B508" s="14"/>
      <c r="C508" s="14"/>
      <c r="D508" s="14"/>
      <c r="E508" s="14"/>
      <c r="F508" s="14"/>
      <c r="T508"/>
      <c r="AK508" s="12"/>
      <c r="AL508" s="1"/>
      <c r="AM508" s="1"/>
      <c r="AN508" s="1"/>
      <c r="AO508" s="2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</row>
    <row r="509" spans="1:60" x14ac:dyDescent="0.25">
      <c r="A509" s="14"/>
      <c r="B509" s="14"/>
      <c r="C509" s="14"/>
      <c r="D509" s="14"/>
      <c r="E509" s="14"/>
      <c r="F509" s="14"/>
      <c r="T509"/>
      <c r="AK509" s="12"/>
      <c r="AL509" s="1"/>
      <c r="AM509" s="1"/>
      <c r="AN509" s="1"/>
      <c r="AO509" s="2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</row>
    <row r="510" spans="1:60" x14ac:dyDescent="0.25">
      <c r="A510" s="14"/>
      <c r="B510" s="14"/>
      <c r="C510" s="14"/>
      <c r="D510" s="14"/>
      <c r="E510" s="14"/>
      <c r="F510" s="14"/>
      <c r="T510"/>
      <c r="AK510" s="12"/>
      <c r="AL510" s="1"/>
      <c r="AM510" s="1"/>
      <c r="AN510" s="1"/>
      <c r="AO510" s="2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</row>
    <row r="511" spans="1:60" x14ac:dyDescent="0.25">
      <c r="A511" s="14"/>
      <c r="B511" s="14"/>
      <c r="C511" s="14"/>
      <c r="D511" s="14"/>
      <c r="E511" s="14"/>
      <c r="F511" s="14"/>
      <c r="T511"/>
      <c r="AK511" s="12"/>
      <c r="AL511" s="1"/>
      <c r="AM511" s="1"/>
      <c r="AN511" s="1"/>
      <c r="AO511" s="2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</row>
    <row r="512" spans="1:60" x14ac:dyDescent="0.25">
      <c r="A512" s="14"/>
      <c r="B512" s="14"/>
      <c r="C512" s="14"/>
      <c r="D512" s="14"/>
      <c r="E512" s="14"/>
      <c r="F512" s="14"/>
      <c r="T512"/>
      <c r="AK512" s="12"/>
      <c r="AL512" s="1"/>
      <c r="AM512" s="1"/>
      <c r="AN512" s="1"/>
      <c r="AO512" s="2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</row>
    <row r="513" spans="1:60" x14ac:dyDescent="0.25">
      <c r="A513" s="14"/>
      <c r="B513" s="14"/>
      <c r="C513" s="14"/>
      <c r="D513" s="14"/>
      <c r="E513" s="14"/>
      <c r="F513" s="14"/>
      <c r="T513"/>
      <c r="AK513" s="12"/>
      <c r="AL513" s="1"/>
      <c r="AM513" s="1"/>
      <c r="AN513" s="1"/>
      <c r="AO513" s="2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</row>
    <row r="514" spans="1:60" x14ac:dyDescent="0.25">
      <c r="A514" s="14"/>
      <c r="B514" s="14"/>
      <c r="C514" s="14"/>
      <c r="D514" s="14"/>
      <c r="E514" s="14"/>
      <c r="F514" s="14"/>
      <c r="T514"/>
      <c r="AK514" s="12"/>
      <c r="AL514" s="1"/>
      <c r="AM514" s="1"/>
      <c r="AN514" s="1"/>
      <c r="AO514" s="2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</row>
    <row r="515" spans="1:60" x14ac:dyDescent="0.25">
      <c r="A515" s="14"/>
      <c r="B515" s="14"/>
      <c r="C515" s="14"/>
      <c r="D515" s="14"/>
      <c r="E515" s="14"/>
      <c r="F515" s="14"/>
      <c r="T515"/>
      <c r="AK515" s="12"/>
      <c r="AL515" s="1"/>
      <c r="AM515" s="1"/>
      <c r="AN515" s="1"/>
      <c r="AO515" s="2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</row>
    <row r="516" spans="1:60" x14ac:dyDescent="0.25">
      <c r="A516" s="14"/>
      <c r="B516" s="14"/>
      <c r="C516" s="14"/>
      <c r="D516" s="14"/>
      <c r="E516" s="14"/>
      <c r="F516" s="14"/>
      <c r="T516"/>
      <c r="AK516" s="12"/>
      <c r="AL516" s="1"/>
      <c r="AM516" s="1"/>
      <c r="AN516" s="1"/>
      <c r="AO516" s="2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</row>
    <row r="517" spans="1:60" x14ac:dyDescent="0.25">
      <c r="A517" s="14"/>
      <c r="B517" s="14"/>
      <c r="C517" s="14"/>
      <c r="D517" s="14"/>
      <c r="E517" s="14"/>
      <c r="F517" s="14"/>
      <c r="T517"/>
      <c r="AK517" s="12"/>
      <c r="AL517" s="1"/>
      <c r="AM517" s="1"/>
      <c r="AN517" s="1"/>
      <c r="AO517" s="2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</row>
    <row r="518" spans="1:60" x14ac:dyDescent="0.25">
      <c r="A518" s="14"/>
      <c r="B518" s="14"/>
      <c r="C518" s="14"/>
      <c r="D518" s="14"/>
      <c r="E518" s="14"/>
      <c r="F518" s="14"/>
      <c r="T518"/>
      <c r="AK518" s="12"/>
      <c r="AL518" s="1"/>
      <c r="AM518" s="1"/>
      <c r="AN518" s="1"/>
      <c r="AO518" s="2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</row>
    <row r="519" spans="1:60" x14ac:dyDescent="0.25">
      <c r="A519" s="14"/>
      <c r="B519" s="14"/>
      <c r="C519" s="14"/>
      <c r="D519" s="14"/>
      <c r="E519" s="14"/>
      <c r="F519" s="14"/>
      <c r="T519"/>
      <c r="AK519" s="12"/>
      <c r="AL519" s="1"/>
      <c r="AM519" s="1"/>
      <c r="AN519" s="1"/>
      <c r="AO519" s="2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</row>
    <row r="520" spans="1:60" x14ac:dyDescent="0.25">
      <c r="A520" s="14"/>
      <c r="B520" s="14"/>
      <c r="C520" s="14"/>
      <c r="D520" s="14"/>
      <c r="E520" s="14"/>
      <c r="F520" s="14"/>
      <c r="T520"/>
      <c r="AK520" s="12"/>
      <c r="AL520" s="1"/>
      <c r="AM520" s="1"/>
      <c r="AN520" s="1"/>
      <c r="AO520" s="2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</row>
    <row r="521" spans="1:60" x14ac:dyDescent="0.25">
      <c r="A521" s="14"/>
      <c r="B521" s="14"/>
      <c r="C521" s="14"/>
      <c r="D521" s="14"/>
      <c r="E521" s="14"/>
      <c r="F521" s="14"/>
      <c r="T521"/>
      <c r="AK521" s="12"/>
      <c r="AL521" s="1"/>
      <c r="AM521" s="1"/>
      <c r="AN521" s="1"/>
      <c r="AO521" s="2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</row>
    <row r="522" spans="1:60" x14ac:dyDescent="0.25">
      <c r="A522" s="14"/>
      <c r="B522" s="14"/>
      <c r="C522" s="14"/>
      <c r="D522" s="14"/>
      <c r="E522" s="14"/>
      <c r="F522" s="14"/>
      <c r="T522"/>
      <c r="AK522" s="12"/>
      <c r="AL522" s="1"/>
      <c r="AM522" s="1"/>
      <c r="AN522" s="1"/>
      <c r="AO522" s="2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</row>
    <row r="523" spans="1:60" x14ac:dyDescent="0.25">
      <c r="A523" s="14"/>
      <c r="B523" s="14"/>
      <c r="C523" s="14"/>
      <c r="D523" s="14"/>
      <c r="E523" s="14"/>
      <c r="F523" s="14"/>
      <c r="T523"/>
      <c r="AK523" s="12"/>
      <c r="AL523" s="1"/>
      <c r="AM523" s="1"/>
      <c r="AN523" s="1"/>
      <c r="AO523" s="2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</row>
    <row r="524" spans="1:60" x14ac:dyDescent="0.25">
      <c r="A524" s="14"/>
      <c r="B524" s="14"/>
      <c r="C524" s="14"/>
      <c r="D524" s="14"/>
      <c r="E524" s="14"/>
      <c r="F524" s="14"/>
      <c r="T524"/>
      <c r="AK524" s="12"/>
      <c r="AL524" s="1"/>
      <c r="AM524" s="1"/>
      <c r="AN524" s="1"/>
      <c r="AO524" s="2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</row>
    <row r="525" spans="1:60" x14ac:dyDescent="0.25">
      <c r="A525" s="14"/>
      <c r="B525" s="14"/>
      <c r="C525" s="14"/>
      <c r="D525" s="14"/>
      <c r="E525" s="14"/>
      <c r="F525" s="14"/>
      <c r="T525"/>
      <c r="AK525" s="12"/>
      <c r="AL525" s="1"/>
      <c r="AM525" s="1"/>
      <c r="AN525" s="1"/>
      <c r="AO525" s="2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</row>
    <row r="526" spans="1:60" x14ac:dyDescent="0.25">
      <c r="A526" s="14"/>
      <c r="B526" s="14"/>
      <c r="C526" s="14"/>
      <c r="D526" s="14"/>
      <c r="E526" s="14"/>
      <c r="F526" s="14"/>
      <c r="T526"/>
      <c r="AK526" s="12"/>
      <c r="AL526" s="1"/>
      <c r="AM526" s="1"/>
      <c r="AN526" s="1"/>
      <c r="AO526" s="2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</row>
    <row r="527" spans="1:60" x14ac:dyDescent="0.25">
      <c r="A527" s="14"/>
      <c r="B527" s="14"/>
      <c r="C527" s="14"/>
      <c r="D527" s="14"/>
      <c r="E527" s="14"/>
      <c r="F527" s="14"/>
      <c r="T527"/>
      <c r="AK527" s="12"/>
      <c r="AL527" s="1"/>
      <c r="AM527" s="1"/>
      <c r="AN527" s="1"/>
      <c r="AO527" s="2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</row>
    <row r="528" spans="1:60" x14ac:dyDescent="0.25">
      <c r="A528" s="14"/>
      <c r="B528" s="14"/>
      <c r="C528" s="14"/>
      <c r="D528" s="14"/>
      <c r="E528" s="14"/>
      <c r="F528" s="14"/>
      <c r="T528"/>
      <c r="AK528" s="12"/>
      <c r="AL528" s="1"/>
      <c r="AM528" s="1"/>
      <c r="AN528" s="1"/>
      <c r="AO528" s="2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</row>
    <row r="529" spans="1:60" x14ac:dyDescent="0.25">
      <c r="A529" s="14"/>
      <c r="B529" s="14"/>
      <c r="C529" s="14"/>
      <c r="D529" s="14"/>
      <c r="E529" s="14"/>
      <c r="F529" s="14"/>
      <c r="T529"/>
      <c r="AK529" s="12"/>
      <c r="AL529" s="1"/>
      <c r="AM529" s="1"/>
      <c r="AN529" s="1"/>
      <c r="AO529" s="2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</row>
    <row r="530" spans="1:60" x14ac:dyDescent="0.25">
      <c r="A530" s="14"/>
      <c r="B530" s="14"/>
      <c r="C530" s="14"/>
      <c r="D530" s="14"/>
      <c r="E530" s="14"/>
      <c r="F530" s="14"/>
      <c r="T530"/>
      <c r="AK530" s="12"/>
      <c r="AL530" s="1"/>
      <c r="AM530" s="1"/>
      <c r="AN530" s="1"/>
      <c r="AO530" s="2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</row>
    <row r="531" spans="1:60" x14ac:dyDescent="0.25">
      <c r="A531" s="14"/>
      <c r="B531" s="14"/>
      <c r="C531" s="14"/>
      <c r="D531" s="14"/>
      <c r="E531" s="14"/>
      <c r="F531" s="14"/>
      <c r="T531"/>
      <c r="AK531" s="12"/>
      <c r="AL531" s="1"/>
      <c r="AM531" s="1"/>
      <c r="AN531" s="1"/>
      <c r="AO531" s="2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</row>
    <row r="532" spans="1:60" x14ac:dyDescent="0.25">
      <c r="A532" s="14"/>
      <c r="B532" s="14"/>
      <c r="C532" s="14"/>
      <c r="D532" s="14"/>
      <c r="E532" s="14"/>
      <c r="F532" s="14"/>
      <c r="T532"/>
      <c r="AK532" s="12"/>
      <c r="AL532" s="1"/>
      <c r="AM532" s="1"/>
      <c r="AN532" s="1"/>
      <c r="AO532" s="2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</row>
    <row r="533" spans="1:60" x14ac:dyDescent="0.25">
      <c r="A533" s="14"/>
      <c r="B533" s="14"/>
      <c r="C533" s="14"/>
      <c r="D533" s="14"/>
      <c r="E533" s="14"/>
      <c r="F533" s="14"/>
      <c r="T533"/>
      <c r="AK533" s="12"/>
      <c r="AL533" s="1"/>
      <c r="AM533" s="1"/>
      <c r="AN533" s="1"/>
      <c r="AO533" s="2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</row>
    <row r="534" spans="1:60" x14ac:dyDescent="0.25">
      <c r="A534" s="14"/>
      <c r="B534" s="14"/>
      <c r="C534" s="14"/>
      <c r="D534" s="14"/>
      <c r="E534" s="14"/>
      <c r="F534" s="14"/>
      <c r="T534"/>
      <c r="AK534" s="12"/>
      <c r="AL534" s="1"/>
      <c r="AM534" s="1"/>
      <c r="AN534" s="1"/>
      <c r="AO534" s="2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</row>
    <row r="535" spans="1:60" x14ac:dyDescent="0.25">
      <c r="A535" s="14"/>
      <c r="B535" s="14"/>
      <c r="C535" s="14"/>
      <c r="D535" s="14"/>
      <c r="E535" s="14"/>
      <c r="F535" s="14"/>
      <c r="T535"/>
      <c r="AK535" s="12"/>
      <c r="AL535" s="1"/>
      <c r="AM535" s="1"/>
      <c r="AN535" s="1"/>
      <c r="AO535" s="2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</row>
    <row r="536" spans="1:60" x14ac:dyDescent="0.25">
      <c r="A536" s="14"/>
      <c r="B536" s="14"/>
      <c r="C536" s="14"/>
      <c r="D536" s="14"/>
      <c r="E536" s="14"/>
      <c r="F536" s="14"/>
      <c r="T536"/>
      <c r="AK536" s="12"/>
      <c r="AL536" s="1"/>
      <c r="AM536" s="1"/>
      <c r="AN536" s="1"/>
      <c r="AO536" s="2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</row>
    <row r="537" spans="1:60" x14ac:dyDescent="0.25">
      <c r="A537" s="14"/>
      <c r="B537" s="14"/>
      <c r="C537" s="14"/>
      <c r="D537" s="14"/>
      <c r="E537" s="14"/>
      <c r="F537" s="14"/>
      <c r="T537"/>
      <c r="AK537" s="12"/>
      <c r="AL537" s="1"/>
      <c r="AM537" s="1"/>
      <c r="AN537" s="1"/>
      <c r="AO537" s="2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</row>
    <row r="538" spans="1:60" x14ac:dyDescent="0.25">
      <c r="A538" s="14"/>
      <c r="B538" s="14"/>
      <c r="C538" s="14"/>
      <c r="D538" s="14"/>
      <c r="E538" s="14"/>
      <c r="F538" s="14"/>
      <c r="T538"/>
      <c r="AK538" s="12"/>
      <c r="AL538" s="1"/>
      <c r="AM538" s="1"/>
      <c r="AN538" s="1"/>
      <c r="AO538" s="2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</row>
    <row r="539" spans="1:60" x14ac:dyDescent="0.25">
      <c r="A539" s="14"/>
      <c r="B539" s="14"/>
      <c r="C539" s="14"/>
      <c r="D539" s="14"/>
      <c r="E539" s="14"/>
      <c r="F539" s="14"/>
      <c r="T539"/>
      <c r="AK539" s="12"/>
      <c r="AL539" s="1"/>
      <c r="AM539" s="1"/>
      <c r="AN539" s="1"/>
      <c r="AO539" s="2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</row>
    <row r="540" spans="1:60" x14ac:dyDescent="0.25">
      <c r="A540" s="14"/>
      <c r="B540" s="14"/>
      <c r="C540" s="14"/>
      <c r="D540" s="14"/>
      <c r="E540" s="14"/>
      <c r="F540" s="14"/>
      <c r="T540"/>
      <c r="AK540" s="12"/>
      <c r="AL540" s="1"/>
      <c r="AM540" s="1"/>
      <c r="AN540" s="1"/>
      <c r="AO540" s="2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</row>
    <row r="541" spans="1:60" x14ac:dyDescent="0.25">
      <c r="A541" s="14"/>
      <c r="B541" s="14"/>
      <c r="C541" s="14"/>
      <c r="D541" s="14"/>
      <c r="E541" s="14"/>
      <c r="F541" s="14"/>
      <c r="T541"/>
      <c r="AK541" s="12"/>
      <c r="AL541" s="1"/>
      <c r="AM541" s="1"/>
      <c r="AN541" s="1"/>
      <c r="AO541" s="2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</row>
    <row r="542" spans="1:60" x14ac:dyDescent="0.25">
      <c r="A542" s="14"/>
      <c r="B542" s="14"/>
      <c r="C542" s="14"/>
      <c r="D542" s="14"/>
      <c r="E542" s="14"/>
      <c r="F542" s="14"/>
      <c r="T542"/>
      <c r="AK542" s="12"/>
      <c r="AL542" s="1"/>
      <c r="AM542" s="1"/>
      <c r="AN542" s="1"/>
      <c r="AO542" s="2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</row>
    <row r="543" spans="1:60" x14ac:dyDescent="0.25">
      <c r="A543" s="14"/>
      <c r="B543" s="14"/>
      <c r="C543" s="14"/>
      <c r="D543" s="14"/>
      <c r="E543" s="14"/>
      <c r="F543" s="14"/>
      <c r="T543"/>
      <c r="AK543" s="12"/>
      <c r="AL543" s="1"/>
      <c r="AM543" s="1"/>
      <c r="AN543" s="1"/>
      <c r="AO543" s="2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</row>
    <row r="544" spans="1:60" x14ac:dyDescent="0.25">
      <c r="A544" s="14"/>
      <c r="B544" s="14"/>
      <c r="C544" s="14"/>
      <c r="D544" s="14"/>
      <c r="E544" s="14"/>
      <c r="F544" s="14"/>
      <c r="T544"/>
      <c r="AK544" s="12"/>
      <c r="AL544" s="1"/>
      <c r="AM544" s="1"/>
      <c r="AN544" s="1"/>
      <c r="AO544" s="2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</row>
    <row r="545" spans="1:60" x14ac:dyDescent="0.25">
      <c r="A545" s="14"/>
      <c r="B545" s="14"/>
      <c r="C545" s="14"/>
      <c r="D545" s="14"/>
      <c r="E545" s="14"/>
      <c r="F545" s="14"/>
      <c r="T545"/>
      <c r="AK545" s="12"/>
      <c r="AL545" s="1"/>
      <c r="AM545" s="1"/>
      <c r="AN545" s="1"/>
      <c r="AO545" s="2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</row>
    <row r="546" spans="1:60" x14ac:dyDescent="0.25">
      <c r="A546" s="14"/>
      <c r="B546" s="14"/>
      <c r="C546" s="14"/>
      <c r="D546" s="14"/>
      <c r="E546" s="14"/>
      <c r="F546" s="14"/>
      <c r="T546"/>
      <c r="AK546" s="12"/>
      <c r="AL546" s="1"/>
      <c r="AM546" s="1"/>
      <c r="AN546" s="1"/>
      <c r="AO546" s="2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</row>
    <row r="547" spans="1:60" x14ac:dyDescent="0.25">
      <c r="A547" s="14"/>
      <c r="B547" s="14"/>
      <c r="C547" s="14"/>
      <c r="D547" s="14"/>
      <c r="E547" s="14"/>
      <c r="F547" s="14"/>
      <c r="T547"/>
      <c r="AK547" s="12"/>
      <c r="AL547" s="1"/>
      <c r="AM547" s="1"/>
      <c r="AN547" s="1"/>
      <c r="AO547" s="2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</row>
    <row r="548" spans="1:60" x14ac:dyDescent="0.25">
      <c r="A548" s="14"/>
      <c r="B548" s="14"/>
      <c r="C548" s="14"/>
      <c r="D548" s="14"/>
      <c r="E548" s="14"/>
      <c r="F548" s="14"/>
      <c r="T548"/>
      <c r="AK548" s="12"/>
      <c r="AL548" s="1"/>
      <c r="AM548" s="1"/>
      <c r="AN548" s="1"/>
      <c r="AO548" s="2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</row>
    <row r="549" spans="1:60" x14ac:dyDescent="0.25">
      <c r="A549" s="14"/>
      <c r="B549" s="14"/>
      <c r="C549" s="14"/>
      <c r="D549" s="14"/>
      <c r="E549" s="14"/>
      <c r="F549" s="14"/>
      <c r="T549"/>
      <c r="AK549" s="12"/>
      <c r="AL549" s="1"/>
      <c r="AM549" s="1"/>
      <c r="AN549" s="1"/>
      <c r="AO549" s="2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</row>
    <row r="550" spans="1:60" x14ac:dyDescent="0.25">
      <c r="A550" s="14"/>
      <c r="B550" s="14"/>
      <c r="C550" s="14"/>
      <c r="D550" s="14"/>
      <c r="E550" s="14"/>
      <c r="F550" s="14"/>
      <c r="T550"/>
      <c r="AK550" s="12"/>
      <c r="AL550" s="1"/>
      <c r="AM550" s="1"/>
      <c r="AN550" s="1"/>
      <c r="AO550" s="2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</row>
    <row r="551" spans="1:60" x14ac:dyDescent="0.25">
      <c r="A551" s="14"/>
      <c r="B551" s="14"/>
      <c r="C551" s="14"/>
      <c r="D551" s="14"/>
      <c r="E551" s="14"/>
      <c r="F551" s="14"/>
      <c r="T551"/>
      <c r="AK551" s="12"/>
      <c r="AL551" s="1"/>
      <c r="AM551" s="1"/>
      <c r="AN551" s="1"/>
      <c r="AO551" s="2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</row>
    <row r="552" spans="1:60" x14ac:dyDescent="0.25">
      <c r="A552" s="14"/>
      <c r="B552" s="14"/>
      <c r="C552" s="14"/>
      <c r="D552" s="14"/>
      <c r="E552" s="14"/>
      <c r="F552" s="14"/>
      <c r="T552"/>
      <c r="AK552" s="12"/>
      <c r="AL552" s="1"/>
      <c r="AM552" s="1"/>
      <c r="AN552" s="1"/>
      <c r="AO552" s="2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</row>
    <row r="553" spans="1:60" x14ac:dyDescent="0.25">
      <c r="A553" s="14"/>
      <c r="B553" s="14"/>
      <c r="C553" s="14"/>
      <c r="D553" s="14"/>
      <c r="E553" s="14"/>
      <c r="F553" s="14"/>
      <c r="T553"/>
      <c r="AK553" s="12"/>
      <c r="AL553" s="1"/>
      <c r="AM553" s="1"/>
      <c r="AN553" s="1"/>
      <c r="AO553" s="2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</row>
    <row r="554" spans="1:60" x14ac:dyDescent="0.25">
      <c r="A554" s="14"/>
      <c r="B554" s="14"/>
      <c r="C554" s="14"/>
      <c r="D554" s="14"/>
      <c r="E554" s="14"/>
      <c r="F554" s="14"/>
      <c r="T554"/>
      <c r="AK554" s="12"/>
      <c r="AL554" s="1"/>
      <c r="AM554" s="1"/>
      <c r="AN554" s="1"/>
      <c r="AO554" s="2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</row>
    <row r="555" spans="1:60" x14ac:dyDescent="0.25">
      <c r="A555" s="14"/>
      <c r="B555" s="14"/>
      <c r="C555" s="14"/>
      <c r="D555" s="14"/>
      <c r="E555" s="14"/>
      <c r="F555" s="14"/>
      <c r="T555"/>
      <c r="AK555" s="12"/>
      <c r="AL555" s="1"/>
      <c r="AM555" s="1"/>
      <c r="AN555" s="1"/>
      <c r="AO555" s="2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</row>
    <row r="556" spans="1:60" x14ac:dyDescent="0.25">
      <c r="A556" s="14"/>
      <c r="B556" s="14"/>
      <c r="C556" s="14"/>
      <c r="D556" s="14"/>
      <c r="E556" s="14"/>
      <c r="F556" s="14"/>
      <c r="T556"/>
      <c r="AK556" s="12"/>
      <c r="AL556" s="1"/>
      <c r="AM556" s="1"/>
      <c r="AN556" s="1"/>
      <c r="AO556" s="2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</row>
    <row r="557" spans="1:60" x14ac:dyDescent="0.25">
      <c r="A557" s="14"/>
      <c r="B557" s="14"/>
      <c r="C557" s="14"/>
      <c r="D557" s="14"/>
      <c r="E557" s="14"/>
      <c r="F557" s="14"/>
      <c r="T557"/>
      <c r="AK557" s="12"/>
      <c r="AL557" s="1"/>
      <c r="AM557" s="1"/>
      <c r="AN557" s="1"/>
      <c r="AO557" s="2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</row>
    <row r="558" spans="1:60" x14ac:dyDescent="0.25">
      <c r="A558" s="14"/>
      <c r="B558" s="14"/>
      <c r="C558" s="14"/>
      <c r="D558" s="14"/>
      <c r="E558" s="14"/>
      <c r="F558" s="14"/>
      <c r="T558"/>
      <c r="AK558" s="12"/>
      <c r="AL558" s="1"/>
      <c r="AM558" s="1"/>
      <c r="AN558" s="1"/>
      <c r="AO558" s="2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</row>
    <row r="559" spans="1:60" x14ac:dyDescent="0.25">
      <c r="A559" s="14"/>
      <c r="B559" s="14"/>
      <c r="C559" s="14"/>
      <c r="D559" s="14"/>
      <c r="E559" s="14"/>
      <c r="F559" s="14"/>
      <c r="T559"/>
      <c r="AK559" s="12"/>
      <c r="AL559" s="1"/>
      <c r="AM559" s="1"/>
      <c r="AN559" s="1"/>
      <c r="AO559" s="2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</row>
    <row r="560" spans="1:60" x14ac:dyDescent="0.25">
      <c r="A560" s="14"/>
      <c r="B560" s="14"/>
      <c r="C560" s="14"/>
      <c r="D560" s="14"/>
      <c r="E560" s="14"/>
      <c r="F560" s="14"/>
      <c r="T560"/>
      <c r="AK560" s="12"/>
      <c r="AL560" s="1"/>
      <c r="AM560" s="1"/>
      <c r="AN560" s="1"/>
      <c r="AO560" s="2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</row>
    <row r="561" spans="1:60" x14ac:dyDescent="0.25">
      <c r="A561" s="14"/>
      <c r="B561" s="14"/>
      <c r="C561" s="14"/>
      <c r="D561" s="14"/>
      <c r="E561" s="14"/>
      <c r="F561" s="14"/>
      <c r="T561"/>
      <c r="AK561" s="12"/>
      <c r="AL561" s="1"/>
      <c r="AM561" s="1"/>
      <c r="AN561" s="1"/>
      <c r="AO561" s="2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</row>
    <row r="562" spans="1:60" x14ac:dyDescent="0.25">
      <c r="A562" s="14"/>
      <c r="B562" s="14"/>
      <c r="C562" s="14"/>
      <c r="D562" s="14"/>
      <c r="E562" s="14"/>
      <c r="F562" s="14"/>
      <c r="T562"/>
      <c r="AK562" s="12"/>
      <c r="AL562" s="1"/>
      <c r="AM562" s="1"/>
      <c r="AN562" s="1"/>
      <c r="AO562" s="2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</row>
    <row r="563" spans="1:60" x14ac:dyDescent="0.25">
      <c r="A563" s="14"/>
      <c r="B563" s="14"/>
      <c r="C563" s="14"/>
      <c r="D563" s="14"/>
      <c r="E563" s="14"/>
      <c r="F563" s="14"/>
      <c r="T563"/>
      <c r="AK563" s="12"/>
      <c r="AL563" s="1"/>
      <c r="AM563" s="1"/>
      <c r="AN563" s="1"/>
      <c r="AO563" s="2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</row>
    <row r="564" spans="1:60" x14ac:dyDescent="0.25">
      <c r="A564" s="14"/>
      <c r="B564" s="14"/>
      <c r="C564" s="14"/>
      <c r="D564" s="14"/>
      <c r="E564" s="14"/>
      <c r="F564" s="14"/>
      <c r="T564"/>
      <c r="AK564" s="12"/>
      <c r="AL564" s="1"/>
      <c r="AM564" s="1"/>
      <c r="AN564" s="1"/>
      <c r="AO564" s="2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</row>
    <row r="565" spans="1:60" x14ac:dyDescent="0.25">
      <c r="A565" s="14"/>
      <c r="B565" s="14"/>
      <c r="C565" s="14"/>
      <c r="D565" s="14"/>
      <c r="E565" s="14"/>
      <c r="F565" s="14"/>
      <c r="T565"/>
      <c r="AK565" s="12"/>
      <c r="AL565" s="1"/>
      <c r="AM565" s="1"/>
      <c r="AN565" s="1"/>
      <c r="AO565" s="2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</row>
    <row r="566" spans="1:60" x14ac:dyDescent="0.25">
      <c r="A566" s="14"/>
      <c r="B566" s="14"/>
      <c r="C566" s="14"/>
      <c r="D566" s="14"/>
      <c r="E566" s="14"/>
      <c r="F566" s="14"/>
      <c r="T566"/>
      <c r="AK566" s="12"/>
      <c r="AL566" s="1"/>
      <c r="AM566" s="1"/>
      <c r="AN566" s="1"/>
      <c r="AO566" s="2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</row>
    <row r="567" spans="1:60" x14ac:dyDescent="0.25">
      <c r="A567" s="14"/>
      <c r="B567" s="14"/>
      <c r="C567" s="14"/>
      <c r="D567" s="14"/>
      <c r="E567" s="14"/>
      <c r="F567" s="14"/>
      <c r="T567"/>
      <c r="AK567" s="12"/>
      <c r="AL567" s="1"/>
      <c r="AM567" s="1"/>
      <c r="AN567" s="1"/>
      <c r="AO567" s="2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</row>
    <row r="568" spans="1:60" x14ac:dyDescent="0.25">
      <c r="A568" s="14"/>
      <c r="B568" s="14"/>
      <c r="C568" s="14"/>
      <c r="D568" s="14"/>
      <c r="E568" s="14"/>
      <c r="F568" s="14"/>
      <c r="T568"/>
      <c r="AK568" s="12"/>
      <c r="AL568" s="1"/>
      <c r="AM568" s="1"/>
      <c r="AN568" s="1"/>
      <c r="AO568" s="2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</row>
    <row r="569" spans="1:60" x14ac:dyDescent="0.25">
      <c r="A569" s="14"/>
      <c r="B569" s="14"/>
      <c r="C569" s="14"/>
      <c r="D569" s="14"/>
      <c r="E569" s="14"/>
      <c r="F569" s="14"/>
      <c r="T569"/>
      <c r="AK569" s="12"/>
      <c r="AL569" s="1"/>
      <c r="AM569" s="1"/>
      <c r="AN569" s="1"/>
      <c r="AO569" s="2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</row>
    <row r="570" spans="1:60" x14ac:dyDescent="0.25">
      <c r="A570" s="14"/>
      <c r="B570" s="14"/>
      <c r="C570" s="14"/>
      <c r="D570" s="14"/>
      <c r="E570" s="14"/>
      <c r="F570" s="14"/>
      <c r="T570"/>
      <c r="AK570" s="12"/>
      <c r="AL570" s="1"/>
      <c r="AM570" s="1"/>
      <c r="AN570" s="1"/>
      <c r="AO570" s="2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</row>
    <row r="571" spans="1:60" x14ac:dyDescent="0.25">
      <c r="A571" s="14"/>
      <c r="B571" s="14"/>
      <c r="C571" s="14"/>
      <c r="D571" s="14"/>
      <c r="E571" s="14"/>
      <c r="F571" s="14"/>
      <c r="T571"/>
      <c r="AK571" s="12"/>
      <c r="AL571" s="1"/>
      <c r="AM571" s="1"/>
      <c r="AN571" s="1"/>
      <c r="AO571" s="2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</row>
    <row r="572" spans="1:60" x14ac:dyDescent="0.25">
      <c r="A572" s="14"/>
      <c r="B572" s="14"/>
      <c r="C572" s="14"/>
      <c r="D572" s="14"/>
      <c r="E572" s="14"/>
      <c r="F572" s="14"/>
      <c r="T572"/>
      <c r="AK572" s="12"/>
      <c r="AL572" s="1"/>
      <c r="AM572" s="1"/>
      <c r="AN572" s="1"/>
      <c r="AO572" s="2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</row>
    <row r="573" spans="1:60" x14ac:dyDescent="0.25">
      <c r="A573" s="14"/>
      <c r="B573" s="14"/>
      <c r="C573" s="14"/>
      <c r="D573" s="14"/>
      <c r="E573" s="14"/>
      <c r="F573" s="14"/>
      <c r="T573"/>
      <c r="AK573" s="12"/>
      <c r="AL573" s="1"/>
      <c r="AM573" s="1"/>
      <c r="AN573" s="1"/>
      <c r="AO573" s="2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</row>
    <row r="574" spans="1:60" x14ac:dyDescent="0.25">
      <c r="A574" s="14"/>
      <c r="B574" s="14"/>
      <c r="C574" s="14"/>
      <c r="D574" s="14"/>
      <c r="E574" s="14"/>
      <c r="F574" s="14"/>
      <c r="T574"/>
      <c r="AK574" s="12"/>
      <c r="AL574" s="1"/>
      <c r="AM574" s="1"/>
      <c r="AN574" s="1"/>
      <c r="AO574" s="2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</row>
    <row r="575" spans="1:60" x14ac:dyDescent="0.25">
      <c r="A575" s="14"/>
      <c r="B575" s="14"/>
      <c r="C575" s="14"/>
      <c r="D575" s="14"/>
      <c r="E575" s="14"/>
      <c r="F575" s="14"/>
      <c r="T575"/>
      <c r="AK575" s="12"/>
      <c r="AL575" s="1"/>
      <c r="AM575" s="1"/>
      <c r="AN575" s="1"/>
      <c r="AO575" s="2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</row>
    <row r="576" spans="1:60" x14ac:dyDescent="0.25">
      <c r="A576" s="14"/>
      <c r="B576" s="14"/>
      <c r="C576" s="14"/>
      <c r="D576" s="14"/>
      <c r="E576" s="14"/>
      <c r="F576" s="14"/>
      <c r="T576"/>
      <c r="AK576" s="12"/>
      <c r="AL576" s="1"/>
      <c r="AM576" s="1"/>
      <c r="AN576" s="1"/>
      <c r="AO576" s="2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</row>
    <row r="577" spans="1:60" x14ac:dyDescent="0.25">
      <c r="A577" s="14"/>
      <c r="B577" s="14"/>
      <c r="C577" s="14"/>
      <c r="D577" s="14"/>
      <c r="E577" s="14"/>
      <c r="F577" s="14"/>
      <c r="T577"/>
      <c r="AK577" s="12"/>
      <c r="AL577" s="1"/>
      <c r="AM577" s="1"/>
      <c r="AN577" s="1"/>
      <c r="AO577" s="2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</row>
    <row r="578" spans="1:60" x14ac:dyDescent="0.25">
      <c r="A578" s="14"/>
      <c r="B578" s="14"/>
      <c r="C578" s="14"/>
      <c r="D578" s="14"/>
      <c r="E578" s="14"/>
      <c r="F578" s="14"/>
      <c r="T578"/>
      <c r="AK578" s="12"/>
      <c r="AL578" s="1"/>
      <c r="AM578" s="1"/>
      <c r="AN578" s="1"/>
      <c r="AO578" s="2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</row>
    <row r="579" spans="1:60" x14ac:dyDescent="0.25">
      <c r="A579" s="14"/>
      <c r="B579" s="14"/>
      <c r="C579" s="14"/>
      <c r="D579" s="14"/>
      <c r="E579" s="14"/>
      <c r="F579" s="14"/>
      <c r="T579"/>
      <c r="AK579" s="12"/>
      <c r="AL579" s="1"/>
      <c r="AM579" s="1"/>
      <c r="AN579" s="1"/>
      <c r="AO579" s="2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</row>
    <row r="580" spans="1:60" x14ac:dyDescent="0.25">
      <c r="A580" s="14"/>
      <c r="B580" s="14"/>
      <c r="C580" s="14"/>
      <c r="D580" s="14"/>
      <c r="E580" s="14"/>
      <c r="F580" s="14"/>
      <c r="T580"/>
      <c r="AK580" s="12"/>
      <c r="AL580" s="1"/>
      <c r="AM580" s="1"/>
      <c r="AN580" s="1"/>
      <c r="AO580" s="2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</row>
    <row r="581" spans="1:60" x14ac:dyDescent="0.25">
      <c r="A581" s="14"/>
      <c r="B581" s="14"/>
      <c r="C581" s="14"/>
      <c r="D581" s="14"/>
      <c r="E581" s="14"/>
      <c r="F581" s="14"/>
      <c r="T581"/>
      <c r="AK581" s="12"/>
      <c r="AL581" s="1"/>
      <c r="AM581" s="1"/>
      <c r="AN581" s="1"/>
      <c r="AO581" s="2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</row>
    <row r="582" spans="1:60" x14ac:dyDescent="0.25">
      <c r="A582" s="14"/>
      <c r="B582" s="14"/>
      <c r="C582" s="14"/>
      <c r="D582" s="14"/>
      <c r="E582" s="14"/>
      <c r="F582" s="14"/>
      <c r="T582"/>
      <c r="AK582" s="12"/>
      <c r="AL582" s="1"/>
      <c r="AM582" s="1"/>
      <c r="AN582" s="1"/>
      <c r="AO582" s="2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</row>
    <row r="583" spans="1:60" x14ac:dyDescent="0.25">
      <c r="A583" s="14"/>
      <c r="B583" s="14"/>
      <c r="C583" s="14"/>
      <c r="D583" s="14"/>
      <c r="E583" s="14"/>
      <c r="F583" s="14"/>
      <c r="T583"/>
      <c r="AK583" s="12"/>
      <c r="AL583" s="1"/>
      <c r="AM583" s="1"/>
      <c r="AN583" s="1"/>
      <c r="AO583" s="2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</row>
    <row r="584" spans="1:60" x14ac:dyDescent="0.25">
      <c r="A584" s="14"/>
      <c r="B584" s="14"/>
      <c r="C584" s="14"/>
      <c r="D584" s="14"/>
      <c r="E584" s="14"/>
      <c r="F584" s="14"/>
      <c r="T584"/>
      <c r="AK584" s="12"/>
      <c r="AL584" s="1"/>
      <c r="AM584" s="1"/>
      <c r="AN584" s="1"/>
      <c r="AO584" s="2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</row>
    <row r="585" spans="1:60" x14ac:dyDescent="0.25">
      <c r="A585" s="14"/>
      <c r="B585" s="14"/>
      <c r="C585" s="14"/>
      <c r="D585" s="14"/>
      <c r="E585" s="14"/>
      <c r="F585" s="14"/>
      <c r="T585"/>
      <c r="AK585" s="12"/>
      <c r="AL585" s="1"/>
      <c r="AM585" s="1"/>
      <c r="AN585" s="1"/>
      <c r="AO585" s="2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</row>
    <row r="586" spans="1:60" x14ac:dyDescent="0.25">
      <c r="A586" s="14"/>
      <c r="B586" s="14"/>
      <c r="C586" s="14"/>
      <c r="D586" s="14"/>
      <c r="E586" s="14"/>
      <c r="F586" s="14"/>
      <c r="T586"/>
      <c r="AK586" s="12"/>
      <c r="AL586" s="1"/>
      <c r="AM586" s="1"/>
      <c r="AN586" s="1"/>
      <c r="AO586" s="2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</row>
    <row r="587" spans="1:60" x14ac:dyDescent="0.25">
      <c r="A587" s="14"/>
      <c r="B587" s="14"/>
      <c r="C587" s="14"/>
      <c r="D587" s="14"/>
      <c r="E587" s="14"/>
      <c r="F587" s="14"/>
      <c r="T587"/>
      <c r="AK587" s="12"/>
      <c r="AL587" s="1"/>
      <c r="AM587" s="1"/>
      <c r="AN587" s="1"/>
      <c r="AO587" s="2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</row>
    <row r="588" spans="1:60" x14ac:dyDescent="0.25">
      <c r="A588" s="14"/>
      <c r="B588" s="14"/>
      <c r="C588" s="14"/>
      <c r="D588" s="14"/>
      <c r="E588" s="14"/>
      <c r="F588" s="14"/>
      <c r="T588"/>
      <c r="AK588" s="12"/>
      <c r="AL588" s="1"/>
      <c r="AM588" s="1"/>
      <c r="AN588" s="1"/>
      <c r="AO588" s="2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</row>
    <row r="589" spans="1:60" x14ac:dyDescent="0.25">
      <c r="A589" s="14"/>
      <c r="B589" s="14"/>
      <c r="C589" s="14"/>
      <c r="D589" s="14"/>
      <c r="E589" s="14"/>
      <c r="F589" s="14"/>
      <c r="T589"/>
      <c r="AK589" s="12"/>
      <c r="AL589" s="1"/>
      <c r="AM589" s="1"/>
      <c r="AN589" s="1"/>
      <c r="AO589" s="2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</row>
    <row r="590" spans="1:60" x14ac:dyDescent="0.25">
      <c r="A590" s="14"/>
      <c r="B590" s="14"/>
      <c r="C590" s="14"/>
      <c r="D590" s="14"/>
      <c r="E590" s="14"/>
      <c r="F590" s="14"/>
      <c r="T590"/>
      <c r="AK590" s="12"/>
      <c r="AL590" s="1"/>
      <c r="AM590" s="1"/>
      <c r="AN590" s="1"/>
      <c r="AO590" s="2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</row>
    <row r="591" spans="1:60" x14ac:dyDescent="0.25">
      <c r="A591" s="14"/>
      <c r="B591" s="14"/>
      <c r="C591" s="14"/>
      <c r="D591" s="14"/>
      <c r="E591" s="14"/>
      <c r="F591" s="14"/>
      <c r="T591"/>
      <c r="AK591" s="12"/>
      <c r="AL591" s="1"/>
      <c r="AM591" s="1"/>
      <c r="AN591" s="1"/>
      <c r="AO591" s="2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</row>
    <row r="592" spans="1:60" x14ac:dyDescent="0.25">
      <c r="A592" s="14"/>
      <c r="B592" s="14"/>
      <c r="C592" s="14"/>
      <c r="D592" s="14"/>
      <c r="E592" s="14"/>
      <c r="F592" s="14"/>
      <c r="T592"/>
      <c r="AK592" s="12"/>
      <c r="AL592" s="1"/>
      <c r="AM592" s="1"/>
      <c r="AN592" s="1"/>
      <c r="AO592" s="2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</row>
    <row r="593" spans="1:60" x14ac:dyDescent="0.25">
      <c r="A593" s="14"/>
      <c r="B593" s="14"/>
      <c r="C593" s="14"/>
      <c r="D593" s="14"/>
      <c r="E593" s="14"/>
      <c r="F593" s="14"/>
      <c r="T593"/>
      <c r="AK593" s="12"/>
      <c r="AL593" s="1"/>
      <c r="AM593" s="1"/>
      <c r="AN593" s="1"/>
      <c r="AO593" s="2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</row>
    <row r="594" spans="1:60" x14ac:dyDescent="0.25">
      <c r="A594" s="14"/>
      <c r="B594" s="14"/>
      <c r="C594" s="14"/>
      <c r="D594" s="14"/>
      <c r="E594" s="14"/>
      <c r="F594" s="14"/>
      <c r="T594"/>
      <c r="AK594" s="12"/>
      <c r="AL594" s="1"/>
      <c r="AM594" s="1"/>
      <c r="AN594" s="1"/>
      <c r="AO594" s="2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</row>
    <row r="595" spans="1:60" x14ac:dyDescent="0.25">
      <c r="A595" s="14"/>
      <c r="B595" s="14"/>
      <c r="C595" s="14"/>
      <c r="D595" s="14"/>
      <c r="E595" s="14"/>
      <c r="F595" s="14"/>
      <c r="T595"/>
      <c r="AK595" s="12"/>
      <c r="AL595" s="1"/>
      <c r="AM595" s="1"/>
      <c r="AN595" s="1"/>
      <c r="AO595" s="2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</row>
    <row r="596" spans="1:60" x14ac:dyDescent="0.25">
      <c r="A596" s="14"/>
      <c r="B596" s="14"/>
      <c r="C596" s="14"/>
      <c r="D596" s="14"/>
      <c r="E596" s="14"/>
      <c r="F596" s="14"/>
      <c r="T596"/>
      <c r="AK596" s="12"/>
      <c r="AL596" s="1"/>
      <c r="AM596" s="1"/>
      <c r="AN596" s="1"/>
      <c r="AO596" s="2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</row>
    <row r="597" spans="1:60" x14ac:dyDescent="0.25">
      <c r="A597" s="14"/>
      <c r="B597" s="14"/>
      <c r="C597" s="14"/>
      <c r="D597" s="14"/>
      <c r="E597" s="14"/>
      <c r="F597" s="14"/>
      <c r="T597"/>
      <c r="AK597" s="12"/>
      <c r="AL597" s="1"/>
      <c r="AM597" s="1"/>
      <c r="AN597" s="1"/>
      <c r="AO597" s="2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</row>
    <row r="598" spans="1:60" x14ac:dyDescent="0.25">
      <c r="A598" s="14"/>
      <c r="B598" s="14"/>
      <c r="C598" s="14"/>
      <c r="D598" s="14"/>
      <c r="E598" s="14"/>
      <c r="F598" s="14"/>
      <c r="T598"/>
      <c r="AK598" s="12"/>
      <c r="AL598" s="1"/>
      <c r="AM598" s="1"/>
      <c r="AN598" s="1"/>
      <c r="AO598" s="2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</row>
    <row r="599" spans="1:60" x14ac:dyDescent="0.25">
      <c r="A599" s="14"/>
      <c r="B599" s="14"/>
      <c r="C599" s="14"/>
      <c r="D599" s="14"/>
      <c r="E599" s="14"/>
      <c r="F599" s="14"/>
      <c r="T599"/>
      <c r="AK599" s="12"/>
      <c r="AL599" s="1"/>
      <c r="AM599" s="1"/>
      <c r="AN599" s="1"/>
      <c r="AO599" s="2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</row>
    <row r="600" spans="1:60" x14ac:dyDescent="0.25">
      <c r="A600" s="14"/>
      <c r="B600" s="14"/>
      <c r="C600" s="14"/>
      <c r="D600" s="14"/>
      <c r="E600" s="14"/>
      <c r="F600" s="14"/>
      <c r="T600"/>
      <c r="AK600" s="12"/>
      <c r="AL600" s="1"/>
      <c r="AM600" s="1"/>
      <c r="AN600" s="1"/>
      <c r="AO600" s="2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</row>
    <row r="601" spans="1:60" x14ac:dyDescent="0.25">
      <c r="A601" s="14"/>
      <c r="B601" s="14"/>
      <c r="C601" s="14"/>
      <c r="D601" s="14"/>
      <c r="E601" s="14"/>
      <c r="F601" s="14"/>
      <c r="T601"/>
      <c r="AK601" s="12"/>
      <c r="AL601" s="1"/>
      <c r="AM601" s="1"/>
      <c r="AN601" s="1"/>
      <c r="AO601" s="2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</row>
    <row r="602" spans="1:60" x14ac:dyDescent="0.25">
      <c r="A602" s="14"/>
      <c r="B602" s="14"/>
      <c r="C602" s="14"/>
      <c r="D602" s="14"/>
      <c r="E602" s="14"/>
      <c r="F602" s="14"/>
      <c r="T602"/>
      <c r="AK602" s="12"/>
      <c r="AL602" s="1"/>
      <c r="AM602" s="1"/>
      <c r="AN602" s="1"/>
      <c r="AO602" s="2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</row>
    <row r="603" spans="1:60" x14ac:dyDescent="0.25">
      <c r="A603" s="14"/>
      <c r="B603" s="14"/>
      <c r="C603" s="14"/>
      <c r="D603" s="14"/>
      <c r="E603" s="14"/>
      <c r="F603" s="14"/>
      <c r="T603"/>
      <c r="AK603" s="12"/>
      <c r="AL603" s="1"/>
      <c r="AM603" s="1"/>
      <c r="AN603" s="1"/>
      <c r="AO603" s="2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</row>
    <row r="604" spans="1:60" x14ac:dyDescent="0.25">
      <c r="A604" s="14"/>
      <c r="B604" s="14"/>
      <c r="C604" s="14"/>
      <c r="D604" s="14"/>
      <c r="E604" s="14"/>
      <c r="F604" s="14"/>
      <c r="T604"/>
      <c r="AK604" s="12"/>
      <c r="AL604" s="1"/>
      <c r="AM604" s="1"/>
      <c r="AN604" s="1"/>
      <c r="AO604" s="2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</row>
    <row r="605" spans="1:60" x14ac:dyDescent="0.25">
      <c r="A605" s="14"/>
      <c r="B605" s="14"/>
      <c r="C605" s="14"/>
      <c r="D605" s="14"/>
      <c r="E605" s="14"/>
      <c r="F605" s="14"/>
      <c r="T605"/>
      <c r="AK605" s="12"/>
      <c r="AL605" s="1"/>
      <c r="AM605" s="1"/>
      <c r="AN605" s="1"/>
      <c r="AO605" s="2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</row>
    <row r="606" spans="1:60" x14ac:dyDescent="0.25">
      <c r="A606" s="14"/>
      <c r="B606" s="14"/>
      <c r="C606" s="14"/>
      <c r="D606" s="14"/>
      <c r="E606" s="14"/>
      <c r="F606" s="14"/>
      <c r="T606"/>
      <c r="AK606" s="12"/>
      <c r="AL606" s="1"/>
      <c r="AM606" s="1"/>
      <c r="AN606" s="1"/>
      <c r="AO606" s="2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</row>
    <row r="607" spans="1:60" x14ac:dyDescent="0.25">
      <c r="A607" s="14"/>
      <c r="B607" s="14"/>
      <c r="C607" s="14"/>
      <c r="D607" s="14"/>
      <c r="E607" s="14"/>
      <c r="F607" s="14"/>
      <c r="T607"/>
      <c r="AK607" s="12"/>
      <c r="AL607" s="1"/>
      <c r="AM607" s="1"/>
      <c r="AN607" s="1"/>
      <c r="AO607" s="2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</row>
    <row r="608" spans="1:60" x14ac:dyDescent="0.25">
      <c r="A608" s="14"/>
      <c r="B608" s="14"/>
      <c r="C608" s="14"/>
      <c r="D608" s="14"/>
      <c r="E608" s="14"/>
      <c r="F608" s="14"/>
      <c r="T608"/>
      <c r="AK608" s="12"/>
      <c r="AL608" s="1"/>
      <c r="AM608" s="1"/>
      <c r="AN608" s="1"/>
      <c r="AO608" s="2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</row>
    <row r="609" spans="1:60" x14ac:dyDescent="0.25">
      <c r="A609" s="14"/>
      <c r="B609" s="14"/>
      <c r="C609" s="14"/>
      <c r="D609" s="14"/>
      <c r="E609" s="14"/>
      <c r="F609" s="14"/>
      <c r="T609"/>
      <c r="AK609" s="12"/>
      <c r="AL609" s="1"/>
      <c r="AM609" s="1"/>
      <c r="AN609" s="1"/>
      <c r="AO609" s="2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</row>
    <row r="610" spans="1:60" x14ac:dyDescent="0.25">
      <c r="A610" s="14"/>
      <c r="B610" s="14"/>
      <c r="C610" s="14"/>
      <c r="D610" s="14"/>
      <c r="E610" s="14"/>
      <c r="F610" s="14"/>
      <c r="T610"/>
      <c r="AK610" s="12"/>
      <c r="AL610" s="1"/>
      <c r="AM610" s="1"/>
      <c r="AN610" s="1"/>
      <c r="AO610" s="2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</row>
    <row r="611" spans="1:60" x14ac:dyDescent="0.25">
      <c r="A611" s="14"/>
      <c r="B611" s="14"/>
      <c r="C611" s="14"/>
      <c r="D611" s="14"/>
      <c r="E611" s="14"/>
      <c r="F611" s="14"/>
      <c r="T611"/>
      <c r="AK611" s="12"/>
      <c r="AL611" s="1"/>
      <c r="AM611" s="1"/>
      <c r="AN611" s="1"/>
      <c r="AO611" s="2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</row>
    <row r="612" spans="1:60" x14ac:dyDescent="0.25">
      <c r="A612" s="14"/>
      <c r="B612" s="14"/>
      <c r="C612" s="14"/>
      <c r="D612" s="14"/>
      <c r="E612" s="14"/>
      <c r="F612" s="14"/>
      <c r="T612"/>
      <c r="AK612" s="12"/>
      <c r="AL612" s="1"/>
      <c r="AM612" s="1"/>
      <c r="AN612" s="1"/>
      <c r="AO612" s="2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</row>
    <row r="613" spans="1:60" x14ac:dyDescent="0.25">
      <c r="A613" s="14"/>
      <c r="B613" s="14"/>
      <c r="C613" s="14"/>
      <c r="D613" s="14"/>
      <c r="E613" s="14"/>
      <c r="F613" s="14"/>
      <c r="T613"/>
      <c r="AK613" s="12"/>
      <c r="AL613" s="1"/>
      <c r="AM613" s="1"/>
      <c r="AN613" s="1"/>
      <c r="AO613" s="2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</row>
    <row r="614" spans="1:60" x14ac:dyDescent="0.25">
      <c r="A614" s="14"/>
      <c r="B614" s="14"/>
      <c r="C614" s="14"/>
      <c r="D614" s="14"/>
      <c r="E614" s="14"/>
      <c r="F614" s="14"/>
      <c r="T614"/>
      <c r="AK614" s="12"/>
      <c r="AL614" s="1"/>
      <c r="AM614" s="1"/>
      <c r="AN614" s="1"/>
      <c r="AO614" s="2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</row>
    <row r="615" spans="1:60" x14ac:dyDescent="0.25">
      <c r="A615" s="14"/>
      <c r="B615" s="14"/>
      <c r="C615" s="14"/>
      <c r="D615" s="14"/>
      <c r="E615" s="14"/>
      <c r="F615" s="14"/>
      <c r="T615"/>
      <c r="AK615" s="12"/>
      <c r="AL615" s="1"/>
      <c r="AM615" s="1"/>
      <c r="AN615" s="1"/>
      <c r="AO615" s="2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</row>
    <row r="616" spans="1:60" x14ac:dyDescent="0.25">
      <c r="A616" s="14"/>
      <c r="B616" s="14"/>
      <c r="C616" s="14"/>
      <c r="D616" s="14"/>
      <c r="E616" s="14"/>
      <c r="F616" s="14"/>
      <c r="T616"/>
      <c r="AK616" s="12"/>
      <c r="AL616" s="1"/>
      <c r="AM616" s="1"/>
      <c r="AN616" s="1"/>
      <c r="AO616" s="2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</row>
    <row r="617" spans="1:60" x14ac:dyDescent="0.25">
      <c r="A617" s="14"/>
      <c r="B617" s="14"/>
      <c r="C617" s="14"/>
      <c r="D617" s="14"/>
      <c r="E617" s="14"/>
      <c r="F617" s="14"/>
      <c r="T617"/>
      <c r="AK617" s="12"/>
      <c r="AL617" s="1"/>
      <c r="AM617" s="1"/>
      <c r="AN617" s="1"/>
      <c r="AO617" s="2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</row>
    <row r="618" spans="1:60" x14ac:dyDescent="0.25">
      <c r="A618" s="14"/>
      <c r="B618" s="14"/>
      <c r="C618" s="14"/>
      <c r="D618" s="14"/>
      <c r="E618" s="14"/>
      <c r="F618" s="14"/>
      <c r="T618"/>
      <c r="AK618" s="12"/>
      <c r="AL618" s="1"/>
      <c r="AM618" s="1"/>
      <c r="AN618" s="1"/>
      <c r="AO618" s="2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</row>
    <row r="619" spans="1:60" x14ac:dyDescent="0.25">
      <c r="A619" s="14"/>
      <c r="B619" s="14"/>
      <c r="C619" s="14"/>
      <c r="D619" s="14"/>
      <c r="E619" s="14"/>
      <c r="F619" s="14"/>
      <c r="T619"/>
      <c r="AK619" s="12"/>
      <c r="AL619" s="1"/>
      <c r="AM619" s="1"/>
      <c r="AN619" s="1"/>
      <c r="AO619" s="2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</row>
    <row r="620" spans="1:60" x14ac:dyDescent="0.25">
      <c r="A620" s="14"/>
      <c r="B620" s="14"/>
      <c r="C620" s="14"/>
      <c r="D620" s="14"/>
      <c r="E620" s="14"/>
      <c r="F620" s="14"/>
      <c r="T620"/>
      <c r="AK620" s="12"/>
      <c r="AL620" s="1"/>
      <c r="AM620" s="1"/>
      <c r="AN620" s="1"/>
      <c r="AO620" s="2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</row>
    <row r="621" spans="1:60" x14ac:dyDescent="0.25">
      <c r="A621" s="14"/>
      <c r="B621" s="14"/>
      <c r="C621" s="14"/>
      <c r="D621" s="14"/>
      <c r="E621" s="14"/>
      <c r="F621" s="14"/>
      <c r="T621"/>
      <c r="AK621" s="12"/>
      <c r="AL621" s="1"/>
      <c r="AM621" s="1"/>
      <c r="AN621" s="1"/>
      <c r="AO621" s="2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</row>
    <row r="622" spans="1:60" x14ac:dyDescent="0.25">
      <c r="A622" s="14"/>
      <c r="B622" s="14"/>
      <c r="C622" s="14"/>
      <c r="D622" s="14"/>
      <c r="E622" s="14"/>
      <c r="F622" s="14"/>
      <c r="T622"/>
      <c r="AK622" s="12"/>
      <c r="AL622" s="1"/>
      <c r="AM622" s="1"/>
      <c r="AN622" s="1"/>
      <c r="AO622" s="2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</row>
    <row r="623" spans="1:60" x14ac:dyDescent="0.25">
      <c r="A623" s="14"/>
      <c r="B623" s="14"/>
      <c r="C623" s="14"/>
      <c r="D623" s="14"/>
      <c r="E623" s="14"/>
      <c r="F623" s="14"/>
      <c r="T623"/>
      <c r="AK623" s="12"/>
      <c r="AL623" s="1"/>
      <c r="AM623" s="1"/>
      <c r="AN623" s="1"/>
      <c r="AO623" s="2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</row>
    <row r="624" spans="1:60" x14ac:dyDescent="0.25">
      <c r="A624" s="14"/>
      <c r="B624" s="14"/>
      <c r="C624" s="14"/>
      <c r="D624" s="14"/>
      <c r="E624" s="14"/>
      <c r="F624" s="14"/>
      <c r="T624"/>
      <c r="AK624" s="12"/>
      <c r="AL624" s="1"/>
      <c r="AM624" s="1"/>
      <c r="AN624" s="1"/>
      <c r="AO624" s="2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</row>
    <row r="625" spans="1:60" x14ac:dyDescent="0.25">
      <c r="A625" s="14"/>
      <c r="B625" s="14"/>
      <c r="C625" s="14"/>
      <c r="D625" s="14"/>
      <c r="E625" s="14"/>
      <c r="F625" s="14"/>
      <c r="T625"/>
      <c r="AK625" s="12"/>
      <c r="AL625" s="1"/>
      <c r="AM625" s="1"/>
      <c r="AN625" s="1"/>
      <c r="AO625" s="2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</row>
    <row r="626" spans="1:60" x14ac:dyDescent="0.25">
      <c r="A626" s="14"/>
      <c r="B626" s="14"/>
      <c r="C626" s="14"/>
      <c r="D626" s="14"/>
      <c r="E626" s="14"/>
      <c r="F626" s="14"/>
      <c r="T626"/>
      <c r="AK626" s="12"/>
      <c r="AL626" s="1"/>
      <c r="AM626" s="1"/>
      <c r="AN626" s="1"/>
      <c r="AO626" s="2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</row>
    <row r="627" spans="1:60" x14ac:dyDescent="0.25">
      <c r="A627" s="14"/>
      <c r="B627" s="14"/>
      <c r="C627" s="14"/>
      <c r="D627" s="14"/>
      <c r="E627" s="14"/>
      <c r="F627" s="14"/>
      <c r="T627"/>
      <c r="AK627" s="12"/>
      <c r="AL627" s="1"/>
      <c r="AM627" s="1"/>
      <c r="AN627" s="1"/>
      <c r="AO627" s="2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</row>
    <row r="628" spans="1:60" x14ac:dyDescent="0.25">
      <c r="A628" s="14"/>
      <c r="B628" s="14"/>
      <c r="C628" s="14"/>
      <c r="D628" s="14"/>
      <c r="E628" s="14"/>
      <c r="F628" s="14"/>
      <c r="T628"/>
      <c r="AK628" s="12"/>
      <c r="AL628" s="1"/>
      <c r="AM628" s="1"/>
      <c r="AN628" s="1"/>
      <c r="AO628" s="2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</row>
    <row r="629" spans="1:60" x14ac:dyDescent="0.25">
      <c r="A629" s="14"/>
      <c r="B629" s="14"/>
      <c r="C629" s="14"/>
      <c r="D629" s="14"/>
      <c r="E629" s="14"/>
      <c r="F629" s="14"/>
      <c r="T629"/>
      <c r="AK629" s="12"/>
      <c r="AL629" s="1"/>
      <c r="AM629" s="1"/>
      <c r="AN629" s="1"/>
      <c r="AO629" s="2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</row>
    <row r="630" spans="1:60" x14ac:dyDescent="0.25">
      <c r="A630" s="14"/>
      <c r="B630" s="14"/>
      <c r="C630" s="14"/>
      <c r="D630" s="14"/>
      <c r="E630" s="14"/>
      <c r="F630" s="14"/>
      <c r="T630"/>
      <c r="AK630" s="12"/>
      <c r="AL630" s="1"/>
      <c r="AM630" s="1"/>
      <c r="AN630" s="1"/>
      <c r="AO630" s="2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</row>
    <row r="631" spans="1:60" x14ac:dyDescent="0.25">
      <c r="A631" s="14"/>
      <c r="B631" s="14"/>
      <c r="C631" s="14"/>
      <c r="D631" s="14"/>
      <c r="E631" s="14"/>
      <c r="F631" s="14"/>
      <c r="T631"/>
      <c r="AK631" s="12"/>
      <c r="AL631" s="1"/>
      <c r="AM631" s="1"/>
      <c r="AN631" s="1"/>
      <c r="AO631" s="2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</row>
    <row r="632" spans="1:60" x14ac:dyDescent="0.25">
      <c r="A632" s="14"/>
      <c r="B632" s="14"/>
      <c r="C632" s="14"/>
      <c r="D632" s="14"/>
      <c r="E632" s="14"/>
      <c r="F632" s="14"/>
      <c r="T632"/>
      <c r="AK632" s="12"/>
      <c r="AL632" s="1"/>
      <c r="AM632" s="1"/>
      <c r="AN632" s="1"/>
      <c r="AO632" s="2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</row>
    <row r="633" spans="1:60" x14ac:dyDescent="0.25">
      <c r="A633" s="14"/>
      <c r="B633" s="14"/>
      <c r="C633" s="14"/>
      <c r="D633" s="14"/>
      <c r="E633" s="14"/>
      <c r="F633" s="14"/>
      <c r="T633"/>
      <c r="AK633" s="12"/>
      <c r="AL633" s="1"/>
      <c r="AM633" s="1"/>
      <c r="AN633" s="1"/>
      <c r="AO633" s="2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</row>
    <row r="634" spans="1:60" x14ac:dyDescent="0.25">
      <c r="A634" s="14"/>
      <c r="B634" s="14"/>
      <c r="C634" s="14"/>
      <c r="D634" s="14"/>
      <c r="E634" s="14"/>
      <c r="F634" s="14"/>
      <c r="T634"/>
      <c r="AK634" s="12"/>
      <c r="AL634" s="1"/>
      <c r="AM634" s="1"/>
      <c r="AN634" s="1"/>
      <c r="AO634" s="2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</row>
    <row r="635" spans="1:60" x14ac:dyDescent="0.25">
      <c r="A635" s="14"/>
      <c r="B635" s="14"/>
      <c r="C635" s="14"/>
      <c r="D635" s="14"/>
      <c r="E635" s="14"/>
      <c r="F635" s="14"/>
      <c r="T635"/>
      <c r="AK635" s="12"/>
      <c r="AL635" s="1"/>
      <c r="AM635" s="1"/>
      <c r="AN635" s="1"/>
      <c r="AO635" s="2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</row>
    <row r="636" spans="1:60" x14ac:dyDescent="0.25">
      <c r="A636" s="14"/>
      <c r="B636" s="14"/>
      <c r="C636" s="14"/>
      <c r="D636" s="14"/>
      <c r="E636" s="14"/>
      <c r="F636" s="14"/>
      <c r="T636"/>
      <c r="AK636" s="12"/>
      <c r="AL636" s="1"/>
      <c r="AM636" s="1"/>
      <c r="AN636" s="1"/>
      <c r="AO636" s="2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</row>
    <row r="637" spans="1:60" x14ac:dyDescent="0.25">
      <c r="A637" s="14"/>
      <c r="B637" s="14"/>
      <c r="C637" s="14"/>
      <c r="D637" s="14"/>
      <c r="E637" s="14"/>
      <c r="F637" s="14"/>
      <c r="T637"/>
      <c r="AK637" s="12"/>
      <c r="AL637" s="1"/>
      <c r="AM637" s="1"/>
      <c r="AN637" s="1"/>
      <c r="AO637" s="2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</row>
    <row r="638" spans="1:60" x14ac:dyDescent="0.25">
      <c r="A638" s="14"/>
      <c r="B638" s="14"/>
      <c r="C638" s="14"/>
      <c r="D638" s="14"/>
      <c r="E638" s="14"/>
      <c r="F638" s="14"/>
      <c r="T638"/>
      <c r="AK638" s="12"/>
      <c r="AL638" s="1"/>
      <c r="AM638" s="1"/>
      <c r="AN638" s="1"/>
      <c r="AO638" s="2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</row>
    <row r="639" spans="1:60" x14ac:dyDescent="0.25">
      <c r="A639" s="14"/>
      <c r="B639" s="14"/>
      <c r="C639" s="14"/>
      <c r="D639" s="14"/>
      <c r="E639" s="14"/>
      <c r="F639" s="14"/>
      <c r="T639"/>
      <c r="AK639" s="12"/>
      <c r="AL639" s="1"/>
      <c r="AM639" s="1"/>
      <c r="AN639" s="1"/>
      <c r="AO639" s="2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</row>
    <row r="640" spans="1:60" x14ac:dyDescent="0.25">
      <c r="A640" s="14"/>
      <c r="B640" s="14"/>
      <c r="C640" s="14"/>
      <c r="D640" s="14"/>
      <c r="E640" s="14"/>
      <c r="F640" s="14"/>
      <c r="T640"/>
      <c r="AK640" s="12"/>
      <c r="AL640" s="1"/>
      <c r="AM640" s="1"/>
      <c r="AN640" s="1"/>
      <c r="AO640" s="2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</row>
    <row r="641" spans="1:60" x14ac:dyDescent="0.25">
      <c r="A641" s="14"/>
      <c r="B641" s="14"/>
      <c r="C641" s="14"/>
      <c r="D641" s="14"/>
      <c r="E641" s="14"/>
      <c r="F641" s="14"/>
      <c r="T641"/>
      <c r="AK641" s="12"/>
      <c r="AL641" s="1"/>
      <c r="AM641" s="1"/>
      <c r="AN641" s="1"/>
      <c r="AO641" s="2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</row>
    <row r="642" spans="1:60" x14ac:dyDescent="0.25">
      <c r="A642" s="14"/>
      <c r="B642" s="14"/>
      <c r="C642" s="14"/>
      <c r="D642" s="14"/>
      <c r="E642" s="14"/>
      <c r="F642" s="14"/>
      <c r="T642"/>
      <c r="AK642" s="12"/>
      <c r="AL642" s="1"/>
      <c r="AM642" s="1"/>
      <c r="AN642" s="1"/>
      <c r="AO642" s="2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</row>
    <row r="643" spans="1:60" x14ac:dyDescent="0.25">
      <c r="A643" s="14"/>
      <c r="B643" s="14"/>
      <c r="C643" s="14"/>
      <c r="D643" s="14"/>
      <c r="E643" s="14"/>
      <c r="F643" s="14"/>
      <c r="T643"/>
      <c r="AK643" s="12"/>
      <c r="AL643" s="1"/>
      <c r="AM643" s="1"/>
      <c r="AN643" s="1"/>
      <c r="AO643" s="2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</row>
    <row r="644" spans="1:60" x14ac:dyDescent="0.25">
      <c r="A644" s="14"/>
      <c r="B644" s="14"/>
      <c r="C644" s="14"/>
      <c r="D644" s="14"/>
      <c r="E644" s="14"/>
      <c r="F644" s="14"/>
      <c r="T644"/>
      <c r="AK644" s="12"/>
      <c r="AL644" s="1"/>
      <c r="AM644" s="1"/>
      <c r="AN644" s="1"/>
      <c r="AO644" s="2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</row>
    <row r="645" spans="1:60" x14ac:dyDescent="0.25">
      <c r="A645" s="14"/>
      <c r="B645" s="14"/>
      <c r="C645" s="14"/>
      <c r="D645" s="14"/>
      <c r="E645" s="14"/>
      <c r="F645" s="14"/>
      <c r="T645"/>
      <c r="AK645" s="12"/>
      <c r="AL645" s="1"/>
      <c r="AM645" s="1"/>
      <c r="AN645" s="1"/>
      <c r="AO645" s="2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</row>
    <row r="646" spans="1:60" x14ac:dyDescent="0.25">
      <c r="A646" s="14"/>
      <c r="B646" s="14"/>
      <c r="C646" s="14"/>
      <c r="D646" s="14"/>
      <c r="E646" s="14"/>
      <c r="F646" s="14"/>
      <c r="T646"/>
      <c r="AK646" s="12"/>
      <c r="AL646" s="1"/>
      <c r="AM646" s="1"/>
      <c r="AN646" s="1"/>
      <c r="AO646" s="2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</row>
    <row r="647" spans="1:60" x14ac:dyDescent="0.25">
      <c r="A647" s="14"/>
      <c r="B647" s="14"/>
      <c r="C647" s="14"/>
      <c r="D647" s="14"/>
      <c r="E647" s="14"/>
      <c r="F647" s="14"/>
      <c r="T647"/>
      <c r="AK647" s="12"/>
      <c r="AL647" s="1"/>
      <c r="AM647" s="1"/>
      <c r="AN647" s="1"/>
      <c r="AO647" s="2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</row>
    <row r="648" spans="1:60" x14ac:dyDescent="0.25">
      <c r="A648" s="14"/>
      <c r="B648" s="14"/>
      <c r="C648" s="14"/>
      <c r="D648" s="14"/>
      <c r="E648" s="14"/>
      <c r="F648" s="14"/>
      <c r="T648"/>
      <c r="AK648" s="12"/>
      <c r="AL648" s="1"/>
      <c r="AM648" s="1"/>
      <c r="AN648" s="1"/>
      <c r="AO648" s="2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</row>
    <row r="649" spans="1:60" x14ac:dyDescent="0.25">
      <c r="A649" s="14"/>
      <c r="B649" s="14"/>
      <c r="C649" s="14"/>
      <c r="D649" s="14"/>
      <c r="E649" s="14"/>
      <c r="F649" s="14"/>
      <c r="T649"/>
      <c r="AK649" s="12"/>
      <c r="AL649" s="1"/>
      <c r="AM649" s="1"/>
      <c r="AN649" s="1"/>
      <c r="AO649" s="2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</row>
    <row r="650" spans="1:60" x14ac:dyDescent="0.25">
      <c r="A650" s="14"/>
      <c r="B650" s="14"/>
      <c r="C650" s="14"/>
      <c r="D650" s="14"/>
      <c r="E650" s="14"/>
      <c r="F650" s="14"/>
      <c r="T650"/>
      <c r="AK650" s="12"/>
      <c r="AL650" s="1"/>
      <c r="AM650" s="1"/>
      <c r="AN650" s="1"/>
      <c r="AO650" s="2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</row>
    <row r="651" spans="1:60" x14ac:dyDescent="0.25">
      <c r="A651" s="14"/>
      <c r="B651" s="14"/>
      <c r="C651" s="14"/>
      <c r="D651" s="14"/>
      <c r="E651" s="14"/>
      <c r="F651" s="14"/>
      <c r="T651"/>
      <c r="AK651" s="12"/>
      <c r="AL651" s="1"/>
      <c r="AM651" s="1"/>
      <c r="AN651" s="1"/>
      <c r="AO651" s="2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</row>
    <row r="652" spans="1:60" x14ac:dyDescent="0.25">
      <c r="A652" s="14"/>
      <c r="B652" s="14"/>
      <c r="C652" s="14"/>
      <c r="D652" s="14"/>
      <c r="E652" s="14"/>
      <c r="F652" s="14"/>
      <c r="T652"/>
      <c r="AK652" s="12"/>
      <c r="AL652" s="1"/>
      <c r="AM652" s="1"/>
      <c r="AN652" s="1"/>
      <c r="AO652" s="2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</row>
    <row r="653" spans="1:60" x14ac:dyDescent="0.25">
      <c r="A653" s="14"/>
      <c r="B653" s="14"/>
      <c r="C653" s="14"/>
      <c r="D653" s="14"/>
      <c r="E653" s="14"/>
      <c r="F653" s="14"/>
      <c r="T653"/>
      <c r="AK653" s="12"/>
      <c r="AL653" s="1"/>
      <c r="AM653" s="1"/>
      <c r="AN653" s="1"/>
      <c r="AO653" s="2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</row>
    <row r="654" spans="1:60" x14ac:dyDescent="0.25">
      <c r="A654" s="14"/>
      <c r="B654" s="14"/>
      <c r="C654" s="14"/>
      <c r="D654" s="14"/>
      <c r="E654" s="14"/>
      <c r="F654" s="14"/>
      <c r="T654"/>
      <c r="AK654" s="12"/>
      <c r="AL654" s="1"/>
      <c r="AM654" s="1"/>
      <c r="AN654" s="1"/>
      <c r="AO654" s="2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</row>
    <row r="655" spans="1:60" x14ac:dyDescent="0.25">
      <c r="A655" s="14"/>
      <c r="B655" s="14"/>
      <c r="C655" s="14"/>
      <c r="D655" s="14"/>
      <c r="E655" s="14"/>
      <c r="F655" s="14"/>
      <c r="T655"/>
      <c r="AK655" s="12"/>
      <c r="AL655" s="1"/>
      <c r="AM655" s="1"/>
      <c r="AN655" s="1"/>
      <c r="AO655" s="2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</row>
    <row r="656" spans="1:60" x14ac:dyDescent="0.25">
      <c r="A656" s="14"/>
      <c r="B656" s="14"/>
      <c r="C656" s="14"/>
      <c r="D656" s="14"/>
      <c r="E656" s="14"/>
      <c r="F656" s="14"/>
      <c r="T656"/>
      <c r="AK656" s="12"/>
      <c r="AL656" s="1"/>
      <c r="AM656" s="1"/>
      <c r="AN656" s="1"/>
      <c r="AO656" s="2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</row>
    <row r="657" spans="1:60" x14ac:dyDescent="0.25">
      <c r="A657" s="14"/>
      <c r="B657" s="14"/>
      <c r="C657" s="14"/>
      <c r="D657" s="14"/>
      <c r="E657" s="14"/>
      <c r="F657" s="14"/>
      <c r="T657"/>
      <c r="AK657" s="12"/>
      <c r="AL657" s="1"/>
      <c r="AM657" s="1"/>
      <c r="AN657" s="1"/>
      <c r="AO657" s="2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</row>
    <row r="658" spans="1:60" x14ac:dyDescent="0.25">
      <c r="A658" s="14"/>
      <c r="B658" s="14"/>
      <c r="C658" s="14"/>
      <c r="D658" s="14"/>
      <c r="E658" s="14"/>
      <c r="F658" s="14"/>
      <c r="T658"/>
      <c r="AK658" s="12"/>
      <c r="AL658" s="1"/>
      <c r="AM658" s="1"/>
      <c r="AN658" s="1"/>
      <c r="AO658" s="2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</row>
    <row r="659" spans="1:60" x14ac:dyDescent="0.25">
      <c r="A659" s="14"/>
      <c r="B659" s="14"/>
      <c r="C659" s="14"/>
      <c r="D659" s="14"/>
      <c r="E659" s="14"/>
      <c r="F659" s="14"/>
      <c r="T659"/>
      <c r="AK659" s="12"/>
      <c r="AL659" s="1"/>
      <c r="AM659" s="1"/>
      <c r="AN659" s="1"/>
      <c r="AO659" s="2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</row>
    <row r="660" spans="1:60" x14ac:dyDescent="0.25">
      <c r="A660" s="14"/>
      <c r="B660" s="14"/>
      <c r="C660" s="14"/>
      <c r="D660" s="14"/>
      <c r="E660" s="14"/>
      <c r="F660" s="14"/>
      <c r="T660"/>
      <c r="AK660" s="12"/>
      <c r="AL660" s="1"/>
      <c r="AM660" s="1"/>
      <c r="AN660" s="1"/>
      <c r="AO660" s="2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</row>
    <row r="661" spans="1:60" x14ac:dyDescent="0.25">
      <c r="A661" s="14"/>
      <c r="B661" s="14"/>
      <c r="C661" s="14"/>
      <c r="D661" s="14"/>
      <c r="E661" s="14"/>
      <c r="F661" s="14"/>
      <c r="T661"/>
      <c r="AK661" s="12"/>
      <c r="AL661" s="1"/>
      <c r="AM661" s="1"/>
      <c r="AN661" s="1"/>
      <c r="AO661" s="2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</row>
    <row r="662" spans="1:60" x14ac:dyDescent="0.25">
      <c r="A662" s="14"/>
      <c r="B662" s="14"/>
      <c r="C662" s="14"/>
      <c r="D662" s="14"/>
      <c r="E662" s="14"/>
      <c r="F662" s="14"/>
      <c r="T662"/>
      <c r="AK662" s="12"/>
      <c r="AL662" s="1"/>
      <c r="AM662" s="1"/>
      <c r="AN662" s="1"/>
      <c r="AO662" s="2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</row>
    <row r="663" spans="1:60" x14ac:dyDescent="0.25">
      <c r="A663" s="14"/>
      <c r="B663" s="14"/>
      <c r="C663" s="14"/>
      <c r="D663" s="14"/>
      <c r="E663" s="14"/>
      <c r="F663" s="14"/>
      <c r="T663"/>
      <c r="AK663" s="12"/>
      <c r="AL663" s="1"/>
      <c r="AM663" s="1"/>
      <c r="AN663" s="1"/>
      <c r="AO663" s="2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</row>
    <row r="664" spans="1:60" x14ac:dyDescent="0.25">
      <c r="A664" s="14"/>
      <c r="B664" s="14"/>
      <c r="C664" s="14"/>
      <c r="D664" s="14"/>
      <c r="E664" s="14"/>
      <c r="F664" s="14"/>
      <c r="T664"/>
      <c r="AK664" s="12"/>
      <c r="AL664" s="1"/>
      <c r="AM664" s="1"/>
      <c r="AN664" s="1"/>
      <c r="AO664" s="2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</row>
    <row r="665" spans="1:60" x14ac:dyDescent="0.25">
      <c r="A665" s="14"/>
      <c r="B665" s="14"/>
      <c r="C665" s="14"/>
      <c r="D665" s="14"/>
      <c r="E665" s="14"/>
      <c r="F665" s="14"/>
      <c r="T665"/>
      <c r="AK665" s="12"/>
      <c r="AL665" s="1"/>
      <c r="AM665" s="1"/>
      <c r="AN665" s="1"/>
      <c r="AO665" s="2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</row>
    <row r="666" spans="1:60" x14ac:dyDescent="0.25">
      <c r="A666" s="14"/>
      <c r="B666" s="14"/>
      <c r="C666" s="14"/>
      <c r="D666" s="14"/>
      <c r="E666" s="14"/>
      <c r="F666" s="14"/>
      <c r="T666"/>
      <c r="AK666" s="12"/>
      <c r="AL666" s="1"/>
      <c r="AM666" s="1"/>
      <c r="AN666" s="1"/>
      <c r="AO666" s="2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</row>
    <row r="667" spans="1:60" x14ac:dyDescent="0.25">
      <c r="A667" s="14"/>
      <c r="B667" s="14"/>
      <c r="C667" s="14"/>
      <c r="D667" s="14"/>
      <c r="E667" s="14"/>
      <c r="F667" s="14"/>
      <c r="T667"/>
      <c r="AK667" s="12"/>
      <c r="AL667" s="1"/>
      <c r="AM667" s="1"/>
      <c r="AN667" s="1"/>
      <c r="AO667" s="2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</row>
    <row r="668" spans="1:60" x14ac:dyDescent="0.25">
      <c r="A668" s="14"/>
      <c r="B668" s="14"/>
      <c r="C668" s="14"/>
      <c r="D668" s="14"/>
      <c r="E668" s="14"/>
      <c r="F668" s="14"/>
      <c r="T668"/>
      <c r="AK668" s="12"/>
      <c r="AL668" s="1"/>
      <c r="AM668" s="1"/>
      <c r="AN668" s="1"/>
      <c r="AO668" s="2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</row>
    <row r="669" spans="1:60" x14ac:dyDescent="0.25">
      <c r="A669" s="14"/>
      <c r="B669" s="14"/>
      <c r="C669" s="14"/>
      <c r="D669" s="14"/>
      <c r="E669" s="14"/>
      <c r="F669" s="14"/>
      <c r="T669"/>
      <c r="AK669" s="12"/>
      <c r="AL669" s="1"/>
      <c r="AM669" s="1"/>
      <c r="AN669" s="1"/>
      <c r="AO669" s="2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</row>
    <row r="670" spans="1:60" x14ac:dyDescent="0.25">
      <c r="A670" s="14"/>
      <c r="B670" s="14"/>
      <c r="C670" s="14"/>
      <c r="D670" s="14"/>
      <c r="E670" s="14"/>
      <c r="F670" s="14"/>
      <c r="T670"/>
      <c r="AK670" s="12"/>
      <c r="AL670" s="1"/>
      <c r="AM670" s="1"/>
      <c r="AN670" s="1"/>
      <c r="AO670" s="2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</row>
    <row r="671" spans="1:60" x14ac:dyDescent="0.25">
      <c r="A671" s="14"/>
      <c r="B671" s="14"/>
      <c r="C671" s="14"/>
      <c r="D671" s="14"/>
      <c r="E671" s="14"/>
      <c r="F671" s="14"/>
      <c r="T671"/>
      <c r="AK671" s="12"/>
      <c r="AL671" s="1"/>
      <c r="AM671" s="1"/>
      <c r="AN671" s="1"/>
      <c r="AO671" s="2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</row>
    <row r="672" spans="1:60" x14ac:dyDescent="0.25">
      <c r="A672" s="14"/>
      <c r="B672" s="14"/>
      <c r="C672" s="14"/>
      <c r="D672" s="14"/>
      <c r="E672" s="14"/>
      <c r="F672" s="14"/>
      <c r="T672"/>
      <c r="AK672" s="12"/>
      <c r="AL672" s="1"/>
      <c r="AM672" s="1"/>
      <c r="AN672" s="1"/>
      <c r="AO672" s="2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</row>
    <row r="673" spans="1:60" x14ac:dyDescent="0.25">
      <c r="A673" s="14"/>
      <c r="B673" s="14"/>
      <c r="C673" s="14"/>
      <c r="D673" s="14"/>
      <c r="E673" s="14"/>
      <c r="F673" s="14"/>
      <c r="T673"/>
      <c r="AK673" s="12"/>
      <c r="AL673" s="1"/>
      <c r="AM673" s="1"/>
      <c r="AN673" s="1"/>
      <c r="AO673" s="2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</row>
    <row r="674" spans="1:60" x14ac:dyDescent="0.25">
      <c r="A674" s="14"/>
      <c r="B674" s="14"/>
      <c r="C674" s="14"/>
      <c r="D674" s="14"/>
      <c r="E674" s="14"/>
      <c r="F674" s="14"/>
      <c r="T674"/>
      <c r="AK674" s="12"/>
      <c r="AL674" s="1"/>
      <c r="AM674" s="1"/>
      <c r="AN674" s="1"/>
      <c r="AO674" s="2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</row>
    <row r="675" spans="1:60" x14ac:dyDescent="0.25">
      <c r="A675" s="14"/>
      <c r="B675" s="14"/>
      <c r="C675" s="14"/>
      <c r="D675" s="14"/>
      <c r="E675" s="14"/>
      <c r="F675" s="14"/>
      <c r="T675"/>
      <c r="AK675" s="12"/>
      <c r="AL675" s="1"/>
      <c r="AM675" s="1"/>
      <c r="AN675" s="1"/>
      <c r="AO675" s="2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</row>
    <row r="676" spans="1:60" x14ac:dyDescent="0.25">
      <c r="A676" s="14"/>
      <c r="B676" s="14"/>
      <c r="C676" s="14"/>
      <c r="D676" s="14"/>
      <c r="E676" s="14"/>
      <c r="F676" s="14"/>
      <c r="T676"/>
      <c r="AK676" s="12"/>
      <c r="AL676" s="1"/>
      <c r="AM676" s="1"/>
      <c r="AN676" s="1"/>
      <c r="AO676" s="2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</row>
    <row r="677" spans="1:60" x14ac:dyDescent="0.25">
      <c r="A677" s="14"/>
      <c r="B677" s="14"/>
      <c r="C677" s="14"/>
      <c r="D677" s="14"/>
      <c r="E677" s="14"/>
      <c r="F677" s="14"/>
      <c r="T677"/>
      <c r="AK677" s="12"/>
      <c r="AL677" s="1"/>
      <c r="AM677" s="1"/>
      <c r="AN677" s="1"/>
      <c r="AO677" s="2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</row>
    <row r="678" spans="1:60" x14ac:dyDescent="0.25">
      <c r="A678" s="14"/>
      <c r="B678" s="14"/>
      <c r="C678" s="14"/>
      <c r="D678" s="14"/>
      <c r="E678" s="14"/>
      <c r="F678" s="14"/>
      <c r="T678"/>
      <c r="AK678" s="12"/>
      <c r="AL678" s="1"/>
      <c r="AM678" s="1"/>
      <c r="AN678" s="1"/>
      <c r="AO678" s="2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</row>
    <row r="679" spans="1:60" x14ac:dyDescent="0.25">
      <c r="A679" s="14"/>
      <c r="B679" s="14"/>
      <c r="C679" s="14"/>
      <c r="D679" s="14"/>
      <c r="E679" s="14"/>
      <c r="F679" s="14"/>
      <c r="T679"/>
      <c r="AK679" s="12"/>
      <c r="AL679" s="1"/>
      <c r="AM679" s="1"/>
      <c r="AN679" s="1"/>
      <c r="AO679" s="2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</row>
    <row r="680" spans="1:60" x14ac:dyDescent="0.25">
      <c r="A680" s="14"/>
      <c r="B680" s="14"/>
      <c r="C680" s="14"/>
      <c r="D680" s="14"/>
      <c r="E680" s="14"/>
      <c r="F680" s="14"/>
      <c r="T680"/>
      <c r="AK680" s="12"/>
      <c r="AL680" s="1"/>
      <c r="AM680" s="1"/>
      <c r="AN680" s="1"/>
      <c r="AO680" s="2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</row>
    <row r="681" spans="1:60" x14ac:dyDescent="0.25">
      <c r="A681" s="14"/>
      <c r="B681" s="14"/>
      <c r="C681" s="14"/>
      <c r="D681" s="14"/>
      <c r="E681" s="14"/>
      <c r="F681" s="14"/>
      <c r="T681"/>
      <c r="AK681" s="12"/>
      <c r="AL681" s="1"/>
      <c r="AM681" s="1"/>
      <c r="AN681" s="1"/>
      <c r="AO681" s="2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</row>
    <row r="682" spans="1:60" x14ac:dyDescent="0.25">
      <c r="A682" s="14"/>
      <c r="B682" s="14"/>
      <c r="C682" s="14"/>
      <c r="D682" s="14"/>
      <c r="E682" s="14"/>
      <c r="F682" s="14"/>
      <c r="T682"/>
      <c r="AK682" s="12"/>
      <c r="AL682" s="1"/>
      <c r="AM682" s="1"/>
      <c r="AN682" s="1"/>
      <c r="AO682" s="2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</row>
    <row r="683" spans="1:60" x14ac:dyDescent="0.25">
      <c r="A683" s="14"/>
      <c r="B683" s="14"/>
      <c r="C683" s="14"/>
      <c r="D683" s="14"/>
      <c r="E683" s="14"/>
      <c r="F683" s="14"/>
      <c r="T683"/>
      <c r="AK683" s="12"/>
      <c r="AL683" s="1"/>
      <c r="AM683" s="1"/>
      <c r="AN683" s="1"/>
      <c r="AO683" s="2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</row>
    <row r="684" spans="1:60" x14ac:dyDescent="0.25">
      <c r="A684" s="14"/>
      <c r="B684" s="14"/>
      <c r="C684" s="14"/>
      <c r="D684" s="14"/>
      <c r="E684" s="14"/>
      <c r="F684" s="14"/>
      <c r="T684"/>
      <c r="AK684" s="12"/>
      <c r="AL684" s="1"/>
      <c r="AM684" s="1"/>
      <c r="AN684" s="1"/>
      <c r="AO684" s="2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</row>
    <row r="685" spans="1:60" x14ac:dyDescent="0.25">
      <c r="A685" s="14"/>
      <c r="B685" s="14"/>
      <c r="C685" s="14"/>
      <c r="D685" s="14"/>
      <c r="E685" s="14"/>
      <c r="F685" s="14"/>
      <c r="T685"/>
      <c r="AK685" s="12"/>
      <c r="AL685" s="1"/>
      <c r="AM685" s="1"/>
      <c r="AN685" s="1"/>
      <c r="AO685" s="2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</row>
    <row r="686" spans="1:60" x14ac:dyDescent="0.25">
      <c r="A686" s="14"/>
      <c r="B686" s="14"/>
      <c r="C686" s="14"/>
      <c r="D686" s="14"/>
      <c r="E686" s="14"/>
      <c r="F686" s="14"/>
      <c r="T686"/>
      <c r="AK686" s="12"/>
      <c r="AL686" s="1"/>
      <c r="AM686" s="1"/>
      <c r="AN686" s="1"/>
      <c r="AO686" s="2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</row>
    <row r="687" spans="1:60" x14ac:dyDescent="0.25">
      <c r="A687" s="14"/>
      <c r="B687" s="14"/>
      <c r="C687" s="14"/>
      <c r="D687" s="14"/>
      <c r="E687" s="14"/>
      <c r="F687" s="14"/>
      <c r="T687"/>
      <c r="AK687" s="12"/>
      <c r="AL687" s="1"/>
      <c r="AM687" s="1"/>
      <c r="AN687" s="1"/>
      <c r="AO687" s="2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</row>
    <row r="688" spans="1:60" x14ac:dyDescent="0.25">
      <c r="A688" s="14"/>
      <c r="B688" s="14"/>
      <c r="C688" s="14"/>
      <c r="D688" s="14"/>
      <c r="E688" s="14"/>
      <c r="F688" s="14"/>
      <c r="T688"/>
      <c r="AK688" s="12"/>
      <c r="AL688" s="1"/>
      <c r="AM688" s="1"/>
      <c r="AN688" s="1"/>
      <c r="AO688" s="2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</row>
    <row r="689" spans="1:60" x14ac:dyDescent="0.25">
      <c r="A689" s="14"/>
      <c r="B689" s="14"/>
      <c r="C689" s="14"/>
      <c r="D689" s="14"/>
      <c r="E689" s="14"/>
      <c r="F689" s="14"/>
      <c r="T689"/>
      <c r="AK689" s="12"/>
      <c r="AL689" s="1"/>
      <c r="AM689" s="1"/>
      <c r="AN689" s="1"/>
      <c r="AO689" s="2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</row>
    <row r="690" spans="1:60" x14ac:dyDescent="0.25">
      <c r="A690" s="14"/>
      <c r="B690" s="14"/>
      <c r="C690" s="14"/>
      <c r="D690" s="14"/>
      <c r="E690" s="14"/>
      <c r="F690" s="14"/>
      <c r="T690"/>
      <c r="AK690" s="12"/>
      <c r="AL690" s="1"/>
      <c r="AM690" s="1"/>
      <c r="AN690" s="1"/>
      <c r="AO690" s="2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</row>
    <row r="691" spans="1:60" x14ac:dyDescent="0.25">
      <c r="A691" s="14"/>
      <c r="B691" s="14"/>
      <c r="C691" s="14"/>
      <c r="D691" s="14"/>
      <c r="E691" s="14"/>
      <c r="F691" s="14"/>
      <c r="T691"/>
      <c r="AK691" s="12"/>
      <c r="AL691" s="1"/>
      <c r="AM691" s="1"/>
      <c r="AN691" s="1"/>
      <c r="AO691" s="2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</row>
    <row r="692" spans="1:60" x14ac:dyDescent="0.25">
      <c r="A692" s="14"/>
      <c r="B692" s="14"/>
      <c r="C692" s="14"/>
      <c r="D692" s="14"/>
      <c r="E692" s="14"/>
      <c r="F692" s="14"/>
      <c r="T692"/>
      <c r="AK692" s="12"/>
      <c r="AL692" s="1"/>
      <c r="AM692" s="1"/>
      <c r="AN692" s="1"/>
      <c r="AO692" s="2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</row>
    <row r="693" spans="1:60" x14ac:dyDescent="0.25">
      <c r="A693" s="14"/>
      <c r="B693" s="14"/>
      <c r="C693" s="14"/>
      <c r="D693" s="14"/>
      <c r="E693" s="14"/>
      <c r="F693" s="14"/>
      <c r="T693"/>
      <c r="AK693" s="12"/>
      <c r="AL693" s="1"/>
      <c r="AM693" s="1"/>
      <c r="AN693" s="1"/>
      <c r="AO693" s="2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</row>
    <row r="694" spans="1:60" x14ac:dyDescent="0.25">
      <c r="A694" s="14"/>
      <c r="B694" s="14"/>
      <c r="C694" s="14"/>
      <c r="D694" s="14"/>
      <c r="E694" s="14"/>
      <c r="F694" s="14"/>
      <c r="T694"/>
      <c r="AK694" s="12"/>
      <c r="AL694" s="1"/>
      <c r="AM694" s="1"/>
      <c r="AN694" s="1"/>
      <c r="AO694" s="2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</row>
    <row r="695" spans="1:60" x14ac:dyDescent="0.25">
      <c r="A695" s="14"/>
      <c r="B695" s="14"/>
      <c r="C695" s="14"/>
      <c r="D695" s="14"/>
      <c r="E695" s="14"/>
      <c r="F695" s="14"/>
      <c r="T695"/>
      <c r="AK695" s="12"/>
      <c r="AL695" s="1"/>
      <c r="AM695" s="1"/>
      <c r="AN695" s="1"/>
      <c r="AO695" s="2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</row>
    <row r="696" spans="1:60" x14ac:dyDescent="0.25">
      <c r="A696" s="14"/>
      <c r="B696" s="14"/>
      <c r="C696" s="14"/>
      <c r="D696" s="14"/>
      <c r="E696" s="14"/>
      <c r="F696" s="14"/>
      <c r="T696"/>
      <c r="AK696" s="12"/>
      <c r="AL696" s="1"/>
      <c r="AM696" s="1"/>
      <c r="AN696" s="1"/>
      <c r="AO696" s="2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</row>
    <row r="697" spans="1:60" x14ac:dyDescent="0.25">
      <c r="A697" s="14"/>
      <c r="B697" s="14"/>
      <c r="C697" s="14"/>
      <c r="D697" s="14"/>
      <c r="E697" s="14"/>
      <c r="F697" s="14"/>
      <c r="T697"/>
      <c r="AK697" s="12"/>
      <c r="AL697" s="1"/>
      <c r="AM697" s="1"/>
      <c r="AN697" s="1"/>
      <c r="AO697" s="2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</row>
    <row r="698" spans="1:60" x14ac:dyDescent="0.25">
      <c r="A698" s="14"/>
      <c r="B698" s="14"/>
      <c r="C698" s="14"/>
      <c r="D698" s="14"/>
      <c r="E698" s="14"/>
      <c r="F698" s="14"/>
      <c r="T698"/>
      <c r="AK698" s="12"/>
      <c r="AL698" s="1"/>
      <c r="AM698" s="1"/>
      <c r="AN698" s="1"/>
      <c r="AO698" s="2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</row>
    <row r="699" spans="1:60" x14ac:dyDescent="0.25">
      <c r="A699" s="14"/>
      <c r="B699" s="14"/>
      <c r="C699" s="14"/>
      <c r="D699" s="14"/>
      <c r="E699" s="14"/>
      <c r="F699" s="14"/>
      <c r="T699"/>
      <c r="AK699" s="12"/>
      <c r="AL699" s="1"/>
      <c r="AM699" s="1"/>
      <c r="AN699" s="1"/>
      <c r="AO699" s="2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</row>
    <row r="700" spans="1:60" x14ac:dyDescent="0.25">
      <c r="A700" s="14"/>
      <c r="B700" s="14"/>
      <c r="C700" s="14"/>
      <c r="D700" s="14"/>
      <c r="E700" s="14"/>
      <c r="F700" s="14"/>
      <c r="T700"/>
      <c r="AK700" s="12"/>
      <c r="AL700" s="1"/>
      <c r="AM700" s="1"/>
      <c r="AN700" s="1"/>
      <c r="AO700" s="2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</row>
    <row r="701" spans="1:60" x14ac:dyDescent="0.25">
      <c r="A701" s="14"/>
      <c r="B701" s="14"/>
      <c r="C701" s="14"/>
      <c r="D701" s="14"/>
      <c r="E701" s="14"/>
      <c r="F701" s="14"/>
      <c r="T701"/>
      <c r="AK701" s="12"/>
      <c r="AL701" s="1"/>
      <c r="AM701" s="1"/>
      <c r="AN701" s="1"/>
      <c r="AO701" s="2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</row>
    <row r="702" spans="1:60" x14ac:dyDescent="0.25">
      <c r="A702" s="14"/>
      <c r="B702" s="14"/>
      <c r="C702" s="14"/>
      <c r="D702" s="14"/>
      <c r="E702" s="14"/>
      <c r="F702" s="14"/>
      <c r="T702"/>
      <c r="AK702" s="12"/>
      <c r="AL702" s="1"/>
      <c r="AM702" s="1"/>
      <c r="AN702" s="1"/>
      <c r="AO702" s="2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</row>
    <row r="703" spans="1:60" x14ac:dyDescent="0.25">
      <c r="A703" s="14"/>
      <c r="B703" s="14"/>
      <c r="C703" s="14"/>
      <c r="D703" s="14"/>
      <c r="E703" s="14"/>
      <c r="F703" s="14"/>
      <c r="T703"/>
      <c r="AK703" s="12"/>
      <c r="AL703" s="1"/>
      <c r="AM703" s="1"/>
      <c r="AN703" s="1"/>
      <c r="AO703" s="2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</row>
    <row r="704" spans="1:60" x14ac:dyDescent="0.25">
      <c r="A704" s="14"/>
      <c r="B704" s="14"/>
      <c r="C704" s="14"/>
      <c r="D704" s="14"/>
      <c r="E704" s="14"/>
      <c r="F704" s="14"/>
      <c r="T704"/>
      <c r="AK704" s="12"/>
      <c r="AL704" s="1"/>
      <c r="AM704" s="1"/>
      <c r="AN704" s="1"/>
      <c r="AO704" s="2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</row>
    <row r="705" spans="1:60" x14ac:dyDescent="0.25">
      <c r="A705" s="14"/>
      <c r="B705" s="14"/>
      <c r="C705" s="14"/>
      <c r="D705" s="14"/>
      <c r="E705" s="14"/>
      <c r="F705" s="14"/>
      <c r="T705"/>
      <c r="AK705" s="12"/>
      <c r="AL705" s="1"/>
      <c r="AM705" s="1"/>
      <c r="AN705" s="1"/>
      <c r="AO705" s="2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</row>
    <row r="706" spans="1:60" x14ac:dyDescent="0.25">
      <c r="A706" s="14"/>
      <c r="B706" s="14"/>
      <c r="C706" s="14"/>
      <c r="D706" s="14"/>
      <c r="E706" s="14"/>
      <c r="F706" s="14"/>
      <c r="T706"/>
      <c r="AK706" s="12"/>
      <c r="AL706" s="1"/>
      <c r="AM706" s="1"/>
      <c r="AN706" s="1"/>
      <c r="AO706" s="2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</row>
    <row r="707" spans="1:60" x14ac:dyDescent="0.25">
      <c r="A707" s="14"/>
      <c r="B707" s="14"/>
      <c r="C707" s="14"/>
      <c r="D707" s="14"/>
      <c r="E707" s="14"/>
      <c r="F707" s="14"/>
      <c r="T707"/>
      <c r="AK707" s="12"/>
      <c r="AL707" s="1"/>
      <c r="AM707" s="1"/>
      <c r="AN707" s="1"/>
      <c r="AO707" s="2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</row>
    <row r="708" spans="1:60" x14ac:dyDescent="0.25">
      <c r="A708" s="14"/>
      <c r="B708" s="14"/>
      <c r="C708" s="14"/>
      <c r="D708" s="14"/>
      <c r="E708" s="14"/>
      <c r="F708" s="14"/>
      <c r="T708"/>
      <c r="AK708" s="12"/>
      <c r="AL708" s="1"/>
      <c r="AM708" s="1"/>
      <c r="AN708" s="1"/>
      <c r="AO708" s="2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</row>
    <row r="709" spans="1:60" x14ac:dyDescent="0.25">
      <c r="A709" s="14"/>
      <c r="B709" s="14"/>
      <c r="C709" s="14"/>
      <c r="D709" s="14"/>
      <c r="E709" s="14"/>
      <c r="F709" s="14"/>
      <c r="T709"/>
      <c r="AK709" s="12"/>
      <c r="AL709" s="1"/>
      <c r="AM709" s="1"/>
      <c r="AN709" s="1"/>
      <c r="AO709" s="2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</row>
    <row r="710" spans="1:60" x14ac:dyDescent="0.25">
      <c r="A710" s="14"/>
      <c r="B710" s="14"/>
      <c r="C710" s="14"/>
      <c r="D710" s="14"/>
      <c r="E710" s="14"/>
      <c r="F710" s="14"/>
      <c r="T710"/>
      <c r="AK710" s="12"/>
      <c r="AL710" s="1"/>
      <c r="AM710" s="1"/>
      <c r="AN710" s="1"/>
      <c r="AO710" s="2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</row>
    <row r="711" spans="1:60" x14ac:dyDescent="0.25">
      <c r="A711" s="14"/>
      <c r="B711" s="14"/>
      <c r="C711" s="14"/>
      <c r="D711" s="14"/>
      <c r="E711" s="14"/>
      <c r="F711" s="14"/>
      <c r="T711"/>
      <c r="AK711" s="12"/>
      <c r="AL711" s="1"/>
      <c r="AM711" s="1"/>
      <c r="AN711" s="1"/>
      <c r="AO711" s="2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</row>
    <row r="712" spans="1:60" x14ac:dyDescent="0.25">
      <c r="A712" s="14"/>
      <c r="B712" s="14"/>
      <c r="C712" s="14"/>
      <c r="D712" s="14"/>
      <c r="E712" s="14"/>
      <c r="F712" s="14"/>
      <c r="T712"/>
      <c r="AK712" s="12"/>
      <c r="AL712" s="1"/>
      <c r="AM712" s="1"/>
      <c r="AN712" s="1"/>
      <c r="AO712" s="2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</row>
    <row r="713" spans="1:60" x14ac:dyDescent="0.25">
      <c r="A713" s="14"/>
      <c r="B713" s="14"/>
      <c r="C713" s="14"/>
      <c r="D713" s="14"/>
      <c r="E713" s="14"/>
      <c r="F713" s="14"/>
      <c r="T713"/>
      <c r="AK713" s="12"/>
      <c r="AL713" s="1"/>
      <c r="AM713" s="1"/>
      <c r="AN713" s="1"/>
      <c r="AO713" s="2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</row>
    <row r="714" spans="1:60" x14ac:dyDescent="0.25">
      <c r="A714" s="14"/>
      <c r="B714" s="14"/>
      <c r="C714" s="14"/>
      <c r="D714" s="14"/>
      <c r="E714" s="14"/>
      <c r="F714" s="14"/>
      <c r="T714"/>
      <c r="AK714" s="12"/>
      <c r="AL714" s="1"/>
      <c r="AM714" s="1"/>
      <c r="AN714" s="1"/>
      <c r="AO714" s="2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</row>
    <row r="715" spans="1:60" x14ac:dyDescent="0.25">
      <c r="A715" s="14"/>
      <c r="B715" s="14"/>
      <c r="C715" s="14"/>
      <c r="D715" s="14"/>
      <c r="E715" s="14"/>
      <c r="F715" s="14"/>
      <c r="T715"/>
      <c r="AK715" s="12"/>
      <c r="AL715" s="1"/>
      <c r="AM715" s="1"/>
      <c r="AN715" s="1"/>
      <c r="AO715" s="2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</row>
    <row r="716" spans="1:60" x14ac:dyDescent="0.25">
      <c r="A716" s="14"/>
      <c r="B716" s="14"/>
      <c r="C716" s="14"/>
      <c r="D716" s="14"/>
      <c r="E716" s="14"/>
      <c r="F716" s="14"/>
      <c r="T716"/>
      <c r="AK716" s="12"/>
      <c r="AL716" s="1"/>
      <c r="AM716" s="1"/>
      <c r="AN716" s="1"/>
      <c r="AO716" s="2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</row>
    <row r="717" spans="1:60" x14ac:dyDescent="0.25">
      <c r="A717" s="14"/>
      <c r="B717" s="14"/>
      <c r="C717" s="14"/>
      <c r="D717" s="14"/>
      <c r="E717" s="14"/>
      <c r="F717" s="14"/>
      <c r="T717"/>
      <c r="AK717" s="12"/>
      <c r="AL717" s="1"/>
      <c r="AM717" s="1"/>
      <c r="AN717" s="1"/>
      <c r="AO717" s="2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</row>
    <row r="718" spans="1:60" x14ac:dyDescent="0.25">
      <c r="A718" s="14"/>
      <c r="B718" s="14"/>
      <c r="C718" s="14"/>
      <c r="D718" s="14"/>
      <c r="E718" s="14"/>
      <c r="F718" s="14"/>
      <c r="T718"/>
      <c r="AK718" s="12"/>
      <c r="AL718" s="1"/>
      <c r="AM718" s="1"/>
      <c r="AN718" s="1"/>
      <c r="AO718" s="2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</row>
    <row r="719" spans="1:60" x14ac:dyDescent="0.25">
      <c r="A719" s="14"/>
      <c r="B719" s="14"/>
      <c r="C719" s="14"/>
      <c r="D719" s="14"/>
      <c r="E719" s="14"/>
      <c r="F719" s="14"/>
      <c r="T719"/>
      <c r="AK719" s="12"/>
      <c r="AL719" s="1"/>
      <c r="AM719" s="1"/>
      <c r="AN719" s="1"/>
      <c r="AO719" s="2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</row>
    <row r="720" spans="1:60" x14ac:dyDescent="0.25">
      <c r="A720" s="14"/>
      <c r="B720" s="14"/>
      <c r="C720" s="14"/>
      <c r="D720" s="14"/>
      <c r="E720" s="14"/>
      <c r="F720" s="14"/>
      <c r="T720"/>
      <c r="AK720" s="12"/>
      <c r="AL720" s="1"/>
      <c r="AM720" s="1"/>
      <c r="AN720" s="1"/>
      <c r="AO720" s="2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</row>
    <row r="721" spans="1:60" x14ac:dyDescent="0.25">
      <c r="A721" s="14"/>
      <c r="B721" s="14"/>
      <c r="C721" s="14"/>
      <c r="D721" s="14"/>
      <c r="E721" s="14"/>
      <c r="F721" s="14"/>
      <c r="T721"/>
      <c r="AK721" s="12"/>
      <c r="AL721" s="1"/>
      <c r="AM721" s="1"/>
      <c r="AN721" s="1"/>
      <c r="AO721" s="2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</row>
    <row r="722" spans="1:60" x14ac:dyDescent="0.25">
      <c r="A722" s="14"/>
      <c r="B722" s="14"/>
      <c r="C722" s="14"/>
      <c r="D722" s="14"/>
      <c r="E722" s="14"/>
      <c r="F722" s="14"/>
      <c r="T722"/>
      <c r="AK722" s="12"/>
      <c r="AL722" s="1"/>
      <c r="AM722" s="1"/>
      <c r="AN722" s="1"/>
      <c r="AO722" s="2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</row>
    <row r="723" spans="1:60" x14ac:dyDescent="0.25">
      <c r="A723" s="14"/>
      <c r="B723" s="14"/>
      <c r="C723" s="14"/>
      <c r="D723" s="14"/>
      <c r="E723" s="14"/>
      <c r="F723" s="14"/>
      <c r="T723"/>
      <c r="AK723" s="12"/>
      <c r="AL723" s="1"/>
      <c r="AM723" s="1"/>
      <c r="AN723" s="1"/>
      <c r="AO723" s="2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</row>
    <row r="724" spans="1:60" x14ac:dyDescent="0.25">
      <c r="A724" s="14"/>
      <c r="B724" s="14"/>
      <c r="C724" s="14"/>
      <c r="D724" s="14"/>
      <c r="E724" s="14"/>
      <c r="F724" s="14"/>
      <c r="T724"/>
      <c r="AK724" s="12"/>
      <c r="AL724" s="1"/>
      <c r="AM724" s="1"/>
      <c r="AN724" s="1"/>
      <c r="AO724" s="2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</row>
    <row r="725" spans="1:60" x14ac:dyDescent="0.25">
      <c r="A725" s="14"/>
      <c r="B725" s="14"/>
      <c r="C725" s="14"/>
      <c r="D725" s="14"/>
      <c r="E725" s="14"/>
      <c r="F725" s="14"/>
      <c r="T725"/>
      <c r="AK725" s="12"/>
      <c r="AL725" s="1"/>
      <c r="AM725" s="1"/>
      <c r="AN725" s="1"/>
      <c r="AO725" s="2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</row>
    <row r="726" spans="1:60" x14ac:dyDescent="0.25">
      <c r="A726" s="14"/>
      <c r="B726" s="14"/>
      <c r="C726" s="14"/>
      <c r="D726" s="14"/>
      <c r="E726" s="14"/>
      <c r="F726" s="14"/>
      <c r="T726"/>
      <c r="AK726" s="12"/>
      <c r="AL726" s="1"/>
      <c r="AM726" s="1"/>
      <c r="AN726" s="1"/>
      <c r="AO726" s="2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</row>
    <row r="727" spans="1:60" x14ac:dyDescent="0.25">
      <c r="A727" s="14"/>
      <c r="B727" s="14"/>
      <c r="C727" s="14"/>
      <c r="D727" s="14"/>
      <c r="E727" s="14"/>
      <c r="F727" s="14"/>
      <c r="T727"/>
      <c r="AK727" s="12"/>
      <c r="AL727" s="1"/>
      <c r="AM727" s="1"/>
      <c r="AN727" s="1"/>
      <c r="AO727" s="2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</row>
    <row r="728" spans="1:60" x14ac:dyDescent="0.25">
      <c r="A728" s="14"/>
      <c r="B728" s="14"/>
      <c r="C728" s="14"/>
      <c r="D728" s="14"/>
      <c r="E728" s="14"/>
      <c r="F728" s="14"/>
      <c r="T728"/>
      <c r="AK728" s="12"/>
      <c r="AL728" s="1"/>
      <c r="AM728" s="1"/>
      <c r="AN728" s="1"/>
      <c r="AO728" s="2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</row>
    <row r="729" spans="1:60" x14ac:dyDescent="0.25">
      <c r="A729" s="14"/>
      <c r="B729" s="14"/>
      <c r="C729" s="14"/>
      <c r="D729" s="14"/>
      <c r="E729" s="14"/>
      <c r="F729" s="14"/>
      <c r="T729"/>
      <c r="AK729" s="12"/>
      <c r="AL729" s="1"/>
      <c r="AM729" s="1"/>
      <c r="AN729" s="1"/>
      <c r="AO729" s="2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</row>
    <row r="730" spans="1:60" x14ac:dyDescent="0.25">
      <c r="A730" s="14"/>
      <c r="B730" s="14"/>
      <c r="C730" s="14"/>
      <c r="D730" s="14"/>
      <c r="E730" s="14"/>
      <c r="F730" s="14"/>
      <c r="T730"/>
      <c r="AK730" s="12"/>
      <c r="AL730" s="1"/>
      <c r="AM730" s="1"/>
      <c r="AN730" s="1"/>
      <c r="AO730" s="2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</row>
    <row r="731" spans="1:60" x14ac:dyDescent="0.25">
      <c r="A731" s="14"/>
      <c r="B731" s="14"/>
      <c r="C731" s="14"/>
      <c r="D731" s="14"/>
      <c r="E731" s="14"/>
      <c r="F731" s="14"/>
      <c r="T731"/>
      <c r="AK731" s="12"/>
      <c r="AL731" s="1"/>
      <c r="AM731" s="1"/>
      <c r="AN731" s="1"/>
      <c r="AO731" s="2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</row>
    <row r="732" spans="1:60" x14ac:dyDescent="0.25">
      <c r="A732" s="14"/>
      <c r="B732" s="14"/>
      <c r="C732" s="14"/>
      <c r="D732" s="14"/>
      <c r="E732" s="14"/>
      <c r="F732" s="14"/>
      <c r="T732"/>
      <c r="AK732" s="12"/>
      <c r="AL732" s="1"/>
      <c r="AM732" s="1"/>
      <c r="AN732" s="1"/>
      <c r="AO732" s="2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</row>
    <row r="733" spans="1:60" x14ac:dyDescent="0.25">
      <c r="A733" s="14"/>
      <c r="B733" s="14"/>
      <c r="C733" s="14"/>
      <c r="D733" s="14"/>
      <c r="E733" s="14"/>
      <c r="F733" s="14"/>
      <c r="T733"/>
      <c r="AK733" s="12"/>
      <c r="AL733" s="1"/>
      <c r="AM733" s="1"/>
      <c r="AN733" s="1"/>
      <c r="AO733" s="2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</row>
    <row r="734" spans="1:60" x14ac:dyDescent="0.25">
      <c r="A734" s="14"/>
      <c r="B734" s="14"/>
      <c r="C734" s="14"/>
      <c r="D734" s="14"/>
      <c r="E734" s="14"/>
      <c r="F734" s="14"/>
      <c r="T734"/>
      <c r="AK734" s="12"/>
      <c r="AL734" s="1"/>
      <c r="AM734" s="1"/>
      <c r="AN734" s="1"/>
      <c r="AO734" s="2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</row>
    <row r="735" spans="1:60" x14ac:dyDescent="0.25">
      <c r="A735" s="14"/>
      <c r="B735" s="14"/>
      <c r="C735" s="14"/>
      <c r="D735" s="14"/>
      <c r="E735" s="14"/>
      <c r="F735" s="14"/>
      <c r="T735"/>
      <c r="AK735" s="12"/>
      <c r="AL735" s="1"/>
      <c r="AM735" s="1"/>
      <c r="AN735" s="1"/>
      <c r="AO735" s="2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</row>
    <row r="736" spans="1:60" x14ac:dyDescent="0.25">
      <c r="A736" s="14"/>
      <c r="B736" s="14"/>
      <c r="C736" s="14"/>
      <c r="D736" s="14"/>
      <c r="E736" s="14"/>
      <c r="F736" s="14"/>
      <c r="T736"/>
      <c r="AK736" s="12"/>
      <c r="AL736" s="1"/>
      <c r="AM736" s="1"/>
      <c r="AN736" s="1"/>
      <c r="AO736" s="2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</row>
    <row r="737" spans="1:60" x14ac:dyDescent="0.25">
      <c r="A737" s="14"/>
      <c r="B737" s="14"/>
      <c r="C737" s="14"/>
      <c r="D737" s="14"/>
      <c r="E737" s="14"/>
      <c r="F737" s="14"/>
      <c r="T737"/>
      <c r="AK737" s="12"/>
      <c r="AL737" s="1"/>
      <c r="AM737" s="1"/>
      <c r="AN737" s="1"/>
      <c r="AO737" s="2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</row>
    <row r="738" spans="1:60" x14ac:dyDescent="0.25">
      <c r="A738" s="14"/>
      <c r="B738" s="14"/>
      <c r="C738" s="14"/>
      <c r="D738" s="14"/>
      <c r="E738" s="14"/>
      <c r="F738" s="14"/>
      <c r="T738"/>
      <c r="AK738" s="12"/>
      <c r="AL738" s="1"/>
      <c r="AM738" s="1"/>
      <c r="AN738" s="1"/>
      <c r="AO738" s="2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</row>
    <row r="739" spans="1:60" x14ac:dyDescent="0.25">
      <c r="A739" s="14"/>
      <c r="B739" s="14"/>
      <c r="C739" s="14"/>
      <c r="D739" s="14"/>
      <c r="E739" s="14"/>
      <c r="F739" s="14"/>
      <c r="T739"/>
      <c r="AK739" s="12"/>
      <c r="AL739" s="1"/>
      <c r="AM739" s="1"/>
      <c r="AN739" s="1"/>
      <c r="AO739" s="2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</row>
    <row r="740" spans="1:60" x14ac:dyDescent="0.25">
      <c r="A740" s="14"/>
      <c r="B740" s="14"/>
      <c r="C740" s="14"/>
      <c r="D740" s="14"/>
      <c r="E740" s="14"/>
      <c r="F740" s="14"/>
      <c r="T740"/>
      <c r="AK740" s="12"/>
      <c r="AL740" s="1"/>
      <c r="AM740" s="1"/>
      <c r="AN740" s="1"/>
      <c r="AO740" s="2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</row>
    <row r="741" spans="1:60" x14ac:dyDescent="0.25">
      <c r="A741" s="14"/>
      <c r="B741" s="14"/>
      <c r="C741" s="14"/>
      <c r="D741" s="14"/>
      <c r="E741" s="14"/>
      <c r="F741" s="14"/>
      <c r="T741"/>
      <c r="AK741" s="12"/>
      <c r="AL741" s="1"/>
      <c r="AM741" s="1"/>
      <c r="AN741" s="1"/>
      <c r="AO741" s="2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</row>
    <row r="742" spans="1:60" x14ac:dyDescent="0.25">
      <c r="A742" s="14"/>
      <c r="B742" s="14"/>
      <c r="C742" s="14"/>
      <c r="D742" s="14"/>
      <c r="E742" s="14"/>
      <c r="F742" s="14"/>
      <c r="T742"/>
      <c r="AK742" s="12"/>
      <c r="AL742" s="1"/>
      <c r="AM742" s="1"/>
      <c r="AN742" s="1"/>
      <c r="AO742" s="2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</row>
    <row r="743" spans="1:60" x14ac:dyDescent="0.25">
      <c r="A743" s="14"/>
      <c r="B743" s="14"/>
      <c r="C743" s="14"/>
      <c r="D743" s="14"/>
      <c r="E743" s="14"/>
      <c r="F743" s="14"/>
      <c r="T743"/>
      <c r="AK743" s="12"/>
      <c r="AL743" s="1"/>
      <c r="AM743" s="1"/>
      <c r="AN743" s="1"/>
      <c r="AO743" s="2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</row>
    <row r="744" spans="1:60" x14ac:dyDescent="0.25">
      <c r="A744" s="14"/>
      <c r="B744" s="14"/>
      <c r="C744" s="14"/>
      <c r="D744" s="14"/>
      <c r="E744" s="14"/>
      <c r="F744" s="14"/>
      <c r="T744"/>
      <c r="AK744" s="12"/>
      <c r="AL744" s="1"/>
      <c r="AM744" s="1"/>
      <c r="AN744" s="1"/>
      <c r="AO744" s="2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</row>
    <row r="745" spans="1:60" x14ac:dyDescent="0.25">
      <c r="A745" s="14"/>
      <c r="B745" s="14"/>
      <c r="C745" s="14"/>
      <c r="D745" s="14"/>
      <c r="E745" s="14"/>
      <c r="F745" s="14"/>
      <c r="T745"/>
      <c r="AK745" s="12"/>
      <c r="AL745" s="1"/>
      <c r="AM745" s="1"/>
      <c r="AN745" s="1"/>
      <c r="AO745" s="2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</row>
    <row r="746" spans="1:60" x14ac:dyDescent="0.25">
      <c r="A746" s="14"/>
      <c r="B746" s="14"/>
      <c r="C746" s="14"/>
      <c r="D746" s="14"/>
      <c r="E746" s="14"/>
      <c r="F746" s="14"/>
      <c r="T746"/>
      <c r="AK746" s="12"/>
      <c r="AL746" s="1"/>
      <c r="AM746" s="1"/>
      <c r="AN746" s="1"/>
      <c r="AO746" s="2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</row>
    <row r="747" spans="1:60" x14ac:dyDescent="0.25">
      <c r="A747" s="14"/>
      <c r="B747" s="14"/>
      <c r="C747" s="14"/>
      <c r="D747" s="14"/>
      <c r="E747" s="14"/>
      <c r="F747" s="14"/>
      <c r="T747"/>
      <c r="AK747" s="12"/>
      <c r="AL747" s="1"/>
      <c r="AM747" s="1"/>
      <c r="AN747" s="1"/>
      <c r="AO747" s="2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</row>
    <row r="748" spans="1:60" x14ac:dyDescent="0.25">
      <c r="A748" s="14"/>
      <c r="B748" s="14"/>
      <c r="C748" s="14"/>
      <c r="D748" s="14"/>
      <c r="E748" s="14"/>
      <c r="F748" s="14"/>
      <c r="T748"/>
      <c r="AK748" s="12"/>
      <c r="AL748" s="1"/>
      <c r="AM748" s="1"/>
      <c r="AN748" s="1"/>
      <c r="AO748" s="2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</row>
    <row r="749" spans="1:60" x14ac:dyDescent="0.25">
      <c r="A749" s="14"/>
      <c r="B749" s="14"/>
      <c r="C749" s="14"/>
      <c r="D749" s="14"/>
      <c r="E749" s="14"/>
      <c r="F749" s="14"/>
      <c r="T749"/>
      <c r="AK749" s="12"/>
      <c r="AL749" s="1"/>
      <c r="AM749" s="1"/>
      <c r="AN749" s="1"/>
      <c r="AO749" s="2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</row>
    <row r="750" spans="1:60" x14ac:dyDescent="0.25">
      <c r="A750" s="14"/>
      <c r="B750" s="14"/>
      <c r="C750" s="14"/>
      <c r="D750" s="14"/>
      <c r="E750" s="14"/>
      <c r="F750" s="14"/>
      <c r="T750"/>
      <c r="AK750" s="12"/>
      <c r="AL750" s="1"/>
      <c r="AM750" s="1"/>
      <c r="AN750" s="1"/>
      <c r="AO750" s="2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</row>
    <row r="751" spans="1:60" x14ac:dyDescent="0.25">
      <c r="A751" s="14"/>
      <c r="B751" s="14"/>
      <c r="C751" s="14"/>
      <c r="D751" s="14"/>
      <c r="E751" s="14"/>
      <c r="F751" s="14"/>
      <c r="T751"/>
      <c r="AK751" s="12"/>
      <c r="AL751" s="1"/>
      <c r="AM751" s="1"/>
      <c r="AN751" s="1"/>
      <c r="AO751" s="2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</row>
    <row r="752" spans="1:60" x14ac:dyDescent="0.25">
      <c r="A752" s="14"/>
      <c r="B752" s="14"/>
      <c r="C752" s="14"/>
      <c r="D752" s="14"/>
      <c r="E752" s="14"/>
      <c r="F752" s="14"/>
      <c r="T752"/>
      <c r="AK752" s="12"/>
      <c r="AL752" s="1"/>
      <c r="AM752" s="1"/>
      <c r="AN752" s="1"/>
      <c r="AO752" s="2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</row>
    <row r="753" spans="1:60" x14ac:dyDescent="0.25">
      <c r="A753" s="14"/>
      <c r="B753" s="14"/>
      <c r="C753" s="14"/>
      <c r="D753" s="14"/>
      <c r="E753" s="14"/>
      <c r="F753" s="14"/>
      <c r="T753"/>
      <c r="AK753" s="12"/>
      <c r="AL753" s="1"/>
      <c r="AM753" s="1"/>
      <c r="AN753" s="1"/>
      <c r="AO753" s="2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</row>
    <row r="754" spans="1:60" x14ac:dyDescent="0.25">
      <c r="A754" s="14"/>
      <c r="B754" s="14"/>
      <c r="C754" s="14"/>
      <c r="D754" s="14"/>
      <c r="E754" s="14"/>
      <c r="F754" s="14"/>
      <c r="T754"/>
      <c r="AK754" s="12"/>
      <c r="AL754" s="1"/>
      <c r="AM754" s="1"/>
      <c r="AN754" s="1"/>
      <c r="AO754" s="2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</row>
    <row r="755" spans="1:60" x14ac:dyDescent="0.25">
      <c r="A755" s="14"/>
      <c r="B755" s="14"/>
      <c r="C755" s="14"/>
      <c r="D755" s="14"/>
      <c r="E755" s="14"/>
      <c r="F755" s="14"/>
      <c r="T755"/>
      <c r="AK755" s="12"/>
      <c r="AL755" s="1"/>
      <c r="AM755" s="1"/>
      <c r="AN755" s="1"/>
      <c r="AO755" s="2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</row>
    <row r="756" spans="1:60" x14ac:dyDescent="0.25">
      <c r="A756" s="14"/>
      <c r="B756" s="14"/>
      <c r="C756" s="14"/>
      <c r="D756" s="14"/>
      <c r="E756" s="14"/>
      <c r="F756" s="14"/>
      <c r="T756"/>
      <c r="AK756" s="12"/>
      <c r="AL756" s="1"/>
      <c r="AM756" s="1"/>
      <c r="AN756" s="1"/>
      <c r="AO756" s="2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</row>
    <row r="757" spans="1:60" x14ac:dyDescent="0.25">
      <c r="A757" s="14"/>
      <c r="B757" s="14"/>
      <c r="C757" s="14"/>
      <c r="D757" s="14"/>
      <c r="E757" s="14"/>
      <c r="F757" s="14"/>
      <c r="T757"/>
      <c r="AK757" s="12"/>
      <c r="AL757" s="1"/>
      <c r="AM757" s="1"/>
      <c r="AN757" s="1"/>
      <c r="AO757" s="2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</row>
    <row r="758" spans="1:60" x14ac:dyDescent="0.25">
      <c r="A758" s="14"/>
      <c r="B758" s="14"/>
      <c r="C758" s="14"/>
      <c r="D758" s="14"/>
      <c r="E758" s="14"/>
      <c r="F758" s="14"/>
      <c r="T758"/>
      <c r="AK758" s="12"/>
      <c r="AL758" s="1"/>
      <c r="AM758" s="1"/>
      <c r="AN758" s="1"/>
      <c r="AO758" s="2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</row>
    <row r="759" spans="1:60" x14ac:dyDescent="0.25">
      <c r="A759" s="14"/>
      <c r="B759" s="14"/>
      <c r="C759" s="14"/>
      <c r="D759" s="14"/>
      <c r="E759" s="14"/>
      <c r="F759" s="14"/>
      <c r="T759"/>
      <c r="AK759" s="12"/>
      <c r="AL759" s="1"/>
      <c r="AM759" s="1"/>
      <c r="AN759" s="1"/>
      <c r="AO759" s="2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</row>
    <row r="760" spans="1:60" x14ac:dyDescent="0.25">
      <c r="A760" s="14"/>
      <c r="B760" s="14"/>
      <c r="C760" s="14"/>
      <c r="D760" s="14"/>
      <c r="E760" s="14"/>
      <c r="F760" s="14"/>
      <c r="T760"/>
      <c r="AK760" s="12"/>
      <c r="AL760" s="1"/>
      <c r="AM760" s="1"/>
      <c r="AN760" s="1"/>
      <c r="AO760" s="2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</row>
    <row r="761" spans="1:60" x14ac:dyDescent="0.25">
      <c r="A761" s="14"/>
      <c r="B761" s="14"/>
      <c r="C761" s="14"/>
      <c r="D761" s="14"/>
      <c r="E761" s="14"/>
      <c r="F761" s="14"/>
      <c r="T761"/>
      <c r="AK761" s="12"/>
      <c r="AL761" s="1"/>
      <c r="AM761" s="1"/>
      <c r="AN761" s="1"/>
      <c r="AO761" s="2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</row>
    <row r="762" spans="1:60" x14ac:dyDescent="0.25">
      <c r="A762" s="14"/>
      <c r="B762" s="14"/>
      <c r="C762" s="14"/>
      <c r="D762" s="14"/>
      <c r="E762" s="14"/>
      <c r="F762" s="14"/>
      <c r="T762"/>
      <c r="AK762" s="12"/>
      <c r="AL762" s="1"/>
      <c r="AM762" s="1"/>
      <c r="AN762" s="1"/>
      <c r="AO762" s="2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</row>
    <row r="763" spans="1:60" x14ac:dyDescent="0.25">
      <c r="A763" s="14"/>
      <c r="B763" s="14"/>
      <c r="C763" s="14"/>
      <c r="D763" s="14"/>
      <c r="E763" s="14"/>
      <c r="F763" s="14"/>
      <c r="T763"/>
      <c r="AK763" s="12"/>
      <c r="AL763" s="1"/>
      <c r="AM763" s="1"/>
      <c r="AN763" s="1"/>
      <c r="AO763" s="2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</row>
    <row r="764" spans="1:60" x14ac:dyDescent="0.25">
      <c r="A764" s="14"/>
      <c r="B764" s="14"/>
      <c r="C764" s="14"/>
      <c r="D764" s="14"/>
      <c r="E764" s="14"/>
      <c r="F764" s="14"/>
      <c r="T764"/>
      <c r="AK764" s="12"/>
      <c r="AL764" s="1"/>
      <c r="AM764" s="1"/>
      <c r="AN764" s="1"/>
      <c r="AO764" s="2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</row>
    <row r="765" spans="1:60" x14ac:dyDescent="0.25">
      <c r="A765" s="14"/>
      <c r="B765" s="14"/>
      <c r="C765" s="14"/>
      <c r="D765" s="14"/>
      <c r="E765" s="14"/>
      <c r="F765" s="14"/>
      <c r="T765"/>
      <c r="AK765" s="12"/>
      <c r="AL765" s="1"/>
      <c r="AM765" s="1"/>
      <c r="AN765" s="1"/>
      <c r="AO765" s="2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</row>
    <row r="766" spans="1:60" x14ac:dyDescent="0.25">
      <c r="A766" s="14"/>
      <c r="B766" s="14"/>
      <c r="C766" s="14"/>
      <c r="D766" s="14"/>
      <c r="E766" s="14"/>
      <c r="F766" s="14"/>
      <c r="T766"/>
      <c r="AK766" s="12"/>
      <c r="AL766" s="1"/>
      <c r="AM766" s="1"/>
      <c r="AN766" s="1"/>
      <c r="AO766" s="2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</row>
    <row r="767" spans="1:60" x14ac:dyDescent="0.25">
      <c r="A767" s="14"/>
      <c r="B767" s="14"/>
      <c r="C767" s="14"/>
      <c r="D767" s="14"/>
      <c r="E767" s="14"/>
      <c r="F767" s="14"/>
      <c r="T767"/>
      <c r="AK767" s="12"/>
      <c r="AL767" s="1"/>
      <c r="AM767" s="1"/>
      <c r="AN767" s="1"/>
      <c r="AO767" s="2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</row>
    <row r="768" spans="1:60" x14ac:dyDescent="0.25">
      <c r="A768" s="14"/>
      <c r="B768" s="14"/>
      <c r="C768" s="14"/>
      <c r="D768" s="14"/>
      <c r="E768" s="14"/>
      <c r="F768" s="14"/>
      <c r="T768"/>
      <c r="AK768" s="12"/>
      <c r="AL768" s="1"/>
      <c r="AM768" s="1"/>
      <c r="AN768" s="1"/>
      <c r="AO768" s="2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</row>
    <row r="769" spans="1:60" x14ac:dyDescent="0.25">
      <c r="A769" s="14"/>
      <c r="B769" s="14"/>
      <c r="C769" s="14"/>
      <c r="D769" s="14"/>
      <c r="E769" s="14"/>
      <c r="F769" s="14"/>
      <c r="T769"/>
      <c r="AK769" s="12"/>
      <c r="AL769" s="1"/>
      <c r="AM769" s="1"/>
      <c r="AN769" s="1"/>
      <c r="AO769" s="2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</row>
    <row r="770" spans="1:60" x14ac:dyDescent="0.25">
      <c r="A770" s="14"/>
      <c r="B770" s="14"/>
      <c r="C770" s="14"/>
      <c r="D770" s="14"/>
      <c r="E770" s="14"/>
      <c r="F770" s="14"/>
      <c r="T770"/>
      <c r="AK770" s="12"/>
      <c r="AL770" s="1"/>
      <c r="AM770" s="1"/>
      <c r="AN770" s="1"/>
      <c r="AO770" s="2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</row>
    <row r="771" spans="1:60" x14ac:dyDescent="0.25">
      <c r="A771" s="14"/>
      <c r="B771" s="14"/>
      <c r="C771" s="14"/>
      <c r="D771" s="14"/>
      <c r="E771" s="14"/>
      <c r="F771" s="14"/>
      <c r="T771"/>
      <c r="AK771" s="12"/>
      <c r="AL771" s="1"/>
      <c r="AM771" s="1"/>
      <c r="AN771" s="1"/>
      <c r="AO771" s="2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</row>
    <row r="772" spans="1:60" x14ac:dyDescent="0.25">
      <c r="A772" s="14"/>
      <c r="B772" s="14"/>
      <c r="C772" s="14"/>
      <c r="D772" s="14"/>
      <c r="E772" s="14"/>
      <c r="F772" s="14"/>
      <c r="T772"/>
      <c r="AK772" s="12"/>
      <c r="AL772" s="1"/>
      <c r="AM772" s="1"/>
      <c r="AN772" s="1"/>
      <c r="AO772" s="2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</row>
    <row r="773" spans="1:60" x14ac:dyDescent="0.25">
      <c r="A773" s="14"/>
      <c r="B773" s="14"/>
      <c r="C773" s="14"/>
      <c r="D773" s="14"/>
      <c r="E773" s="14"/>
      <c r="F773" s="14"/>
      <c r="T773"/>
      <c r="AK773" s="12"/>
      <c r="AL773" s="1"/>
      <c r="AM773" s="1"/>
      <c r="AN773" s="1"/>
      <c r="AO773" s="2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</row>
    <row r="774" spans="1:60" x14ac:dyDescent="0.25">
      <c r="A774" s="14"/>
      <c r="B774" s="14"/>
      <c r="C774" s="14"/>
      <c r="D774" s="14"/>
      <c r="E774" s="14"/>
      <c r="F774" s="14"/>
      <c r="T774"/>
      <c r="AK774" s="12"/>
      <c r="AL774" s="1"/>
      <c r="AM774" s="1"/>
      <c r="AN774" s="1"/>
      <c r="AO774" s="2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</row>
    <row r="775" spans="1:60" x14ac:dyDescent="0.25">
      <c r="A775" s="14"/>
      <c r="B775" s="14"/>
      <c r="C775" s="14"/>
      <c r="D775" s="14"/>
      <c r="E775" s="14"/>
      <c r="F775" s="14"/>
      <c r="T775"/>
      <c r="AK775" s="12"/>
      <c r="AL775" s="1"/>
      <c r="AM775" s="1"/>
      <c r="AN775" s="1"/>
      <c r="AO775" s="2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</row>
    <row r="776" spans="1:60" x14ac:dyDescent="0.25">
      <c r="A776" s="14"/>
      <c r="B776" s="14"/>
      <c r="C776" s="14"/>
      <c r="D776" s="14"/>
      <c r="E776" s="14"/>
      <c r="F776" s="14"/>
      <c r="T776"/>
      <c r="AK776" s="12"/>
      <c r="AL776" s="1"/>
      <c r="AM776" s="1"/>
      <c r="AN776" s="1"/>
      <c r="AO776" s="2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</row>
    <row r="777" spans="1:60" x14ac:dyDescent="0.25">
      <c r="A777" s="14"/>
      <c r="B777" s="14"/>
      <c r="C777" s="14"/>
      <c r="D777" s="14"/>
      <c r="E777" s="14"/>
      <c r="F777" s="14"/>
      <c r="T777"/>
      <c r="AK777" s="12"/>
      <c r="AL777" s="1"/>
      <c r="AM777" s="1"/>
      <c r="AN777" s="1"/>
      <c r="AO777" s="2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</row>
    <row r="778" spans="1:60" x14ac:dyDescent="0.25">
      <c r="A778" s="14"/>
      <c r="B778" s="14"/>
      <c r="C778" s="14"/>
      <c r="D778" s="14"/>
      <c r="E778" s="14"/>
      <c r="F778" s="14"/>
      <c r="T778"/>
      <c r="AK778" s="12"/>
      <c r="AL778" s="1"/>
      <c r="AM778" s="1"/>
      <c r="AN778" s="1"/>
      <c r="AO778" s="2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</row>
    <row r="779" spans="1:60" x14ac:dyDescent="0.25">
      <c r="A779" s="14"/>
      <c r="B779" s="14"/>
      <c r="C779" s="14"/>
      <c r="D779" s="14"/>
      <c r="E779" s="14"/>
      <c r="F779" s="14"/>
      <c r="T779"/>
      <c r="AK779" s="12"/>
      <c r="AL779" s="1"/>
      <c r="AM779" s="1"/>
      <c r="AN779" s="1"/>
      <c r="AO779" s="2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</row>
    <row r="780" spans="1:60" x14ac:dyDescent="0.25">
      <c r="A780" s="14"/>
      <c r="B780" s="14"/>
      <c r="C780" s="14"/>
      <c r="D780" s="14"/>
      <c r="E780" s="14"/>
      <c r="F780" s="14"/>
      <c r="T780"/>
      <c r="AK780" s="12"/>
      <c r="AL780" s="1"/>
      <c r="AM780" s="1"/>
      <c r="AN780" s="1"/>
      <c r="AO780" s="2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</row>
    <row r="781" spans="1:60" x14ac:dyDescent="0.25">
      <c r="A781" s="14"/>
      <c r="B781" s="14"/>
      <c r="C781" s="14"/>
      <c r="D781" s="14"/>
      <c r="E781" s="14"/>
      <c r="F781" s="14"/>
      <c r="T781"/>
      <c r="AK781" s="12"/>
      <c r="AL781" s="1"/>
      <c r="AM781" s="1"/>
      <c r="AN781" s="1"/>
      <c r="AO781" s="2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</row>
    <row r="782" spans="1:60" x14ac:dyDescent="0.25">
      <c r="A782" s="14"/>
      <c r="B782" s="14"/>
      <c r="C782" s="14"/>
      <c r="D782" s="14"/>
      <c r="E782" s="14"/>
      <c r="F782" s="14"/>
      <c r="T782"/>
      <c r="AK782" s="12"/>
      <c r="AL782" s="1"/>
      <c r="AM782" s="1"/>
      <c r="AN782" s="1"/>
      <c r="AO782" s="2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</row>
    <row r="783" spans="1:60" x14ac:dyDescent="0.25">
      <c r="A783" s="14"/>
      <c r="B783" s="14"/>
      <c r="C783" s="14"/>
      <c r="D783" s="14"/>
      <c r="E783" s="14"/>
      <c r="F783" s="14"/>
      <c r="T783"/>
      <c r="AK783" s="12"/>
      <c r="AL783" s="1"/>
      <c r="AM783" s="1"/>
      <c r="AN783" s="1"/>
      <c r="AO783" s="2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</row>
    <row r="784" spans="1:60" x14ac:dyDescent="0.25">
      <c r="A784" s="14"/>
      <c r="B784" s="14"/>
      <c r="C784" s="14"/>
      <c r="D784" s="14"/>
      <c r="E784" s="14"/>
      <c r="F784" s="14"/>
      <c r="T784"/>
      <c r="AK784" s="12"/>
      <c r="AL784" s="1"/>
      <c r="AM784" s="1"/>
      <c r="AN784" s="1"/>
      <c r="AO784" s="2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</row>
    <row r="785" spans="1:60" x14ac:dyDescent="0.25">
      <c r="A785" s="14"/>
      <c r="B785" s="14"/>
      <c r="C785" s="14"/>
      <c r="D785" s="14"/>
      <c r="E785" s="14"/>
      <c r="F785" s="14"/>
      <c r="T785"/>
      <c r="AK785" s="12"/>
      <c r="AL785" s="1"/>
      <c r="AM785" s="1"/>
      <c r="AN785" s="1"/>
      <c r="AO785" s="2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</row>
    <row r="786" spans="1:60" x14ac:dyDescent="0.25">
      <c r="A786" s="14"/>
      <c r="B786" s="14"/>
      <c r="C786" s="14"/>
      <c r="D786" s="14"/>
      <c r="E786" s="14"/>
      <c r="F786" s="14"/>
      <c r="T786"/>
      <c r="AK786" s="12"/>
      <c r="AL786" s="1"/>
      <c r="AM786" s="1"/>
      <c r="AN786" s="1"/>
      <c r="AO786" s="2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</row>
    <row r="787" spans="1:60" x14ac:dyDescent="0.25">
      <c r="A787" s="14"/>
      <c r="B787" s="14"/>
      <c r="C787" s="14"/>
      <c r="D787" s="14"/>
      <c r="E787" s="14"/>
      <c r="F787" s="14"/>
      <c r="T787"/>
      <c r="AK787" s="12"/>
      <c r="AL787" s="1"/>
      <c r="AM787" s="1"/>
      <c r="AN787" s="1"/>
      <c r="AO787" s="2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</row>
    <row r="788" spans="1:60" x14ac:dyDescent="0.25">
      <c r="A788" s="14"/>
      <c r="B788" s="14"/>
      <c r="C788" s="14"/>
      <c r="D788" s="14"/>
      <c r="E788" s="14"/>
      <c r="F788" s="14"/>
      <c r="T788"/>
      <c r="AK788" s="12"/>
      <c r="AL788" s="1"/>
      <c r="AM788" s="1"/>
      <c r="AN788" s="1"/>
      <c r="AO788" s="2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</row>
    <row r="789" spans="1:60" x14ac:dyDescent="0.25">
      <c r="A789" s="14"/>
      <c r="B789" s="14"/>
      <c r="C789" s="14"/>
      <c r="D789" s="14"/>
      <c r="E789" s="14"/>
      <c r="F789" s="14"/>
      <c r="T789"/>
      <c r="AK789" s="12"/>
      <c r="AL789" s="1"/>
      <c r="AM789" s="1"/>
      <c r="AN789" s="1"/>
      <c r="AO789" s="2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</row>
    <row r="790" spans="1:60" x14ac:dyDescent="0.25">
      <c r="A790" s="14"/>
      <c r="B790" s="14"/>
      <c r="C790" s="14"/>
      <c r="D790" s="14"/>
      <c r="E790" s="14"/>
      <c r="F790" s="14"/>
      <c r="T790"/>
      <c r="AK790" s="12"/>
      <c r="AL790" s="1"/>
      <c r="AM790" s="1"/>
      <c r="AN790" s="1"/>
      <c r="AO790" s="2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</row>
    <row r="791" spans="1:60" x14ac:dyDescent="0.25">
      <c r="A791" s="14"/>
      <c r="B791" s="14"/>
      <c r="C791" s="14"/>
      <c r="D791" s="14"/>
      <c r="E791" s="14"/>
      <c r="F791" s="14"/>
      <c r="T791"/>
      <c r="AK791" s="12"/>
      <c r="AL791" s="1"/>
      <c r="AM791" s="1"/>
      <c r="AN791" s="1"/>
      <c r="AO791" s="2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</row>
    <row r="792" spans="1:60" x14ac:dyDescent="0.25">
      <c r="A792" s="14"/>
      <c r="B792" s="14"/>
      <c r="C792" s="14"/>
      <c r="D792" s="14"/>
      <c r="E792" s="14"/>
      <c r="F792" s="14"/>
      <c r="T792"/>
      <c r="AK792" s="12"/>
      <c r="AL792" s="1"/>
      <c r="AM792" s="1"/>
      <c r="AN792" s="1"/>
      <c r="AO792" s="2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</row>
    <row r="793" spans="1:60" x14ac:dyDescent="0.25">
      <c r="A793" s="14"/>
      <c r="B793" s="14"/>
      <c r="C793" s="14"/>
      <c r="D793" s="14"/>
      <c r="E793" s="14"/>
      <c r="F793" s="14"/>
      <c r="T793"/>
      <c r="AK793" s="12"/>
      <c r="AL793" s="1"/>
      <c r="AM793" s="1"/>
      <c r="AN793" s="1"/>
      <c r="AO793" s="2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</row>
    <row r="794" spans="1:60" x14ac:dyDescent="0.25">
      <c r="A794" s="14"/>
      <c r="B794" s="14"/>
      <c r="C794" s="14"/>
      <c r="D794" s="14"/>
      <c r="E794" s="14"/>
      <c r="F794" s="14"/>
      <c r="T794"/>
      <c r="AK794" s="12"/>
      <c r="AL794" s="1"/>
      <c r="AM794" s="1"/>
      <c r="AN794" s="1"/>
      <c r="AO794" s="2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</row>
    <row r="795" spans="1:60" x14ac:dyDescent="0.25">
      <c r="A795" s="14"/>
      <c r="B795" s="14"/>
      <c r="C795" s="14"/>
      <c r="D795" s="14"/>
      <c r="E795" s="14"/>
      <c r="F795" s="14"/>
      <c r="T795"/>
      <c r="AK795" s="12"/>
      <c r="AL795" s="1"/>
      <c r="AM795" s="1"/>
      <c r="AN795" s="1"/>
      <c r="AO795" s="2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</row>
    <row r="796" spans="1:60" x14ac:dyDescent="0.25">
      <c r="A796" s="14"/>
      <c r="B796" s="14"/>
      <c r="C796" s="14"/>
      <c r="D796" s="14"/>
      <c r="E796" s="14"/>
      <c r="F796" s="14"/>
      <c r="T796"/>
      <c r="AK796" s="12"/>
      <c r="AL796" s="1"/>
      <c r="AM796" s="1"/>
      <c r="AN796" s="1"/>
      <c r="AO796" s="2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</row>
    <row r="797" spans="1:60" x14ac:dyDescent="0.25">
      <c r="A797" s="14"/>
      <c r="B797" s="14"/>
      <c r="C797" s="14"/>
      <c r="D797" s="14"/>
      <c r="E797" s="14"/>
      <c r="F797" s="14"/>
      <c r="T797"/>
      <c r="AK797" s="12"/>
      <c r="AL797" s="1"/>
      <c r="AM797" s="1"/>
      <c r="AN797" s="1"/>
      <c r="AO797" s="2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</row>
    <row r="798" spans="1:60" x14ac:dyDescent="0.25">
      <c r="A798" s="14"/>
      <c r="B798" s="14"/>
      <c r="C798" s="14"/>
      <c r="D798" s="14"/>
      <c r="E798" s="14"/>
      <c r="F798" s="14"/>
      <c r="T798"/>
      <c r="AK798" s="12"/>
      <c r="AL798" s="1"/>
      <c r="AM798" s="1"/>
      <c r="AN798" s="1"/>
      <c r="AO798" s="2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</row>
    <row r="799" spans="1:60" x14ac:dyDescent="0.25">
      <c r="A799" s="14"/>
      <c r="B799" s="14"/>
      <c r="C799" s="14"/>
      <c r="D799" s="14"/>
      <c r="E799" s="14"/>
      <c r="F799" s="14"/>
      <c r="T799"/>
      <c r="AK799" s="12"/>
      <c r="AL799" s="1"/>
      <c r="AM799" s="1"/>
      <c r="AN799" s="1"/>
      <c r="AO799" s="2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</row>
    <row r="800" spans="1:60" x14ac:dyDescent="0.25">
      <c r="A800" s="14"/>
      <c r="B800" s="14"/>
      <c r="C800" s="14"/>
      <c r="D800" s="14"/>
      <c r="E800" s="14"/>
      <c r="F800" s="14"/>
      <c r="T800"/>
      <c r="AK800" s="12"/>
      <c r="AL800" s="1"/>
      <c r="AM800" s="1"/>
      <c r="AN800" s="1"/>
      <c r="AO800" s="2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</row>
    <row r="801" spans="1:60" x14ac:dyDescent="0.25">
      <c r="A801" s="14"/>
      <c r="B801" s="14"/>
      <c r="C801" s="14"/>
      <c r="D801" s="14"/>
      <c r="E801" s="14"/>
      <c r="F801" s="14"/>
      <c r="T801"/>
      <c r="AK801" s="12"/>
      <c r="AL801" s="1"/>
      <c r="AM801" s="1"/>
      <c r="AN801" s="1"/>
      <c r="AO801" s="2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</row>
    <row r="802" spans="1:60" x14ac:dyDescent="0.25">
      <c r="A802" s="14"/>
      <c r="B802" s="14"/>
      <c r="C802" s="14"/>
      <c r="D802" s="14"/>
      <c r="E802" s="14"/>
      <c r="F802" s="14"/>
      <c r="T802"/>
      <c r="AK802" s="12"/>
      <c r="AL802" s="1"/>
      <c r="AM802" s="1"/>
      <c r="AN802" s="1"/>
      <c r="AO802" s="2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</row>
    <row r="803" spans="1:60" x14ac:dyDescent="0.25">
      <c r="A803" s="14"/>
      <c r="B803" s="14"/>
      <c r="C803" s="14"/>
      <c r="D803" s="14"/>
      <c r="E803" s="14"/>
      <c r="F803" s="14"/>
      <c r="T803"/>
      <c r="AK803" s="12"/>
      <c r="AL803" s="1"/>
      <c r="AM803" s="1"/>
      <c r="AN803" s="1"/>
      <c r="AO803" s="2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</row>
    <row r="804" spans="1:60" x14ac:dyDescent="0.25">
      <c r="A804" s="14"/>
      <c r="B804" s="14"/>
      <c r="C804" s="14"/>
      <c r="D804" s="14"/>
      <c r="E804" s="14"/>
      <c r="F804" s="14"/>
      <c r="T804"/>
      <c r="AK804" s="12"/>
      <c r="AL804" s="1"/>
      <c r="AM804" s="1"/>
      <c r="AN804" s="1"/>
      <c r="AO804" s="2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</row>
    <row r="805" spans="1:60" x14ac:dyDescent="0.25">
      <c r="A805" s="14"/>
      <c r="B805" s="14"/>
      <c r="C805" s="14"/>
      <c r="D805" s="14"/>
      <c r="E805" s="14"/>
      <c r="F805" s="14"/>
      <c r="T805"/>
      <c r="AK805" s="12"/>
      <c r="AL805" s="1"/>
      <c r="AM805" s="1"/>
      <c r="AN805" s="1"/>
      <c r="AO805" s="2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</row>
    <row r="806" spans="1:60" x14ac:dyDescent="0.25">
      <c r="A806" s="14"/>
      <c r="B806" s="14"/>
      <c r="C806" s="14"/>
      <c r="D806" s="14"/>
      <c r="E806" s="14"/>
      <c r="F806" s="14"/>
      <c r="T806"/>
      <c r="AK806" s="12"/>
      <c r="AL806" s="1"/>
      <c r="AM806" s="1"/>
      <c r="AN806" s="1"/>
      <c r="AO806" s="2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</row>
    <row r="807" spans="1:60" x14ac:dyDescent="0.25">
      <c r="A807" s="14"/>
      <c r="B807" s="14"/>
      <c r="C807" s="14"/>
      <c r="D807" s="14"/>
      <c r="E807" s="14"/>
      <c r="F807" s="14"/>
      <c r="T807"/>
      <c r="AK807" s="12"/>
      <c r="AL807" s="1"/>
      <c r="AM807" s="1"/>
      <c r="AN807" s="1"/>
      <c r="AO807" s="2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</row>
    <row r="808" spans="1:60" x14ac:dyDescent="0.25">
      <c r="A808" s="14"/>
      <c r="B808" s="14"/>
      <c r="C808" s="14"/>
      <c r="D808" s="14"/>
      <c r="E808" s="14"/>
      <c r="F808" s="14"/>
      <c r="T808"/>
      <c r="AK808" s="12"/>
      <c r="AL808" s="1"/>
      <c r="AM808" s="1"/>
      <c r="AN808" s="1"/>
      <c r="AO808" s="2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</row>
    <row r="809" spans="1:60" x14ac:dyDescent="0.25">
      <c r="A809" s="14"/>
      <c r="B809" s="14"/>
      <c r="C809" s="14"/>
      <c r="D809" s="14"/>
      <c r="E809" s="14"/>
      <c r="F809" s="14"/>
      <c r="T809"/>
      <c r="AK809" s="12"/>
      <c r="AL809" s="1"/>
      <c r="AM809" s="1"/>
      <c r="AN809" s="1"/>
      <c r="AO809" s="2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</row>
    <row r="810" spans="1:60" x14ac:dyDescent="0.25">
      <c r="A810" s="14"/>
      <c r="B810" s="14"/>
      <c r="C810" s="14"/>
      <c r="D810" s="14"/>
      <c r="E810" s="14"/>
      <c r="F810" s="14"/>
      <c r="T810"/>
      <c r="AK810" s="12"/>
      <c r="AL810" s="1"/>
      <c r="AM810" s="1"/>
      <c r="AN810" s="1"/>
      <c r="AO810" s="2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</row>
    <row r="811" spans="1:60" x14ac:dyDescent="0.25">
      <c r="A811" s="14"/>
      <c r="B811" s="14"/>
      <c r="C811" s="14"/>
      <c r="D811" s="14"/>
      <c r="E811" s="14"/>
      <c r="F811" s="14"/>
      <c r="T811"/>
      <c r="AK811" s="12"/>
      <c r="AL811" s="1"/>
      <c r="AM811" s="1"/>
      <c r="AN811" s="1"/>
      <c r="AO811" s="2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</row>
    <row r="812" spans="1:60" x14ac:dyDescent="0.25">
      <c r="A812" s="14"/>
      <c r="B812" s="14"/>
      <c r="C812" s="14"/>
      <c r="D812" s="14"/>
      <c r="E812" s="14"/>
      <c r="F812" s="14"/>
      <c r="T812"/>
      <c r="AK812" s="12"/>
      <c r="AL812" s="1"/>
      <c r="AM812" s="1"/>
      <c r="AN812" s="1"/>
      <c r="AO812" s="2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</row>
    <row r="813" spans="1:60" x14ac:dyDescent="0.25">
      <c r="A813" s="14"/>
      <c r="B813" s="14"/>
      <c r="C813" s="14"/>
      <c r="D813" s="14"/>
      <c r="E813" s="14"/>
      <c r="F813" s="14"/>
      <c r="T813"/>
      <c r="AK813" s="12"/>
      <c r="AL813" s="1"/>
      <c r="AM813" s="1"/>
      <c r="AN813" s="1"/>
      <c r="AO813" s="2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</row>
    <row r="814" spans="1:60" x14ac:dyDescent="0.25">
      <c r="A814" s="14"/>
      <c r="B814" s="14"/>
      <c r="C814" s="14"/>
      <c r="D814" s="14"/>
      <c r="E814" s="14"/>
      <c r="F814" s="14"/>
      <c r="T814"/>
      <c r="AK814" s="12"/>
      <c r="AL814" s="1"/>
      <c r="AM814" s="1"/>
      <c r="AN814" s="1"/>
      <c r="AO814" s="2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</row>
    <row r="815" spans="1:60" x14ac:dyDescent="0.25">
      <c r="A815" s="14"/>
      <c r="B815" s="14"/>
      <c r="C815" s="14"/>
      <c r="D815" s="14"/>
      <c r="E815" s="14"/>
      <c r="F815" s="14"/>
      <c r="T815"/>
      <c r="AK815" s="12"/>
      <c r="AL815" s="1"/>
      <c r="AM815" s="1"/>
      <c r="AN815" s="1"/>
      <c r="AO815" s="2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</row>
    <row r="816" spans="1:60" x14ac:dyDescent="0.25">
      <c r="A816" s="14"/>
      <c r="B816" s="14"/>
      <c r="C816" s="14"/>
      <c r="D816" s="14"/>
      <c r="E816" s="14"/>
      <c r="F816" s="14"/>
      <c r="T816"/>
      <c r="AK816" s="12"/>
      <c r="AL816" s="1"/>
      <c r="AM816" s="1"/>
      <c r="AN816" s="1"/>
      <c r="AO816" s="2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</row>
    <row r="817" spans="1:60" x14ac:dyDescent="0.25">
      <c r="A817" s="14"/>
      <c r="B817" s="14"/>
      <c r="C817" s="14"/>
      <c r="D817" s="14"/>
      <c r="E817" s="14"/>
      <c r="F817" s="14"/>
      <c r="T817"/>
      <c r="AK817" s="12"/>
      <c r="AL817" s="1"/>
      <c r="AM817" s="1"/>
      <c r="AN817" s="1"/>
      <c r="AO817" s="2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</row>
    <row r="818" spans="1:60" x14ac:dyDescent="0.25">
      <c r="A818" s="14"/>
      <c r="B818" s="14"/>
      <c r="C818" s="14"/>
      <c r="D818" s="14"/>
      <c r="E818" s="14"/>
      <c r="F818" s="14"/>
      <c r="T818"/>
      <c r="AK818" s="12"/>
      <c r="AL818" s="1"/>
      <c r="AM818" s="1"/>
      <c r="AN818" s="1"/>
      <c r="AO818" s="2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</row>
    <row r="819" spans="1:60" x14ac:dyDescent="0.25">
      <c r="A819" s="14"/>
      <c r="B819" s="14"/>
      <c r="C819" s="14"/>
      <c r="D819" s="14"/>
      <c r="E819" s="14"/>
      <c r="F819" s="14"/>
      <c r="T819"/>
      <c r="AK819" s="12"/>
      <c r="AL819" s="1"/>
      <c r="AM819" s="1"/>
      <c r="AN819" s="1"/>
      <c r="AO819" s="2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</row>
    <row r="820" spans="1:60" x14ac:dyDescent="0.25">
      <c r="A820" s="14"/>
      <c r="B820" s="14"/>
      <c r="C820" s="14"/>
      <c r="D820" s="14"/>
      <c r="E820" s="14"/>
      <c r="F820" s="14"/>
      <c r="T820"/>
      <c r="AK820" s="12"/>
      <c r="AL820" s="1"/>
      <c r="AM820" s="1"/>
      <c r="AN820" s="1"/>
      <c r="AO820" s="2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</row>
    <row r="821" spans="1:60" x14ac:dyDescent="0.25">
      <c r="A821" s="14"/>
      <c r="B821" s="14"/>
      <c r="C821" s="14"/>
      <c r="D821" s="14"/>
      <c r="E821" s="14"/>
      <c r="F821" s="14"/>
      <c r="T821"/>
      <c r="AK821" s="12"/>
      <c r="AL821" s="1"/>
      <c r="AM821" s="1"/>
      <c r="AN821" s="1"/>
      <c r="AO821" s="2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</row>
    <row r="822" spans="1:60" x14ac:dyDescent="0.25">
      <c r="A822" s="14"/>
      <c r="B822" s="14"/>
      <c r="C822" s="14"/>
      <c r="D822" s="14"/>
      <c r="E822" s="14"/>
      <c r="F822" s="14"/>
      <c r="T822"/>
      <c r="AK822" s="12"/>
      <c r="AL822" s="1"/>
      <c r="AM822" s="1"/>
      <c r="AN822" s="1"/>
      <c r="AO822" s="2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</row>
    <row r="823" spans="1:60" x14ac:dyDescent="0.25">
      <c r="A823" s="14"/>
      <c r="B823" s="14"/>
      <c r="C823" s="14"/>
      <c r="D823" s="14"/>
      <c r="E823" s="14"/>
      <c r="F823" s="14"/>
      <c r="T823"/>
      <c r="AK823" s="12"/>
      <c r="AL823" s="1"/>
      <c r="AM823" s="1"/>
      <c r="AN823" s="1"/>
      <c r="AO823" s="2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</row>
    <row r="824" spans="1:60" x14ac:dyDescent="0.25">
      <c r="A824" s="14"/>
      <c r="B824" s="14"/>
      <c r="C824" s="14"/>
      <c r="D824" s="14"/>
      <c r="E824" s="14"/>
      <c r="F824" s="14"/>
      <c r="T824"/>
      <c r="AK824" s="12"/>
      <c r="AL824" s="1"/>
      <c r="AM824" s="1"/>
      <c r="AN824" s="1"/>
      <c r="AO824" s="2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</row>
    <row r="825" spans="1:60" x14ac:dyDescent="0.25">
      <c r="A825" s="14"/>
      <c r="B825" s="14"/>
      <c r="C825" s="14"/>
      <c r="D825" s="14"/>
      <c r="E825" s="14"/>
      <c r="F825" s="14"/>
      <c r="T825"/>
      <c r="AK825" s="12"/>
      <c r="AL825" s="1"/>
      <c r="AM825" s="1"/>
      <c r="AN825" s="1"/>
      <c r="AO825" s="2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</row>
    <row r="826" spans="1:60" x14ac:dyDescent="0.25">
      <c r="A826" s="14"/>
      <c r="B826" s="14"/>
      <c r="C826" s="14"/>
      <c r="D826" s="14"/>
      <c r="E826" s="14"/>
      <c r="F826" s="14"/>
      <c r="T826"/>
      <c r="AK826" s="12"/>
      <c r="AL826" s="1"/>
      <c r="AM826" s="1"/>
      <c r="AN826" s="1"/>
      <c r="AO826" s="2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</row>
    <row r="827" spans="1:60" x14ac:dyDescent="0.25">
      <c r="A827" s="14"/>
      <c r="B827" s="14"/>
      <c r="C827" s="14"/>
      <c r="D827" s="14"/>
      <c r="E827" s="14"/>
      <c r="F827" s="14"/>
      <c r="T827"/>
      <c r="AK827" s="12"/>
      <c r="AL827" s="1"/>
      <c r="AM827" s="1"/>
      <c r="AN827" s="1"/>
      <c r="AO827" s="2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</row>
    <row r="828" spans="1:60" x14ac:dyDescent="0.25">
      <c r="A828" s="14"/>
      <c r="B828" s="14"/>
      <c r="C828" s="14"/>
      <c r="D828" s="14"/>
      <c r="E828" s="14"/>
      <c r="F828" s="14"/>
      <c r="T828"/>
      <c r="AK828" s="12"/>
      <c r="AL828" s="1"/>
      <c r="AM828" s="1"/>
      <c r="AN828" s="1"/>
      <c r="AO828" s="2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</row>
    <row r="829" spans="1:60" x14ac:dyDescent="0.25">
      <c r="A829" s="14"/>
      <c r="B829" s="14"/>
      <c r="C829" s="14"/>
      <c r="D829" s="14"/>
      <c r="E829" s="14"/>
      <c r="F829" s="14"/>
      <c r="T829"/>
      <c r="AK829" s="12"/>
      <c r="AL829" s="1"/>
      <c r="AM829" s="1"/>
      <c r="AN829" s="1"/>
      <c r="AO829" s="2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</row>
    <row r="830" spans="1:60" x14ac:dyDescent="0.25">
      <c r="A830" s="14"/>
      <c r="B830" s="14"/>
      <c r="C830" s="14"/>
      <c r="D830" s="14"/>
      <c r="E830" s="14"/>
      <c r="F830" s="14"/>
      <c r="T830"/>
      <c r="AK830" s="12"/>
      <c r="AL830" s="1"/>
      <c r="AM830" s="1"/>
      <c r="AN830" s="1"/>
      <c r="AO830" s="2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</row>
    <row r="831" spans="1:60" x14ac:dyDescent="0.25">
      <c r="A831" s="14"/>
      <c r="B831" s="14"/>
      <c r="C831" s="14"/>
      <c r="D831" s="14"/>
      <c r="E831" s="14"/>
      <c r="F831" s="14"/>
      <c r="T831"/>
      <c r="AK831" s="12"/>
      <c r="AL831" s="1"/>
      <c r="AM831" s="1"/>
      <c r="AN831" s="1"/>
      <c r="AO831" s="2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</row>
    <row r="832" spans="1:60" x14ac:dyDescent="0.25">
      <c r="A832" s="14"/>
      <c r="B832" s="14"/>
      <c r="C832" s="14"/>
      <c r="D832" s="14"/>
      <c r="E832" s="14"/>
      <c r="F832" s="14"/>
      <c r="T832"/>
      <c r="AK832" s="12"/>
      <c r="AL832" s="1"/>
      <c r="AM832" s="1"/>
      <c r="AN832" s="1"/>
      <c r="AO832" s="2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</row>
    <row r="833" spans="1:60" x14ac:dyDescent="0.25">
      <c r="A833" s="14"/>
      <c r="B833" s="14"/>
      <c r="C833" s="14"/>
      <c r="D833" s="14"/>
      <c r="E833" s="14"/>
      <c r="F833" s="14"/>
      <c r="T833"/>
      <c r="AK833" s="12"/>
      <c r="AL833" s="1"/>
      <c r="AM833" s="1"/>
      <c r="AN833" s="1"/>
      <c r="AO833" s="2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</row>
    <row r="834" spans="1:60" x14ac:dyDescent="0.25">
      <c r="A834" s="14"/>
      <c r="B834" s="14"/>
      <c r="C834" s="14"/>
      <c r="D834" s="14"/>
      <c r="E834" s="14"/>
      <c r="F834" s="14"/>
      <c r="T834"/>
      <c r="AK834" s="12"/>
      <c r="AL834" s="1"/>
      <c r="AM834" s="1"/>
      <c r="AN834" s="1"/>
      <c r="AO834" s="2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</row>
    <row r="835" spans="1:60" x14ac:dyDescent="0.25">
      <c r="A835" s="14"/>
      <c r="B835" s="14"/>
      <c r="C835" s="14"/>
      <c r="D835" s="14"/>
      <c r="E835" s="14"/>
      <c r="F835" s="14"/>
      <c r="T835"/>
      <c r="AK835" s="12"/>
      <c r="AL835" s="1"/>
      <c r="AM835" s="1"/>
      <c r="AN835" s="1"/>
      <c r="AO835" s="2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</row>
    <row r="836" spans="1:60" x14ac:dyDescent="0.25">
      <c r="A836" s="14"/>
      <c r="B836" s="14"/>
      <c r="C836" s="14"/>
      <c r="D836" s="14"/>
      <c r="E836" s="14"/>
      <c r="F836" s="14"/>
      <c r="T836"/>
      <c r="AK836" s="12"/>
      <c r="AL836" s="1"/>
      <c r="AM836" s="1"/>
      <c r="AN836" s="1"/>
      <c r="AO836" s="2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</row>
    <row r="837" spans="1:60" x14ac:dyDescent="0.25">
      <c r="A837" s="14"/>
      <c r="B837" s="14"/>
      <c r="C837" s="14"/>
      <c r="D837" s="14"/>
      <c r="E837" s="14"/>
      <c r="F837" s="14"/>
      <c r="T837"/>
      <c r="AK837" s="12"/>
      <c r="AL837" s="1"/>
      <c r="AM837" s="1"/>
      <c r="AN837" s="1"/>
      <c r="AO837" s="2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</row>
    <row r="838" spans="1:60" x14ac:dyDescent="0.25">
      <c r="A838" s="14"/>
      <c r="B838" s="14"/>
      <c r="C838" s="14"/>
      <c r="D838" s="14"/>
      <c r="E838" s="14"/>
      <c r="F838" s="14"/>
      <c r="T838"/>
      <c r="AK838" s="12"/>
      <c r="AL838" s="1"/>
      <c r="AM838" s="1"/>
      <c r="AN838" s="1"/>
      <c r="AO838" s="2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</row>
    <row r="839" spans="1:60" x14ac:dyDescent="0.25">
      <c r="A839" s="14"/>
      <c r="B839" s="14"/>
      <c r="C839" s="14"/>
      <c r="D839" s="14"/>
      <c r="E839" s="14"/>
      <c r="F839" s="14"/>
      <c r="T839"/>
      <c r="AK839" s="12"/>
      <c r="AL839" s="1"/>
      <c r="AM839" s="1"/>
      <c r="AN839" s="1"/>
      <c r="AO839" s="2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</row>
    <row r="840" spans="1:60" x14ac:dyDescent="0.25">
      <c r="A840" s="14"/>
      <c r="B840" s="14"/>
      <c r="C840" s="14"/>
      <c r="D840" s="14"/>
      <c r="E840" s="14"/>
      <c r="F840" s="14"/>
      <c r="T840"/>
      <c r="AK840" s="12"/>
      <c r="AL840" s="1"/>
      <c r="AM840" s="1"/>
      <c r="AN840" s="1"/>
      <c r="AO840" s="2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</row>
    <row r="841" spans="1:60" x14ac:dyDescent="0.25">
      <c r="A841" s="14"/>
      <c r="B841" s="14"/>
      <c r="C841" s="14"/>
      <c r="D841" s="14"/>
      <c r="E841" s="14"/>
      <c r="F841" s="14"/>
      <c r="T841"/>
      <c r="AK841" s="12"/>
      <c r="AL841" s="1"/>
      <c r="AM841" s="1"/>
      <c r="AN841" s="1"/>
      <c r="AO841" s="2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</row>
    <row r="842" spans="1:60" x14ac:dyDescent="0.25">
      <c r="A842" s="14"/>
      <c r="B842" s="14"/>
      <c r="C842" s="14"/>
      <c r="D842" s="14"/>
      <c r="E842" s="14"/>
      <c r="F842" s="14"/>
      <c r="T842"/>
      <c r="AK842" s="12"/>
      <c r="AL842" s="1"/>
      <c r="AM842" s="1"/>
      <c r="AN842" s="1"/>
      <c r="AO842" s="2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</row>
    <row r="843" spans="1:60" x14ac:dyDescent="0.25">
      <c r="A843" s="14"/>
      <c r="B843" s="14"/>
      <c r="C843" s="14"/>
      <c r="D843" s="14"/>
      <c r="E843" s="14"/>
      <c r="F843" s="14"/>
      <c r="T843"/>
      <c r="AK843" s="12"/>
      <c r="AL843" s="1"/>
      <c r="AM843" s="1"/>
      <c r="AN843" s="1"/>
      <c r="AO843" s="2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</row>
    <row r="844" spans="1:60" x14ac:dyDescent="0.25">
      <c r="A844" s="14"/>
      <c r="B844" s="14"/>
      <c r="C844" s="14"/>
      <c r="D844" s="14"/>
      <c r="E844" s="14"/>
      <c r="F844" s="14"/>
      <c r="T844"/>
      <c r="AK844" s="12"/>
      <c r="AL844" s="1"/>
      <c r="AM844" s="1"/>
      <c r="AN844" s="1"/>
      <c r="AO844" s="2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</row>
    <row r="845" spans="1:60" x14ac:dyDescent="0.25">
      <c r="A845" s="14"/>
      <c r="B845" s="14"/>
      <c r="C845" s="14"/>
      <c r="D845" s="14"/>
      <c r="E845" s="14"/>
      <c r="F845" s="14"/>
      <c r="T845"/>
      <c r="AK845" s="12"/>
      <c r="AL845" s="1"/>
      <c r="AM845" s="1"/>
      <c r="AN845" s="1"/>
      <c r="AO845" s="2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</row>
    <row r="846" spans="1:60" x14ac:dyDescent="0.25">
      <c r="A846" s="14"/>
      <c r="B846" s="14"/>
      <c r="C846" s="14"/>
      <c r="D846" s="14"/>
      <c r="E846" s="14"/>
      <c r="F846" s="14"/>
      <c r="T846"/>
      <c r="AK846" s="12"/>
      <c r="AL846" s="1"/>
      <c r="AM846" s="1"/>
      <c r="AN846" s="1"/>
      <c r="AO846" s="2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</row>
    <row r="847" spans="1:60" x14ac:dyDescent="0.25">
      <c r="A847" s="14"/>
      <c r="B847" s="14"/>
      <c r="C847" s="14"/>
      <c r="D847" s="14"/>
      <c r="E847" s="14"/>
      <c r="F847" s="14"/>
      <c r="T847"/>
      <c r="AK847" s="12"/>
      <c r="AL847" s="1"/>
      <c r="AM847" s="1"/>
      <c r="AN847" s="1"/>
      <c r="AO847" s="2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</row>
    <row r="848" spans="1:60" x14ac:dyDescent="0.25">
      <c r="A848" s="14"/>
      <c r="B848" s="14"/>
      <c r="C848" s="14"/>
      <c r="D848" s="14"/>
      <c r="E848" s="14"/>
      <c r="F848" s="14"/>
      <c r="T848"/>
      <c r="AK848" s="12"/>
      <c r="AL848" s="1"/>
      <c r="AM848" s="1"/>
      <c r="AN848" s="1"/>
      <c r="AO848" s="2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</row>
    <row r="849" spans="1:60" x14ac:dyDescent="0.25">
      <c r="A849" s="14"/>
      <c r="B849" s="14"/>
      <c r="C849" s="14"/>
      <c r="D849" s="14"/>
      <c r="E849" s="14"/>
      <c r="F849" s="14"/>
      <c r="T849"/>
      <c r="AK849" s="12"/>
      <c r="AL849" s="1"/>
      <c r="AM849" s="1"/>
      <c r="AN849" s="1"/>
      <c r="AO849" s="2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</row>
    <row r="850" spans="1:60" x14ac:dyDescent="0.25">
      <c r="A850" s="14"/>
      <c r="B850" s="14"/>
      <c r="C850" s="14"/>
      <c r="D850" s="14"/>
      <c r="E850" s="14"/>
      <c r="F850" s="14"/>
      <c r="T850"/>
      <c r="AK850" s="12"/>
      <c r="AL850" s="1"/>
      <c r="AM850" s="1"/>
      <c r="AN850" s="1"/>
      <c r="AO850" s="2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</row>
    <row r="851" spans="1:60" x14ac:dyDescent="0.25">
      <c r="A851" s="14"/>
      <c r="B851" s="14"/>
      <c r="C851" s="14"/>
      <c r="D851" s="14"/>
      <c r="E851" s="14"/>
      <c r="F851" s="14"/>
      <c r="T851"/>
      <c r="AK851" s="12"/>
      <c r="AL851" s="1"/>
      <c r="AM851" s="1"/>
      <c r="AN851" s="1"/>
      <c r="AO851" s="2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</row>
    <row r="852" spans="1:60" x14ac:dyDescent="0.25">
      <c r="A852" s="14"/>
      <c r="B852" s="14"/>
      <c r="C852" s="14"/>
      <c r="D852" s="14"/>
      <c r="E852" s="14"/>
      <c r="F852" s="14"/>
      <c r="T852"/>
      <c r="AK852" s="12"/>
      <c r="AL852" s="1"/>
      <c r="AM852" s="1"/>
      <c r="AN852" s="1"/>
      <c r="AO852" s="2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</row>
    <row r="853" spans="1:60" x14ac:dyDescent="0.25">
      <c r="A853" s="14"/>
      <c r="B853" s="14"/>
      <c r="C853" s="14"/>
      <c r="D853" s="14"/>
      <c r="E853" s="14"/>
      <c r="F853" s="14"/>
      <c r="T853"/>
      <c r="AK853" s="12"/>
      <c r="AL853" s="1"/>
      <c r="AM853" s="1"/>
      <c r="AN853" s="1"/>
      <c r="AO853" s="2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</row>
    <row r="854" spans="1:60" x14ac:dyDescent="0.25">
      <c r="A854" s="14"/>
      <c r="B854" s="14"/>
      <c r="C854" s="14"/>
      <c r="D854" s="14"/>
      <c r="E854" s="14"/>
      <c r="F854" s="14"/>
      <c r="T854"/>
      <c r="AK854" s="12"/>
      <c r="AL854" s="1"/>
      <c r="AM854" s="1"/>
      <c r="AN854" s="1"/>
      <c r="AO854" s="2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</row>
    <row r="855" spans="1:60" x14ac:dyDescent="0.25">
      <c r="A855" s="14"/>
      <c r="B855" s="14"/>
      <c r="C855" s="14"/>
      <c r="D855" s="14"/>
      <c r="E855" s="14"/>
      <c r="F855" s="14"/>
      <c r="T855"/>
      <c r="AK855" s="12"/>
      <c r="AL855" s="1"/>
      <c r="AM855" s="1"/>
      <c r="AN855" s="1"/>
      <c r="AO855" s="2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</row>
    <row r="856" spans="1:60" x14ac:dyDescent="0.25">
      <c r="A856" s="14"/>
      <c r="B856" s="14"/>
      <c r="C856" s="14"/>
      <c r="D856" s="14"/>
      <c r="E856" s="14"/>
      <c r="F856" s="14"/>
      <c r="T856"/>
      <c r="AK856" s="12"/>
      <c r="AL856" s="1"/>
      <c r="AM856" s="1"/>
      <c r="AN856" s="1"/>
      <c r="AO856" s="2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</row>
    <row r="857" spans="1:60" x14ac:dyDescent="0.25">
      <c r="A857" s="14"/>
      <c r="B857" s="14"/>
      <c r="C857" s="14"/>
      <c r="D857" s="14"/>
      <c r="E857" s="14"/>
      <c r="F857" s="14"/>
      <c r="T857"/>
      <c r="AK857" s="12"/>
      <c r="AL857" s="1"/>
      <c r="AM857" s="1"/>
      <c r="AN857" s="1"/>
      <c r="AO857" s="2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</row>
    <row r="858" spans="1:60" x14ac:dyDescent="0.25">
      <c r="A858" s="14"/>
      <c r="B858" s="14"/>
      <c r="C858" s="14"/>
      <c r="D858" s="14"/>
      <c r="E858" s="14"/>
      <c r="F858" s="14"/>
      <c r="T858"/>
      <c r="AK858" s="12"/>
      <c r="AL858" s="1"/>
      <c r="AM858" s="1"/>
      <c r="AN858" s="1"/>
      <c r="AO858" s="2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</row>
    <row r="859" spans="1:60" x14ac:dyDescent="0.25">
      <c r="A859" s="14"/>
      <c r="B859" s="14"/>
      <c r="C859" s="14"/>
      <c r="D859" s="14"/>
      <c r="E859" s="14"/>
      <c r="F859" s="14"/>
      <c r="T859"/>
      <c r="AK859" s="12"/>
      <c r="AL859" s="1"/>
      <c r="AM859" s="1"/>
      <c r="AN859" s="1"/>
      <c r="AO859" s="2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</row>
    <row r="860" spans="1:60" x14ac:dyDescent="0.25">
      <c r="A860" s="14"/>
      <c r="B860" s="14"/>
      <c r="C860" s="14"/>
      <c r="D860" s="14"/>
      <c r="E860" s="14"/>
      <c r="F860" s="14"/>
      <c r="T860"/>
      <c r="AK860" s="12"/>
      <c r="AL860" s="1"/>
      <c r="AM860" s="1"/>
      <c r="AN860" s="1"/>
      <c r="AO860" s="2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</row>
    <row r="861" spans="1:60" x14ac:dyDescent="0.25">
      <c r="A861" s="14"/>
      <c r="B861" s="14"/>
      <c r="C861" s="14"/>
      <c r="D861" s="14"/>
      <c r="E861" s="14"/>
      <c r="F861" s="14"/>
      <c r="T861"/>
      <c r="AK861" s="12"/>
      <c r="AL861" s="1"/>
      <c r="AM861" s="1"/>
      <c r="AN861" s="1"/>
      <c r="AO861" s="2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</row>
    <row r="862" spans="1:60" x14ac:dyDescent="0.25">
      <c r="A862" s="14"/>
      <c r="B862" s="14"/>
      <c r="C862" s="14"/>
      <c r="D862" s="14"/>
      <c r="E862" s="14"/>
      <c r="F862" s="14"/>
      <c r="T862"/>
      <c r="AK862" s="12"/>
      <c r="AL862" s="1"/>
      <c r="AM862" s="1"/>
      <c r="AN862" s="1"/>
      <c r="AO862" s="2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</row>
    <row r="863" spans="1:60" x14ac:dyDescent="0.25">
      <c r="A863" s="14"/>
      <c r="B863" s="14"/>
      <c r="C863" s="14"/>
      <c r="D863" s="14"/>
      <c r="E863" s="14"/>
      <c r="F863" s="14"/>
      <c r="T863"/>
      <c r="AK863" s="12"/>
      <c r="AL863" s="1"/>
      <c r="AM863" s="1"/>
      <c r="AN863" s="1"/>
      <c r="AO863" s="2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</row>
    <row r="864" spans="1:60" x14ac:dyDescent="0.25">
      <c r="A864" s="14"/>
      <c r="B864" s="14"/>
      <c r="C864" s="14"/>
      <c r="D864" s="14"/>
      <c r="E864" s="14"/>
      <c r="F864" s="14"/>
      <c r="T864"/>
      <c r="AK864" s="12"/>
      <c r="AL864" s="1"/>
      <c r="AM864" s="1"/>
      <c r="AN864" s="1"/>
      <c r="AO864" s="2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</row>
    <row r="865" spans="1:60" x14ac:dyDescent="0.25">
      <c r="A865" s="14"/>
      <c r="B865" s="14"/>
      <c r="C865" s="14"/>
      <c r="D865" s="14"/>
      <c r="E865" s="14"/>
      <c r="F865" s="14"/>
      <c r="T865"/>
      <c r="AK865" s="12"/>
      <c r="AL865" s="1"/>
      <c r="AM865" s="1"/>
      <c r="AN865" s="1"/>
      <c r="AO865" s="2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</row>
    <row r="866" spans="1:60" x14ac:dyDescent="0.25">
      <c r="A866" s="14"/>
      <c r="B866" s="14"/>
      <c r="C866" s="14"/>
      <c r="D866" s="14"/>
      <c r="E866" s="14"/>
      <c r="F866" s="14"/>
      <c r="T866"/>
      <c r="AK866" s="12"/>
      <c r="AL866" s="1"/>
      <c r="AM866" s="1"/>
      <c r="AN866" s="1"/>
      <c r="AO866" s="2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</row>
    <row r="867" spans="1:60" x14ac:dyDescent="0.25">
      <c r="A867" s="14"/>
      <c r="B867" s="14"/>
      <c r="C867" s="14"/>
      <c r="D867" s="14"/>
      <c r="E867" s="14"/>
      <c r="F867" s="14"/>
      <c r="T867"/>
      <c r="AK867" s="12"/>
      <c r="AL867" s="1"/>
      <c r="AM867" s="1"/>
      <c r="AN867" s="1"/>
      <c r="AO867" s="2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</row>
    <row r="868" spans="1:60" x14ac:dyDescent="0.25">
      <c r="A868" s="14"/>
      <c r="B868" s="14"/>
      <c r="C868" s="14"/>
      <c r="D868" s="14"/>
      <c r="E868" s="14"/>
      <c r="F868" s="14"/>
      <c r="T868"/>
      <c r="AK868" s="12"/>
      <c r="AL868" s="1"/>
      <c r="AM868" s="1"/>
      <c r="AN868" s="1"/>
      <c r="AO868" s="2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</row>
    <row r="869" spans="1:60" x14ac:dyDescent="0.25">
      <c r="A869" s="14"/>
      <c r="B869" s="14"/>
      <c r="C869" s="14"/>
      <c r="D869" s="14"/>
      <c r="E869" s="14"/>
      <c r="F869" s="14"/>
      <c r="T869"/>
      <c r="AK869" s="12"/>
      <c r="AL869" s="1"/>
      <c r="AM869" s="1"/>
      <c r="AN869" s="1"/>
      <c r="AO869" s="2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</row>
    <row r="870" spans="1:60" x14ac:dyDescent="0.25">
      <c r="A870" s="14"/>
      <c r="B870" s="14"/>
      <c r="C870" s="14"/>
      <c r="D870" s="14"/>
      <c r="E870" s="14"/>
      <c r="F870" s="14"/>
      <c r="T870"/>
      <c r="AK870" s="12"/>
      <c r="AL870" s="1"/>
      <c r="AM870" s="1"/>
      <c r="AN870" s="1"/>
      <c r="AO870" s="2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</row>
    <row r="871" spans="1:60" x14ac:dyDescent="0.25">
      <c r="A871" s="14"/>
      <c r="B871" s="14"/>
      <c r="C871" s="14"/>
      <c r="D871" s="14"/>
      <c r="E871" s="14"/>
      <c r="F871" s="14"/>
      <c r="T871"/>
      <c r="AK871" s="12"/>
      <c r="AL871" s="1"/>
      <c r="AM871" s="1"/>
      <c r="AN871" s="1"/>
      <c r="AO871" s="2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</row>
    <row r="872" spans="1:60" x14ac:dyDescent="0.25">
      <c r="A872" s="14"/>
      <c r="B872" s="14"/>
      <c r="C872" s="14"/>
      <c r="D872" s="14"/>
      <c r="E872" s="14"/>
      <c r="F872" s="14"/>
      <c r="T872"/>
      <c r="AK872" s="12"/>
      <c r="AL872" s="1"/>
      <c r="AM872" s="1"/>
      <c r="AN872" s="1"/>
      <c r="AO872" s="2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</row>
    <row r="873" spans="1:60" x14ac:dyDescent="0.25">
      <c r="A873" s="14"/>
      <c r="B873" s="14"/>
      <c r="C873" s="14"/>
      <c r="D873" s="14"/>
      <c r="E873" s="14"/>
      <c r="F873" s="14"/>
      <c r="T873"/>
      <c r="AK873" s="12"/>
      <c r="AL873" s="1"/>
      <c r="AM873" s="1"/>
      <c r="AN873" s="1"/>
      <c r="AO873" s="2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</row>
    <row r="874" spans="1:60" x14ac:dyDescent="0.25">
      <c r="A874" s="14"/>
      <c r="B874" s="14"/>
      <c r="C874" s="14"/>
      <c r="D874" s="14"/>
      <c r="E874" s="14"/>
      <c r="F874" s="14"/>
      <c r="T874"/>
      <c r="AK874" s="12"/>
      <c r="AL874" s="1"/>
      <c r="AM874" s="1"/>
      <c r="AN874" s="1"/>
      <c r="AO874" s="2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</row>
    <row r="875" spans="1:60" x14ac:dyDescent="0.25">
      <c r="A875" s="14"/>
      <c r="B875" s="14"/>
      <c r="C875" s="14"/>
      <c r="D875" s="14"/>
      <c r="E875" s="14"/>
      <c r="F875" s="14"/>
      <c r="T875"/>
      <c r="AK875" s="12"/>
      <c r="AL875" s="1"/>
      <c r="AM875" s="1"/>
      <c r="AN875" s="1"/>
      <c r="AO875" s="2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</row>
    <row r="876" spans="1:60" x14ac:dyDescent="0.25">
      <c r="A876" s="14"/>
      <c r="B876" s="14"/>
      <c r="C876" s="14"/>
      <c r="D876" s="14"/>
      <c r="E876" s="14"/>
      <c r="F876" s="14"/>
      <c r="T876"/>
      <c r="AK876" s="12"/>
      <c r="AL876" s="1"/>
      <c r="AM876" s="1"/>
      <c r="AN876" s="1"/>
      <c r="AO876" s="2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</row>
    <row r="877" spans="1:60" x14ac:dyDescent="0.25">
      <c r="A877" s="14"/>
      <c r="B877" s="14"/>
      <c r="C877" s="14"/>
      <c r="D877" s="14"/>
      <c r="E877" s="14"/>
      <c r="F877" s="14"/>
      <c r="T877"/>
      <c r="AK877" s="12"/>
      <c r="AL877" s="1"/>
      <c r="AM877" s="1"/>
      <c r="AN877" s="1"/>
      <c r="AO877" s="2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</row>
    <row r="878" spans="1:60" x14ac:dyDescent="0.25">
      <c r="A878" s="14"/>
      <c r="B878" s="14"/>
      <c r="C878" s="14"/>
      <c r="D878" s="14"/>
      <c r="E878" s="14"/>
      <c r="F878" s="14"/>
      <c r="T878"/>
      <c r="AK878" s="12"/>
      <c r="AL878" s="1"/>
      <c r="AM878" s="1"/>
      <c r="AN878" s="1"/>
      <c r="AO878" s="2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</row>
    <row r="879" spans="1:60" x14ac:dyDescent="0.25">
      <c r="A879" s="14"/>
      <c r="B879" s="14"/>
      <c r="C879" s="14"/>
      <c r="D879" s="14"/>
      <c r="E879" s="14"/>
      <c r="F879" s="14"/>
      <c r="T879"/>
      <c r="AK879" s="12"/>
      <c r="AL879" s="1"/>
      <c r="AM879" s="1"/>
      <c r="AN879" s="1"/>
      <c r="AO879" s="2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</row>
    <row r="880" spans="1:60" x14ac:dyDescent="0.25">
      <c r="A880" s="14"/>
      <c r="B880" s="14"/>
      <c r="C880" s="14"/>
      <c r="D880" s="14"/>
      <c r="E880" s="14"/>
      <c r="F880" s="14"/>
      <c r="T880"/>
      <c r="AK880" s="12"/>
      <c r="AL880" s="1"/>
      <c r="AM880" s="1"/>
      <c r="AN880" s="1"/>
      <c r="AO880" s="2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</row>
    <row r="881" spans="1:60" x14ac:dyDescent="0.25">
      <c r="A881" s="14"/>
      <c r="B881" s="14"/>
      <c r="C881" s="14"/>
      <c r="D881" s="14"/>
      <c r="E881" s="14"/>
      <c r="F881" s="14"/>
      <c r="T881"/>
      <c r="AK881" s="12"/>
      <c r="AL881" s="1"/>
      <c r="AM881" s="1"/>
      <c r="AN881" s="1"/>
      <c r="AO881" s="2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</row>
    <row r="882" spans="1:60" x14ac:dyDescent="0.25">
      <c r="A882" s="14"/>
      <c r="B882" s="14"/>
      <c r="C882" s="14"/>
      <c r="D882" s="14"/>
      <c r="E882" s="14"/>
      <c r="F882" s="14"/>
      <c r="T882"/>
      <c r="AK882" s="12"/>
      <c r="AL882" s="1"/>
      <c r="AM882" s="1"/>
      <c r="AN882" s="1"/>
      <c r="AO882" s="2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</row>
    <row r="883" spans="1:60" x14ac:dyDescent="0.25">
      <c r="A883" s="14"/>
      <c r="B883" s="14"/>
      <c r="C883" s="14"/>
      <c r="D883" s="14"/>
      <c r="E883" s="14"/>
      <c r="F883" s="14"/>
      <c r="T883"/>
      <c r="AK883" s="12"/>
      <c r="AL883" s="1"/>
      <c r="AM883" s="1"/>
      <c r="AN883" s="1"/>
      <c r="AO883" s="2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</row>
    <row r="884" spans="1:60" x14ac:dyDescent="0.25">
      <c r="A884" s="14"/>
      <c r="B884" s="14"/>
      <c r="C884" s="14"/>
      <c r="D884" s="14"/>
      <c r="E884" s="14"/>
      <c r="F884" s="14"/>
      <c r="T884"/>
      <c r="AK884" s="12"/>
      <c r="AL884" s="1"/>
      <c r="AM884" s="1"/>
      <c r="AN884" s="1"/>
      <c r="AO884" s="2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</row>
    <row r="885" spans="1:60" x14ac:dyDescent="0.25">
      <c r="A885" s="14"/>
      <c r="B885" s="14"/>
      <c r="C885" s="14"/>
      <c r="D885" s="14"/>
      <c r="E885" s="14"/>
      <c r="F885" s="14"/>
      <c r="T885"/>
      <c r="AK885" s="12"/>
      <c r="AL885" s="1"/>
      <c r="AM885" s="1"/>
      <c r="AN885" s="1"/>
      <c r="AO885" s="2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</row>
    <row r="886" spans="1:60" x14ac:dyDescent="0.25">
      <c r="A886" s="14"/>
      <c r="B886" s="14"/>
      <c r="C886" s="14"/>
      <c r="D886" s="14"/>
      <c r="E886" s="14"/>
      <c r="F886" s="14"/>
      <c r="T886"/>
      <c r="AK886" s="12"/>
      <c r="AL886" s="1"/>
      <c r="AM886" s="1"/>
      <c r="AN886" s="1"/>
      <c r="AO886" s="2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</row>
    <row r="887" spans="1:60" x14ac:dyDescent="0.25">
      <c r="A887" s="14"/>
      <c r="B887" s="14"/>
      <c r="C887" s="14"/>
      <c r="D887" s="14"/>
      <c r="E887" s="14"/>
      <c r="F887" s="14"/>
      <c r="T887"/>
      <c r="AK887" s="12"/>
      <c r="AL887" s="1"/>
      <c r="AM887" s="1"/>
      <c r="AN887" s="1"/>
      <c r="AO887" s="2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</row>
    <row r="888" spans="1:60" x14ac:dyDescent="0.25">
      <c r="A888" s="14"/>
      <c r="B888" s="14"/>
      <c r="C888" s="14"/>
      <c r="D888" s="14"/>
      <c r="E888" s="14"/>
      <c r="F888" s="14"/>
      <c r="T888"/>
      <c r="AK888" s="12"/>
      <c r="AL888" s="1"/>
      <c r="AM888" s="1"/>
      <c r="AN888" s="1"/>
      <c r="AO888" s="2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</row>
    <row r="889" spans="1:60" x14ac:dyDescent="0.25">
      <c r="A889" s="14"/>
      <c r="B889" s="14"/>
      <c r="C889" s="14"/>
      <c r="D889" s="14"/>
      <c r="E889" s="14"/>
      <c r="F889" s="14"/>
      <c r="T889"/>
      <c r="AK889" s="12"/>
      <c r="AL889" s="1"/>
      <c r="AM889" s="1"/>
      <c r="AN889" s="1"/>
      <c r="AO889" s="2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</row>
    <row r="890" spans="1:60" x14ac:dyDescent="0.25">
      <c r="A890" s="14"/>
      <c r="B890" s="14"/>
      <c r="C890" s="14"/>
      <c r="D890" s="14"/>
      <c r="E890" s="14"/>
      <c r="F890" s="14"/>
      <c r="T890"/>
      <c r="AK890" s="12"/>
      <c r="AL890" s="1"/>
      <c r="AM890" s="1"/>
      <c r="AN890" s="1"/>
      <c r="AO890" s="2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</row>
    <row r="891" spans="1:60" x14ac:dyDescent="0.25">
      <c r="A891" s="14"/>
      <c r="B891" s="14"/>
      <c r="C891" s="14"/>
      <c r="D891" s="14"/>
      <c r="E891" s="14"/>
      <c r="F891" s="14"/>
      <c r="T891"/>
      <c r="AK891" s="12"/>
      <c r="AL891" s="1"/>
      <c r="AM891" s="1"/>
      <c r="AN891" s="1"/>
      <c r="AO891" s="2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</row>
    <row r="892" spans="1:60" x14ac:dyDescent="0.25">
      <c r="A892" s="14"/>
      <c r="B892" s="14"/>
      <c r="C892" s="14"/>
      <c r="D892" s="14"/>
      <c r="E892" s="14"/>
      <c r="F892" s="14"/>
      <c r="T892"/>
      <c r="AK892" s="12"/>
      <c r="AL892" s="1"/>
      <c r="AM892" s="1"/>
      <c r="AN892" s="1"/>
      <c r="AO892" s="2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</row>
    <row r="893" spans="1:60" x14ac:dyDescent="0.25">
      <c r="A893" s="14"/>
      <c r="B893" s="14"/>
      <c r="C893" s="14"/>
      <c r="D893" s="14"/>
      <c r="E893" s="14"/>
      <c r="F893" s="14"/>
      <c r="T893"/>
      <c r="AK893" s="12"/>
      <c r="AL893" s="1"/>
      <c r="AM893" s="1"/>
      <c r="AN893" s="1"/>
      <c r="AO893" s="2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</row>
    <row r="894" spans="1:60" x14ac:dyDescent="0.25">
      <c r="A894" s="14"/>
      <c r="B894" s="14"/>
      <c r="C894" s="14"/>
      <c r="D894" s="14"/>
      <c r="E894" s="14"/>
      <c r="F894" s="14"/>
      <c r="T894"/>
      <c r="AK894" s="12"/>
      <c r="AL894" s="1"/>
      <c r="AM894" s="1"/>
      <c r="AN894" s="1"/>
      <c r="AO894" s="2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</row>
    <row r="895" spans="1:60" x14ac:dyDescent="0.25">
      <c r="A895" s="14"/>
      <c r="B895" s="14"/>
      <c r="C895" s="14"/>
      <c r="D895" s="14"/>
      <c r="E895" s="14"/>
      <c r="F895" s="14"/>
      <c r="T895"/>
      <c r="AK895" s="12"/>
      <c r="AL895" s="1"/>
      <c r="AM895" s="1"/>
      <c r="AN895" s="1"/>
      <c r="AO895" s="2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</row>
    <row r="896" spans="1:60" x14ac:dyDescent="0.25">
      <c r="A896" s="14"/>
      <c r="B896" s="14"/>
      <c r="C896" s="14"/>
      <c r="D896" s="14"/>
      <c r="E896" s="14"/>
      <c r="F896" s="14"/>
      <c r="T896"/>
      <c r="AK896" s="12"/>
      <c r="AL896" s="1"/>
      <c r="AM896" s="1"/>
      <c r="AN896" s="1"/>
      <c r="AO896" s="2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</row>
    <row r="897" spans="1:60" x14ac:dyDescent="0.25">
      <c r="A897" s="14"/>
      <c r="B897" s="14"/>
      <c r="C897" s="14"/>
      <c r="D897" s="14"/>
      <c r="E897" s="14"/>
      <c r="F897" s="14"/>
      <c r="T897"/>
      <c r="AK897" s="12"/>
      <c r="AL897" s="1"/>
      <c r="AM897" s="1"/>
      <c r="AN897" s="1"/>
      <c r="AO897" s="2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</row>
    <row r="898" spans="1:60" x14ac:dyDescent="0.25">
      <c r="A898" s="14"/>
      <c r="B898" s="14"/>
      <c r="C898" s="14"/>
      <c r="D898" s="14"/>
      <c r="E898" s="14"/>
      <c r="F898" s="14"/>
      <c r="T898"/>
      <c r="AK898" s="12"/>
      <c r="AL898" s="1"/>
      <c r="AM898" s="1"/>
      <c r="AN898" s="1"/>
      <c r="AO898" s="2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</row>
    <row r="899" spans="1:60" x14ac:dyDescent="0.25">
      <c r="A899" s="14"/>
      <c r="B899" s="14"/>
      <c r="C899" s="14"/>
      <c r="D899" s="14"/>
      <c r="E899" s="14"/>
      <c r="F899" s="14"/>
      <c r="T899"/>
      <c r="AK899" s="12"/>
      <c r="AL899" s="1"/>
      <c r="AM899" s="1"/>
      <c r="AN899" s="1"/>
      <c r="AO899" s="2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</row>
    <row r="900" spans="1:60" x14ac:dyDescent="0.25">
      <c r="A900" s="14"/>
      <c r="B900" s="14"/>
      <c r="C900" s="14"/>
      <c r="D900" s="14"/>
      <c r="E900" s="14"/>
      <c r="F900" s="14"/>
      <c r="T900"/>
      <c r="AK900" s="12"/>
      <c r="AL900" s="1"/>
      <c r="AM900" s="1"/>
      <c r="AN900" s="1"/>
      <c r="AO900" s="2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</row>
    <row r="901" spans="1:60" x14ac:dyDescent="0.25">
      <c r="A901" s="14"/>
      <c r="B901" s="14"/>
      <c r="C901" s="14"/>
      <c r="D901" s="14"/>
      <c r="E901" s="14"/>
      <c r="F901" s="14"/>
      <c r="T901"/>
      <c r="AK901" s="12"/>
      <c r="AL901" s="1"/>
      <c r="AM901" s="1"/>
      <c r="AN901" s="1"/>
      <c r="AO901" s="2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</row>
    <row r="902" spans="1:60" x14ac:dyDescent="0.25">
      <c r="A902" s="14"/>
      <c r="B902" s="14"/>
      <c r="C902" s="14"/>
      <c r="D902" s="14"/>
      <c r="E902" s="14"/>
      <c r="F902" s="14"/>
      <c r="T902"/>
      <c r="AK902" s="12"/>
      <c r="AL902" s="1"/>
      <c r="AM902" s="1"/>
      <c r="AN902" s="1"/>
      <c r="AO902" s="2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</row>
    <row r="903" spans="1:60" x14ac:dyDescent="0.25">
      <c r="A903" s="14"/>
      <c r="B903" s="14"/>
      <c r="C903" s="14"/>
      <c r="D903" s="14"/>
      <c r="E903" s="14"/>
      <c r="F903" s="14"/>
      <c r="T903"/>
      <c r="AK903" s="12"/>
      <c r="AL903" s="1"/>
      <c r="AM903" s="1"/>
      <c r="AN903" s="1"/>
      <c r="AO903" s="2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</row>
    <row r="904" spans="1:60" x14ac:dyDescent="0.25">
      <c r="A904" s="14"/>
      <c r="B904" s="14"/>
      <c r="C904" s="14"/>
      <c r="D904" s="14"/>
      <c r="E904" s="14"/>
      <c r="F904" s="14"/>
      <c r="T904"/>
      <c r="AK904" s="12"/>
      <c r="AL904" s="1"/>
      <c r="AM904" s="1"/>
      <c r="AN904" s="1"/>
      <c r="AO904" s="2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</row>
    <row r="905" spans="1:60" x14ac:dyDescent="0.25">
      <c r="A905" s="14"/>
      <c r="B905" s="14"/>
      <c r="C905" s="14"/>
      <c r="D905" s="14"/>
      <c r="E905" s="14"/>
      <c r="F905" s="14"/>
      <c r="T905"/>
      <c r="AK905" s="12"/>
      <c r="AL905" s="1"/>
      <c r="AM905" s="1"/>
      <c r="AN905" s="1"/>
      <c r="AO905" s="2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</row>
    <row r="906" spans="1:60" x14ac:dyDescent="0.25">
      <c r="A906" s="14"/>
      <c r="B906" s="14"/>
      <c r="C906" s="14"/>
      <c r="D906" s="14"/>
      <c r="E906" s="14"/>
      <c r="F906" s="14"/>
      <c r="T906"/>
      <c r="AK906" s="12"/>
      <c r="AL906" s="1"/>
      <c r="AM906" s="1"/>
      <c r="AN906" s="1"/>
      <c r="AO906" s="2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</row>
    <row r="907" spans="1:60" x14ac:dyDescent="0.25">
      <c r="A907" s="14"/>
      <c r="B907" s="14"/>
      <c r="C907" s="14"/>
      <c r="D907" s="14"/>
      <c r="E907" s="14"/>
      <c r="F907" s="14"/>
      <c r="T907"/>
      <c r="AK907" s="12"/>
      <c r="AL907" s="1"/>
      <c r="AM907" s="1"/>
      <c r="AN907" s="1"/>
      <c r="AO907" s="2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</row>
    <row r="908" spans="1:60" x14ac:dyDescent="0.25">
      <c r="A908" s="14"/>
      <c r="B908" s="14"/>
      <c r="C908" s="14"/>
      <c r="D908" s="14"/>
      <c r="E908" s="14"/>
      <c r="F908" s="14"/>
      <c r="T908"/>
      <c r="AK908" s="12"/>
      <c r="AL908" s="1"/>
      <c r="AM908" s="1"/>
      <c r="AN908" s="1"/>
      <c r="AO908" s="2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</row>
    <row r="909" spans="1:60" x14ac:dyDescent="0.25">
      <c r="A909" s="14"/>
      <c r="B909" s="14"/>
      <c r="C909" s="14"/>
      <c r="D909" s="14"/>
      <c r="E909" s="14"/>
      <c r="F909" s="14"/>
      <c r="T909"/>
      <c r="AK909" s="12"/>
      <c r="AL909" s="1"/>
      <c r="AM909" s="1"/>
      <c r="AN909" s="1"/>
      <c r="AO909" s="2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</row>
    <row r="910" spans="1:60" x14ac:dyDescent="0.25">
      <c r="A910" s="14"/>
      <c r="B910" s="14"/>
      <c r="C910" s="14"/>
      <c r="D910" s="14"/>
      <c r="E910" s="14"/>
      <c r="F910" s="14"/>
      <c r="T910"/>
      <c r="AK910" s="12"/>
      <c r="AL910" s="1"/>
      <c r="AM910" s="1"/>
      <c r="AN910" s="1"/>
      <c r="AO910" s="2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</row>
    <row r="911" spans="1:60" x14ac:dyDescent="0.25">
      <c r="A911" s="14"/>
      <c r="B911" s="14"/>
      <c r="C911" s="14"/>
      <c r="D911" s="14"/>
      <c r="E911" s="14"/>
      <c r="F911" s="14"/>
      <c r="T911"/>
      <c r="AK911" s="12"/>
      <c r="AL911" s="1"/>
      <c r="AM911" s="1"/>
      <c r="AN911" s="1"/>
      <c r="AO911" s="2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</row>
    <row r="912" spans="1:60" x14ac:dyDescent="0.25">
      <c r="A912" s="14"/>
      <c r="B912" s="14"/>
      <c r="C912" s="14"/>
      <c r="D912" s="14"/>
      <c r="E912" s="14"/>
      <c r="F912" s="14"/>
      <c r="T912"/>
      <c r="AK912" s="12"/>
      <c r="AL912" s="1"/>
      <c r="AM912" s="1"/>
      <c r="AN912" s="1"/>
      <c r="AO912" s="2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</row>
    <row r="913" spans="1:60" x14ac:dyDescent="0.25">
      <c r="A913" s="14"/>
      <c r="B913" s="14"/>
      <c r="C913" s="14"/>
      <c r="D913" s="14"/>
      <c r="E913" s="14"/>
      <c r="F913" s="14"/>
      <c r="T913"/>
      <c r="AK913" s="12"/>
      <c r="AL913" s="1"/>
      <c r="AM913" s="1"/>
      <c r="AN913" s="1"/>
      <c r="AO913" s="2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</row>
    <row r="914" spans="1:60" x14ac:dyDescent="0.25">
      <c r="A914" s="14"/>
      <c r="B914" s="14"/>
      <c r="C914" s="14"/>
      <c r="D914" s="14"/>
      <c r="E914" s="14"/>
      <c r="F914" s="14"/>
      <c r="T914"/>
      <c r="AK914" s="12"/>
      <c r="AL914" s="1"/>
      <c r="AM914" s="1"/>
      <c r="AN914" s="1"/>
      <c r="AO914" s="2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</row>
    <row r="915" spans="1:60" x14ac:dyDescent="0.25">
      <c r="A915" s="14"/>
      <c r="B915" s="14"/>
      <c r="C915" s="14"/>
      <c r="D915" s="14"/>
      <c r="E915" s="14"/>
      <c r="F915" s="14"/>
      <c r="T915"/>
      <c r="AK915" s="12"/>
      <c r="AL915" s="1"/>
      <c r="AM915" s="1"/>
      <c r="AN915" s="1"/>
      <c r="AO915" s="2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</row>
    <row r="916" spans="1:60" x14ac:dyDescent="0.25">
      <c r="A916" s="14"/>
      <c r="B916" s="14"/>
      <c r="C916" s="14"/>
      <c r="D916" s="14"/>
      <c r="E916" s="14"/>
      <c r="F916" s="14"/>
      <c r="T916"/>
      <c r="AK916" s="12"/>
      <c r="AL916" s="1"/>
      <c r="AM916" s="1"/>
      <c r="AN916" s="1"/>
      <c r="AO916" s="2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</row>
    <row r="917" spans="1:60" x14ac:dyDescent="0.25">
      <c r="A917" s="14"/>
      <c r="B917" s="14"/>
      <c r="C917" s="14"/>
      <c r="D917" s="14"/>
      <c r="E917" s="14"/>
      <c r="F917" s="14"/>
      <c r="T917"/>
      <c r="AK917" s="12"/>
      <c r="AL917" s="1"/>
      <c r="AM917" s="1"/>
      <c r="AN917" s="1"/>
      <c r="AO917" s="2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</row>
    <row r="918" spans="1:60" x14ac:dyDescent="0.25">
      <c r="A918" s="14"/>
      <c r="B918" s="14"/>
      <c r="C918" s="14"/>
      <c r="D918" s="14"/>
      <c r="E918" s="14"/>
      <c r="F918" s="14"/>
      <c r="T918"/>
      <c r="AK918" s="12"/>
      <c r="AL918" s="1"/>
      <c r="AM918" s="1"/>
      <c r="AN918" s="1"/>
      <c r="AO918" s="2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</row>
    <row r="919" spans="1:60" x14ac:dyDescent="0.25">
      <c r="A919" s="14"/>
      <c r="B919" s="14"/>
      <c r="C919" s="14"/>
      <c r="D919" s="14"/>
      <c r="E919" s="14"/>
      <c r="F919" s="14"/>
      <c r="T919"/>
      <c r="AK919" s="12"/>
      <c r="AL919" s="1"/>
      <c r="AM919" s="1"/>
      <c r="AN919" s="1"/>
      <c r="AO919" s="2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</row>
    <row r="920" spans="1:60" x14ac:dyDescent="0.25">
      <c r="A920" s="14"/>
      <c r="B920" s="14"/>
      <c r="C920" s="14"/>
      <c r="D920" s="14"/>
      <c r="E920" s="14"/>
      <c r="F920" s="14"/>
      <c r="T920"/>
      <c r="AK920" s="12"/>
      <c r="AL920" s="1"/>
      <c r="AM920" s="1"/>
      <c r="AN920" s="1"/>
      <c r="AO920" s="2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</row>
    <row r="921" spans="1:60" x14ac:dyDescent="0.25">
      <c r="A921" s="14"/>
      <c r="B921" s="14"/>
      <c r="C921" s="14"/>
      <c r="D921" s="14"/>
      <c r="E921" s="14"/>
      <c r="F921" s="14"/>
      <c r="T921"/>
      <c r="AK921" s="12"/>
      <c r="AL921" s="1"/>
      <c r="AM921" s="1"/>
      <c r="AN921" s="1"/>
      <c r="AO921" s="2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</row>
    <row r="922" spans="1:60" x14ac:dyDescent="0.25">
      <c r="A922" s="14"/>
      <c r="B922" s="14"/>
      <c r="C922" s="14"/>
      <c r="D922" s="14"/>
      <c r="E922" s="14"/>
      <c r="F922" s="14"/>
      <c r="T922"/>
      <c r="AK922" s="12"/>
      <c r="AL922" s="1"/>
      <c r="AM922" s="1"/>
      <c r="AN922" s="1"/>
      <c r="AO922" s="2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</row>
    <row r="923" spans="1:60" x14ac:dyDescent="0.25">
      <c r="A923" s="14"/>
      <c r="B923" s="14"/>
      <c r="C923" s="14"/>
      <c r="D923" s="14"/>
      <c r="E923" s="14"/>
      <c r="F923" s="14"/>
      <c r="T923"/>
      <c r="AK923" s="12"/>
      <c r="AL923" s="1"/>
      <c r="AM923" s="1"/>
      <c r="AN923" s="1"/>
      <c r="AO923" s="2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</row>
    <row r="924" spans="1:60" x14ac:dyDescent="0.25">
      <c r="A924" s="14"/>
      <c r="B924" s="14"/>
      <c r="C924" s="14"/>
      <c r="D924" s="14"/>
      <c r="E924" s="14"/>
      <c r="F924" s="14"/>
      <c r="T924"/>
      <c r="AK924" s="12"/>
      <c r="AL924" s="1"/>
      <c r="AM924" s="1"/>
      <c r="AN924" s="1"/>
      <c r="AO924" s="2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</row>
    <row r="925" spans="1:60" x14ac:dyDescent="0.25">
      <c r="A925" s="14"/>
      <c r="B925" s="14"/>
      <c r="C925" s="14"/>
      <c r="D925" s="14"/>
      <c r="E925" s="14"/>
      <c r="F925" s="14"/>
      <c r="T925"/>
      <c r="AK925" s="12"/>
      <c r="AL925" s="1"/>
      <c r="AM925" s="1"/>
      <c r="AN925" s="1"/>
      <c r="AO925" s="2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</row>
    <row r="926" spans="1:60" x14ac:dyDescent="0.25">
      <c r="A926" s="14"/>
      <c r="B926" s="14"/>
      <c r="C926" s="14"/>
      <c r="D926" s="14"/>
      <c r="E926" s="14"/>
      <c r="F926" s="14"/>
      <c r="T926"/>
      <c r="AK926" s="12"/>
      <c r="AL926" s="1"/>
      <c r="AM926" s="1"/>
      <c r="AN926" s="1"/>
      <c r="AO926" s="2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</row>
    <row r="927" spans="1:60" x14ac:dyDescent="0.25">
      <c r="A927" s="14"/>
      <c r="B927" s="14"/>
      <c r="C927" s="14"/>
      <c r="D927" s="14"/>
      <c r="E927" s="14"/>
      <c r="F927" s="14"/>
      <c r="T927"/>
      <c r="AK927" s="12"/>
      <c r="AL927" s="1"/>
      <c r="AM927" s="1"/>
      <c r="AN927" s="1"/>
      <c r="AO927" s="2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</row>
    <row r="928" spans="1:60" x14ac:dyDescent="0.25">
      <c r="A928" s="14"/>
      <c r="B928" s="14"/>
      <c r="C928" s="14"/>
      <c r="D928" s="14"/>
      <c r="E928" s="14"/>
      <c r="F928" s="14"/>
      <c r="T928"/>
      <c r="AK928" s="12"/>
      <c r="AL928" s="1"/>
      <c r="AM928" s="1"/>
      <c r="AN928" s="1"/>
      <c r="AO928" s="2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</row>
    <row r="929" spans="1:60" x14ac:dyDescent="0.25">
      <c r="A929" s="14"/>
      <c r="B929" s="14"/>
      <c r="C929" s="14"/>
      <c r="D929" s="14"/>
      <c r="E929" s="14"/>
      <c r="F929" s="14"/>
      <c r="T929"/>
      <c r="AK929" s="12"/>
      <c r="AL929" s="1"/>
      <c r="AM929" s="1"/>
      <c r="AN929" s="1"/>
      <c r="AO929" s="2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</row>
    <row r="930" spans="1:60" x14ac:dyDescent="0.25">
      <c r="A930" s="14"/>
      <c r="B930" s="14"/>
      <c r="C930" s="14"/>
      <c r="D930" s="14"/>
      <c r="E930" s="14"/>
      <c r="F930" s="14"/>
      <c r="T930"/>
      <c r="AK930" s="12"/>
      <c r="AL930" s="1"/>
      <c r="AM930" s="1"/>
      <c r="AN930" s="1"/>
      <c r="AO930" s="2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</row>
    <row r="931" spans="1:60" x14ac:dyDescent="0.25">
      <c r="A931" s="14"/>
      <c r="B931" s="14"/>
      <c r="C931" s="14"/>
      <c r="D931" s="14"/>
      <c r="E931" s="14"/>
      <c r="F931" s="14"/>
      <c r="T931"/>
      <c r="AK931" s="12"/>
      <c r="AL931" s="1"/>
      <c r="AM931" s="1"/>
      <c r="AN931" s="1"/>
      <c r="AO931" s="2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</row>
    <row r="932" spans="1:60" x14ac:dyDescent="0.25">
      <c r="A932" s="14"/>
      <c r="B932" s="14"/>
      <c r="C932" s="14"/>
      <c r="D932" s="14"/>
      <c r="E932" s="14"/>
      <c r="F932" s="14"/>
      <c r="T932"/>
      <c r="AK932" s="12"/>
      <c r="AL932" s="1"/>
      <c r="AM932" s="1"/>
      <c r="AN932" s="1"/>
      <c r="AO932" s="2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</row>
    <row r="933" spans="1:60" x14ac:dyDescent="0.25">
      <c r="A933" s="14"/>
      <c r="B933" s="14"/>
      <c r="C933" s="14"/>
      <c r="D933" s="14"/>
      <c r="E933" s="14"/>
      <c r="F933" s="14"/>
      <c r="T933"/>
      <c r="AK933" s="12"/>
      <c r="AL933" s="1"/>
      <c r="AM933" s="1"/>
      <c r="AN933" s="1"/>
      <c r="AO933" s="2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</row>
    <row r="934" spans="1:60" x14ac:dyDescent="0.25">
      <c r="A934" s="14"/>
      <c r="B934" s="14"/>
      <c r="C934" s="14"/>
      <c r="D934" s="14"/>
      <c r="E934" s="14"/>
      <c r="F934" s="14"/>
      <c r="T934"/>
      <c r="AK934" s="12"/>
      <c r="AL934" s="1"/>
      <c r="AM934" s="1"/>
      <c r="AN934" s="1"/>
      <c r="AO934" s="2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</row>
    <row r="935" spans="1:60" x14ac:dyDescent="0.25">
      <c r="A935" s="14"/>
      <c r="B935" s="14"/>
      <c r="C935" s="14"/>
      <c r="D935" s="14"/>
      <c r="E935" s="14"/>
      <c r="F935" s="14"/>
      <c r="T935"/>
      <c r="AK935" s="12"/>
      <c r="AL935" s="1"/>
      <c r="AM935" s="1"/>
      <c r="AN935" s="1"/>
      <c r="AO935" s="2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</row>
    <row r="936" spans="1:60" x14ac:dyDescent="0.25">
      <c r="A936" s="14"/>
      <c r="B936" s="14"/>
      <c r="C936" s="14"/>
      <c r="D936" s="14"/>
      <c r="E936" s="14"/>
      <c r="F936" s="14"/>
      <c r="T936"/>
      <c r="AK936" s="12"/>
      <c r="AL936" s="1"/>
      <c r="AM936" s="1"/>
      <c r="AN936" s="1"/>
      <c r="AO936" s="2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</row>
    <row r="937" spans="1:60" x14ac:dyDescent="0.25">
      <c r="A937" s="14"/>
      <c r="B937" s="14"/>
      <c r="C937" s="14"/>
      <c r="D937" s="14"/>
      <c r="E937" s="14"/>
      <c r="F937" s="14"/>
      <c r="T937"/>
      <c r="AK937" s="12"/>
      <c r="AL937" s="1"/>
      <c r="AM937" s="1"/>
      <c r="AN937" s="1"/>
      <c r="AO937" s="2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</row>
    <row r="938" spans="1:60" x14ac:dyDescent="0.25">
      <c r="A938" s="14"/>
      <c r="B938" s="14"/>
      <c r="C938" s="14"/>
      <c r="D938" s="14"/>
      <c r="E938" s="14"/>
      <c r="F938" s="14"/>
      <c r="T938"/>
      <c r="AK938" s="12"/>
      <c r="AL938" s="1"/>
      <c r="AM938" s="1"/>
      <c r="AN938" s="1"/>
      <c r="AO938" s="2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</row>
    <row r="939" spans="1:60" x14ac:dyDescent="0.25">
      <c r="A939" s="14"/>
      <c r="B939" s="14"/>
      <c r="C939" s="14"/>
      <c r="D939" s="14"/>
      <c r="E939" s="14"/>
      <c r="F939" s="14"/>
      <c r="T939"/>
      <c r="AK939" s="12"/>
      <c r="AL939" s="1"/>
      <c r="AM939" s="1"/>
      <c r="AN939" s="1"/>
      <c r="AO939" s="2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</row>
    <row r="940" spans="1:60" x14ac:dyDescent="0.25">
      <c r="A940" s="14"/>
      <c r="B940" s="14"/>
      <c r="C940" s="14"/>
      <c r="D940" s="14"/>
      <c r="E940" s="14"/>
      <c r="F940" s="14"/>
      <c r="T940"/>
      <c r="AK940" s="12"/>
      <c r="AL940" s="1"/>
      <c r="AM940" s="1"/>
      <c r="AN940" s="1"/>
      <c r="AO940" s="2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</row>
    <row r="941" spans="1:60" x14ac:dyDescent="0.25">
      <c r="A941" s="14"/>
      <c r="B941" s="14"/>
      <c r="C941" s="14"/>
      <c r="D941" s="14"/>
      <c r="E941" s="14"/>
      <c r="F941" s="14"/>
      <c r="T941"/>
      <c r="AK941" s="12"/>
      <c r="AL941" s="1"/>
      <c r="AM941" s="1"/>
      <c r="AN941" s="1"/>
      <c r="AO941" s="2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</row>
    <row r="942" spans="1:60" x14ac:dyDescent="0.25">
      <c r="A942" s="14"/>
      <c r="B942" s="14"/>
      <c r="C942" s="14"/>
      <c r="D942" s="14"/>
      <c r="E942" s="14"/>
      <c r="F942" s="14"/>
      <c r="T942"/>
      <c r="AK942" s="12"/>
      <c r="AL942" s="1"/>
      <c r="AM942" s="1"/>
      <c r="AN942" s="1"/>
      <c r="AO942" s="2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</row>
    <row r="943" spans="1:60" x14ac:dyDescent="0.25">
      <c r="A943" s="14"/>
      <c r="B943" s="14"/>
      <c r="C943" s="14"/>
      <c r="D943" s="14"/>
      <c r="E943" s="14"/>
      <c r="F943" s="14"/>
      <c r="T943"/>
      <c r="AK943" s="12"/>
      <c r="AL943" s="1"/>
      <c r="AM943" s="1"/>
      <c r="AN943" s="1"/>
      <c r="AO943" s="2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</row>
    <row r="944" spans="1:60" x14ac:dyDescent="0.25">
      <c r="A944" s="14"/>
      <c r="B944" s="14"/>
      <c r="C944" s="14"/>
      <c r="D944" s="14"/>
      <c r="E944" s="14"/>
      <c r="F944" s="14"/>
      <c r="T944"/>
      <c r="AK944" s="12"/>
      <c r="AL944" s="1"/>
      <c r="AM944" s="1"/>
      <c r="AN944" s="1"/>
      <c r="AO944" s="2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</row>
    <row r="945" spans="1:60" x14ac:dyDescent="0.25">
      <c r="A945" s="14"/>
      <c r="B945" s="14"/>
      <c r="C945" s="14"/>
      <c r="D945" s="14"/>
      <c r="E945" s="14"/>
      <c r="F945" s="14"/>
      <c r="T945"/>
      <c r="AK945" s="12"/>
      <c r="AL945" s="1"/>
      <c r="AM945" s="1"/>
      <c r="AN945" s="1"/>
      <c r="AO945" s="2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</row>
    <row r="946" spans="1:60" x14ac:dyDescent="0.25">
      <c r="A946" s="14"/>
      <c r="B946" s="14"/>
      <c r="C946" s="14"/>
      <c r="D946" s="14"/>
      <c r="E946" s="14"/>
      <c r="F946" s="14"/>
      <c r="T946"/>
      <c r="AK946" s="12"/>
      <c r="AL946" s="1"/>
      <c r="AM946" s="1"/>
      <c r="AN946" s="1"/>
      <c r="AO946" s="2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</row>
    <row r="947" spans="1:60" x14ac:dyDescent="0.25">
      <c r="A947" s="14"/>
      <c r="B947" s="14"/>
      <c r="C947" s="14"/>
      <c r="D947" s="14"/>
      <c r="E947" s="14"/>
      <c r="F947" s="14"/>
      <c r="T947"/>
      <c r="AK947" s="12"/>
      <c r="AL947" s="1"/>
      <c r="AM947" s="1"/>
      <c r="AN947" s="1"/>
      <c r="AO947" s="2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</row>
    <row r="948" spans="1:60" x14ac:dyDescent="0.25">
      <c r="A948" s="14"/>
      <c r="B948" s="14"/>
      <c r="C948" s="14"/>
      <c r="D948" s="14"/>
      <c r="E948" s="14"/>
      <c r="F948" s="14"/>
      <c r="T948"/>
      <c r="AK948" s="12"/>
      <c r="AL948" s="1"/>
      <c r="AM948" s="1"/>
      <c r="AN948" s="1"/>
      <c r="AO948" s="2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</row>
    <row r="949" spans="1:60" x14ac:dyDescent="0.25">
      <c r="A949" s="14"/>
      <c r="B949" s="14"/>
      <c r="C949" s="14"/>
      <c r="D949" s="14"/>
      <c r="E949" s="14"/>
      <c r="F949" s="14"/>
      <c r="T949"/>
      <c r="AK949" s="12"/>
      <c r="AL949" s="1"/>
      <c r="AM949" s="1"/>
      <c r="AN949" s="1"/>
      <c r="AO949" s="2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</row>
    <row r="950" spans="1:60" x14ac:dyDescent="0.25">
      <c r="A950" s="14"/>
      <c r="B950" s="14"/>
      <c r="C950" s="14"/>
      <c r="D950" s="14"/>
      <c r="E950" s="14"/>
      <c r="F950" s="14"/>
      <c r="T950"/>
      <c r="AK950" s="12"/>
      <c r="AL950" s="1"/>
      <c r="AM950" s="1"/>
      <c r="AN950" s="1"/>
      <c r="AO950" s="2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</row>
    <row r="951" spans="1:60" x14ac:dyDescent="0.25">
      <c r="A951" s="14"/>
      <c r="B951" s="14"/>
      <c r="C951" s="14"/>
      <c r="D951" s="14"/>
      <c r="E951" s="14"/>
      <c r="F951" s="14"/>
      <c r="T951"/>
      <c r="AK951" s="12"/>
      <c r="AL951" s="1"/>
      <c r="AM951" s="1"/>
      <c r="AN951" s="1"/>
      <c r="AO951" s="2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</row>
    <row r="952" spans="1:60" x14ac:dyDescent="0.25">
      <c r="A952" s="14"/>
      <c r="B952" s="14"/>
      <c r="C952" s="14"/>
      <c r="D952" s="14"/>
      <c r="E952" s="14"/>
      <c r="F952" s="14"/>
      <c r="T952"/>
      <c r="AK952" s="12"/>
      <c r="AL952" s="1"/>
      <c r="AM952" s="1"/>
      <c r="AN952" s="1"/>
      <c r="AO952" s="2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</row>
    <row r="953" spans="1:60" x14ac:dyDescent="0.25">
      <c r="A953" s="14"/>
      <c r="B953" s="14"/>
      <c r="C953" s="14"/>
      <c r="D953" s="14"/>
      <c r="E953" s="14"/>
      <c r="F953" s="14"/>
      <c r="T953"/>
      <c r="AK953" s="12"/>
      <c r="AL953" s="1"/>
      <c r="AM953" s="1"/>
      <c r="AN953" s="1"/>
      <c r="AO953" s="2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</row>
    <row r="954" spans="1:60" x14ac:dyDescent="0.25">
      <c r="A954" s="14"/>
      <c r="B954" s="14"/>
      <c r="C954" s="14"/>
      <c r="D954" s="14"/>
      <c r="E954" s="14"/>
      <c r="F954" s="14"/>
      <c r="T954"/>
      <c r="AK954" s="12"/>
      <c r="AL954" s="1"/>
      <c r="AM954" s="1"/>
      <c r="AN954" s="1"/>
      <c r="AO954" s="2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</row>
    <row r="955" spans="1:60" x14ac:dyDescent="0.25">
      <c r="A955" s="14"/>
      <c r="B955" s="14"/>
      <c r="C955" s="14"/>
      <c r="D955" s="14"/>
      <c r="E955" s="14"/>
      <c r="F955" s="14"/>
      <c r="T955"/>
      <c r="AK955" s="12"/>
      <c r="AL955" s="1"/>
      <c r="AM955" s="1"/>
      <c r="AN955" s="1"/>
      <c r="AO955" s="2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</row>
    <row r="956" spans="1:60" x14ac:dyDescent="0.25">
      <c r="A956" s="14"/>
      <c r="B956" s="14"/>
      <c r="C956" s="14"/>
      <c r="D956" s="14"/>
      <c r="E956" s="14"/>
      <c r="F956" s="14"/>
      <c r="T956"/>
      <c r="AK956" s="12"/>
      <c r="AL956" s="1"/>
      <c r="AM956" s="1"/>
      <c r="AN956" s="1"/>
      <c r="AO956" s="2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</row>
    <row r="957" spans="1:60" x14ac:dyDescent="0.25">
      <c r="A957" s="14"/>
      <c r="B957" s="14"/>
      <c r="C957" s="14"/>
      <c r="D957" s="14"/>
      <c r="E957" s="14"/>
      <c r="F957" s="14"/>
      <c r="T957"/>
      <c r="AK957" s="12"/>
      <c r="AL957" s="1"/>
      <c r="AM957" s="1"/>
      <c r="AN957" s="1"/>
      <c r="AO957" s="2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</row>
    <row r="958" spans="1:60" x14ac:dyDescent="0.25">
      <c r="A958" s="14"/>
      <c r="B958" s="14"/>
      <c r="C958" s="14"/>
      <c r="D958" s="14"/>
      <c r="E958" s="14"/>
      <c r="F958" s="14"/>
      <c r="T958"/>
      <c r="AK958" s="12"/>
      <c r="AL958" s="1"/>
      <c r="AM958" s="1"/>
      <c r="AN958" s="1"/>
      <c r="AO958" s="2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</row>
    <row r="959" spans="1:60" x14ac:dyDescent="0.25">
      <c r="A959" s="14"/>
      <c r="B959" s="14"/>
      <c r="C959" s="14"/>
      <c r="D959" s="14"/>
      <c r="E959" s="14"/>
      <c r="F959" s="14"/>
      <c r="T959"/>
      <c r="AK959" s="12"/>
      <c r="AL959" s="1"/>
      <c r="AM959" s="1"/>
      <c r="AN959" s="1"/>
      <c r="AO959" s="2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</row>
    <row r="960" spans="1:60" x14ac:dyDescent="0.25">
      <c r="A960" s="14"/>
      <c r="B960" s="14"/>
      <c r="C960" s="14"/>
      <c r="D960" s="14"/>
      <c r="E960" s="14"/>
      <c r="F960" s="14"/>
      <c r="T960"/>
      <c r="AK960" s="12"/>
      <c r="AL960" s="1"/>
      <c r="AM960" s="1"/>
      <c r="AN960" s="1"/>
      <c r="AO960" s="2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</row>
    <row r="961" spans="1:60" x14ac:dyDescent="0.25">
      <c r="A961" s="14"/>
      <c r="B961" s="14"/>
      <c r="C961" s="14"/>
      <c r="D961" s="14"/>
      <c r="E961" s="14"/>
      <c r="F961" s="14"/>
      <c r="T961"/>
      <c r="AK961" s="12"/>
      <c r="AL961" s="1"/>
      <c r="AM961" s="1"/>
      <c r="AN961" s="1"/>
      <c r="AO961" s="2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</row>
    <row r="962" spans="1:60" x14ac:dyDescent="0.25">
      <c r="A962" s="14"/>
      <c r="B962" s="14"/>
      <c r="C962" s="14"/>
      <c r="D962" s="14"/>
      <c r="E962" s="14"/>
      <c r="F962" s="14"/>
      <c r="T962"/>
      <c r="AK962" s="12"/>
      <c r="AL962" s="1"/>
      <c r="AM962" s="1"/>
      <c r="AN962" s="1"/>
      <c r="AO962" s="2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</row>
    <row r="963" spans="1:60" x14ac:dyDescent="0.25">
      <c r="A963" s="14"/>
      <c r="B963" s="14"/>
      <c r="C963" s="14"/>
      <c r="D963" s="14"/>
      <c r="E963" s="14"/>
      <c r="F963" s="14"/>
      <c r="T963"/>
      <c r="AK963" s="12"/>
      <c r="AL963" s="1"/>
      <c r="AM963" s="1"/>
      <c r="AN963" s="1"/>
      <c r="AO963" s="2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</row>
    <row r="964" spans="1:60" x14ac:dyDescent="0.25">
      <c r="A964" s="14"/>
      <c r="B964" s="14"/>
      <c r="C964" s="14"/>
      <c r="D964" s="14"/>
      <c r="E964" s="14"/>
      <c r="F964" s="14"/>
      <c r="T964"/>
      <c r="AK964" s="12"/>
      <c r="AL964" s="1"/>
      <c r="AM964" s="1"/>
      <c r="AN964" s="1"/>
      <c r="AO964" s="2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</row>
    <row r="965" spans="1:60" x14ac:dyDescent="0.25">
      <c r="A965" s="14"/>
      <c r="B965" s="14"/>
      <c r="C965" s="14"/>
      <c r="D965" s="14"/>
      <c r="E965" s="14"/>
      <c r="F965" s="14"/>
      <c r="T965"/>
      <c r="AK965" s="12"/>
      <c r="AL965" s="1"/>
      <c r="AM965" s="1"/>
      <c r="AN965" s="1"/>
      <c r="AO965" s="2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</row>
    <row r="966" spans="1:60" x14ac:dyDescent="0.25">
      <c r="A966" s="14"/>
      <c r="B966" s="14"/>
      <c r="C966" s="14"/>
      <c r="D966" s="14"/>
      <c r="E966" s="14"/>
      <c r="F966" s="14"/>
      <c r="T966"/>
      <c r="AK966" s="12"/>
      <c r="AL966" s="1"/>
      <c r="AM966" s="1"/>
      <c r="AN966" s="1"/>
      <c r="AO966" s="2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</row>
    <row r="967" spans="1:60" x14ac:dyDescent="0.25">
      <c r="A967" s="14"/>
      <c r="B967" s="14"/>
      <c r="C967" s="14"/>
      <c r="D967" s="14"/>
      <c r="E967" s="14"/>
      <c r="F967" s="14"/>
      <c r="T967"/>
      <c r="AK967" s="12"/>
      <c r="AL967" s="1"/>
      <c r="AM967" s="1"/>
      <c r="AN967" s="1"/>
      <c r="AO967" s="2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</row>
    <row r="968" spans="1:60" x14ac:dyDescent="0.25">
      <c r="A968" s="14"/>
      <c r="B968" s="14"/>
      <c r="C968" s="14"/>
      <c r="D968" s="14"/>
      <c r="E968" s="14"/>
      <c r="F968" s="14"/>
      <c r="T968"/>
      <c r="AK968" s="12"/>
      <c r="AL968" s="1"/>
      <c r="AM968" s="1"/>
      <c r="AN968" s="1"/>
      <c r="AO968" s="2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</row>
    <row r="969" spans="1:60" x14ac:dyDescent="0.25">
      <c r="A969" s="14"/>
      <c r="B969" s="14"/>
      <c r="C969" s="14"/>
      <c r="D969" s="14"/>
      <c r="E969" s="14"/>
      <c r="F969" s="14"/>
      <c r="T969"/>
      <c r="AK969" s="12"/>
      <c r="AL969" s="1"/>
      <c r="AM969" s="1"/>
      <c r="AN969" s="1"/>
      <c r="AO969" s="2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</row>
    <row r="970" spans="1:60" x14ac:dyDescent="0.25">
      <c r="A970" s="14"/>
      <c r="B970" s="14"/>
      <c r="C970" s="14"/>
      <c r="D970" s="14"/>
      <c r="E970" s="14"/>
      <c r="F970" s="14"/>
      <c r="T970"/>
      <c r="AK970" s="12"/>
      <c r="AL970" s="1"/>
      <c r="AM970" s="1"/>
      <c r="AN970" s="1"/>
      <c r="AO970" s="2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</row>
    <row r="971" spans="1:60" x14ac:dyDescent="0.25">
      <c r="A971" s="14"/>
      <c r="B971" s="14"/>
      <c r="C971" s="14"/>
      <c r="D971" s="14"/>
      <c r="E971" s="14"/>
      <c r="F971" s="14"/>
      <c r="T971"/>
      <c r="AK971" s="12"/>
      <c r="AL971" s="1"/>
      <c r="AM971" s="1"/>
      <c r="AN971" s="1"/>
      <c r="AO971" s="2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</row>
    <row r="972" spans="1:60" x14ac:dyDescent="0.25">
      <c r="A972" s="14"/>
      <c r="B972" s="14"/>
      <c r="C972" s="14"/>
      <c r="D972" s="14"/>
      <c r="E972" s="14"/>
      <c r="F972" s="14"/>
      <c r="T972"/>
      <c r="AK972" s="12"/>
      <c r="AL972" s="1"/>
      <c r="AM972" s="1"/>
      <c r="AN972" s="1"/>
      <c r="AO972" s="2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</row>
    <row r="973" spans="1:60" x14ac:dyDescent="0.25">
      <c r="A973" s="14"/>
      <c r="B973" s="14"/>
      <c r="C973" s="14"/>
      <c r="D973" s="14"/>
      <c r="E973" s="14"/>
      <c r="F973" s="14"/>
      <c r="T973"/>
      <c r="AK973" s="12"/>
      <c r="AL973" s="1"/>
      <c r="AM973" s="1"/>
      <c r="AN973" s="1"/>
      <c r="AO973" s="2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</row>
    <row r="974" spans="1:60" x14ac:dyDescent="0.25">
      <c r="A974" s="14"/>
      <c r="B974" s="14"/>
      <c r="C974" s="14"/>
      <c r="D974" s="14"/>
      <c r="E974" s="14"/>
      <c r="F974" s="14"/>
      <c r="T974"/>
      <c r="AK974" s="12"/>
      <c r="AL974" s="1"/>
      <c r="AM974" s="1"/>
      <c r="AN974" s="1"/>
      <c r="AO974" s="2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</row>
    <row r="975" spans="1:60" x14ac:dyDescent="0.25">
      <c r="A975" s="14"/>
      <c r="B975" s="14"/>
      <c r="C975" s="14"/>
      <c r="D975" s="14"/>
      <c r="E975" s="14"/>
      <c r="F975" s="14"/>
      <c r="T975"/>
      <c r="AK975" s="12"/>
      <c r="AL975" s="1"/>
      <c r="AM975" s="1"/>
      <c r="AN975" s="1"/>
      <c r="AO975" s="2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</row>
    <row r="976" spans="1:60" x14ac:dyDescent="0.25">
      <c r="A976" s="14"/>
      <c r="B976" s="14"/>
      <c r="C976" s="14"/>
      <c r="D976" s="14"/>
      <c r="E976" s="14"/>
      <c r="F976" s="14"/>
      <c r="T976"/>
      <c r="AK976" s="12"/>
      <c r="AL976" s="1"/>
      <c r="AM976" s="1"/>
      <c r="AN976" s="1"/>
      <c r="AO976" s="2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</row>
    <row r="977" spans="1:60" x14ac:dyDescent="0.25">
      <c r="A977" s="14"/>
      <c r="B977" s="14"/>
      <c r="C977" s="14"/>
      <c r="D977" s="14"/>
      <c r="E977" s="14"/>
      <c r="F977" s="14"/>
      <c r="T977"/>
      <c r="AK977" s="12"/>
      <c r="AL977" s="1"/>
      <c r="AM977" s="1"/>
      <c r="AN977" s="1"/>
      <c r="AO977" s="2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</row>
    <row r="978" spans="1:60" x14ac:dyDescent="0.25">
      <c r="A978" s="14"/>
      <c r="B978" s="14"/>
      <c r="C978" s="14"/>
      <c r="D978" s="14"/>
      <c r="E978" s="14"/>
      <c r="F978" s="14"/>
      <c r="T978"/>
      <c r="AK978" s="12"/>
      <c r="AL978" s="1"/>
      <c r="AM978" s="1"/>
      <c r="AN978" s="1"/>
      <c r="AO978" s="2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</row>
    <row r="979" spans="1:60" x14ac:dyDescent="0.25">
      <c r="A979" s="14"/>
      <c r="B979" s="14"/>
      <c r="C979" s="14"/>
      <c r="D979" s="14"/>
      <c r="E979" s="14"/>
      <c r="F979" s="14"/>
      <c r="T979"/>
      <c r="AK979" s="12"/>
      <c r="AL979" s="1"/>
      <c r="AM979" s="1"/>
      <c r="AN979" s="1"/>
      <c r="AO979" s="2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</row>
    <row r="980" spans="1:60" x14ac:dyDescent="0.25">
      <c r="A980" s="14"/>
      <c r="B980" s="14"/>
      <c r="C980" s="14"/>
      <c r="D980" s="14"/>
      <c r="E980" s="14"/>
      <c r="F980" s="14"/>
      <c r="T980"/>
      <c r="AK980" s="12"/>
      <c r="AL980" s="1"/>
      <c r="AM980" s="1"/>
      <c r="AN980" s="1"/>
      <c r="AO980" s="2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</row>
    <row r="981" spans="1:60" x14ac:dyDescent="0.25">
      <c r="A981" s="14"/>
      <c r="B981" s="14"/>
      <c r="C981" s="14"/>
      <c r="D981" s="14"/>
      <c r="E981" s="14"/>
      <c r="F981" s="14"/>
      <c r="T981"/>
      <c r="AK981" s="12"/>
      <c r="AL981" s="1"/>
      <c r="AM981" s="1"/>
      <c r="AN981" s="1"/>
      <c r="AO981" s="2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</row>
    <row r="982" spans="1:60" x14ac:dyDescent="0.25">
      <c r="A982" s="14"/>
      <c r="B982" s="14"/>
      <c r="C982" s="14"/>
      <c r="D982" s="14"/>
      <c r="E982" s="14"/>
      <c r="F982" s="14"/>
      <c r="T982"/>
      <c r="AK982" s="12"/>
      <c r="AL982" s="1"/>
      <c r="AM982" s="1"/>
      <c r="AN982" s="1"/>
      <c r="AO982" s="2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</row>
    <row r="983" spans="1:60" x14ac:dyDescent="0.25">
      <c r="A983" s="14"/>
      <c r="B983" s="14"/>
      <c r="C983" s="14"/>
      <c r="D983" s="14"/>
      <c r="E983" s="14"/>
      <c r="F983" s="14"/>
      <c r="T983"/>
      <c r="AK983" s="12"/>
      <c r="AL983" s="1"/>
      <c r="AM983" s="1"/>
      <c r="AN983" s="1"/>
      <c r="AO983" s="2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</row>
    <row r="984" spans="1:60" x14ac:dyDescent="0.25">
      <c r="A984" s="14"/>
      <c r="B984" s="14"/>
      <c r="C984" s="14"/>
      <c r="D984" s="14"/>
      <c r="E984" s="14"/>
      <c r="F984" s="14"/>
      <c r="T984"/>
      <c r="AK984" s="12"/>
      <c r="AL984" s="1"/>
      <c r="AM984" s="1"/>
      <c r="AN984" s="1"/>
      <c r="AO984" s="2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</row>
    <row r="985" spans="1:60" x14ac:dyDescent="0.25">
      <c r="A985" s="14"/>
      <c r="B985" s="14"/>
      <c r="C985" s="14"/>
      <c r="D985" s="14"/>
      <c r="E985" s="14"/>
      <c r="F985" s="14"/>
      <c r="T985"/>
      <c r="AK985" s="12"/>
      <c r="AL985" s="1"/>
      <c r="AM985" s="1"/>
      <c r="AN985" s="1"/>
      <c r="AO985" s="2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</row>
    <row r="986" spans="1:60" x14ac:dyDescent="0.25">
      <c r="A986" s="14"/>
      <c r="B986" s="14"/>
      <c r="C986" s="14"/>
      <c r="D986" s="14"/>
      <c r="E986" s="14"/>
      <c r="F986" s="14"/>
      <c r="T986"/>
      <c r="AK986" s="12"/>
      <c r="AL986" s="1"/>
      <c r="AM986" s="1"/>
      <c r="AN986" s="1"/>
      <c r="AO986" s="2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</row>
    <row r="987" spans="1:60" x14ac:dyDescent="0.25">
      <c r="A987" s="14"/>
      <c r="B987" s="14"/>
      <c r="C987" s="14"/>
      <c r="D987" s="14"/>
      <c r="E987" s="14"/>
      <c r="F987" s="14"/>
      <c r="T987"/>
      <c r="AK987" s="12"/>
      <c r="AL987" s="1"/>
      <c r="AM987" s="1"/>
      <c r="AN987" s="1"/>
      <c r="AO987" s="2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</row>
    <row r="988" spans="1:60" x14ac:dyDescent="0.25">
      <c r="A988" s="14"/>
      <c r="B988" s="14"/>
      <c r="C988" s="14"/>
      <c r="D988" s="14"/>
      <c r="E988" s="14"/>
      <c r="F988" s="14"/>
      <c r="T988"/>
      <c r="AK988" s="12"/>
      <c r="AL988" s="1"/>
      <c r="AM988" s="1"/>
      <c r="AN988" s="1"/>
      <c r="AO988" s="2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</row>
    <row r="989" spans="1:60" x14ac:dyDescent="0.25">
      <c r="A989" s="14"/>
      <c r="B989" s="14"/>
      <c r="C989" s="14"/>
      <c r="D989" s="14"/>
      <c r="E989" s="14"/>
      <c r="F989" s="14"/>
      <c r="T989"/>
      <c r="AK989" s="12"/>
      <c r="AL989" s="1"/>
      <c r="AM989" s="1"/>
      <c r="AN989" s="1"/>
      <c r="AO989" s="2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</row>
    <row r="990" spans="1:60" x14ac:dyDescent="0.25">
      <c r="A990" s="14"/>
      <c r="B990" s="14"/>
      <c r="C990" s="14"/>
      <c r="D990" s="14"/>
      <c r="E990" s="14"/>
      <c r="F990" s="14"/>
      <c r="T990"/>
      <c r="AK990" s="12"/>
      <c r="AL990" s="1"/>
      <c r="AM990" s="1"/>
      <c r="AN990" s="1"/>
      <c r="AO990" s="2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</row>
    <row r="991" spans="1:60" x14ac:dyDescent="0.25">
      <c r="A991" s="14"/>
      <c r="B991" s="14"/>
      <c r="C991" s="14"/>
      <c r="D991" s="14"/>
      <c r="E991" s="14"/>
      <c r="F991" s="14"/>
      <c r="T991"/>
      <c r="AK991" s="12"/>
      <c r="AL991" s="1"/>
      <c r="AM991" s="1"/>
      <c r="AN991" s="1"/>
      <c r="AO991" s="2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</row>
    <row r="992" spans="1:60" x14ac:dyDescent="0.25">
      <c r="A992" s="14"/>
      <c r="B992" s="14"/>
      <c r="C992" s="14"/>
      <c r="D992" s="14"/>
      <c r="E992" s="14"/>
      <c r="F992" s="14"/>
      <c r="T992"/>
      <c r="AK992" s="12"/>
      <c r="AL992" s="1"/>
      <c r="AM992" s="1"/>
      <c r="AN992" s="1"/>
      <c r="AO992" s="2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</row>
    <row r="993" spans="1:60" x14ac:dyDescent="0.25">
      <c r="A993" s="14"/>
      <c r="B993" s="14"/>
      <c r="C993" s="14"/>
      <c r="D993" s="14"/>
      <c r="E993" s="14"/>
      <c r="F993" s="14"/>
      <c r="T993"/>
      <c r="AK993" s="12"/>
      <c r="AL993" s="1"/>
      <c r="AM993" s="1"/>
      <c r="AN993" s="1"/>
      <c r="AO993" s="2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</row>
    <row r="994" spans="1:60" x14ac:dyDescent="0.25">
      <c r="A994" s="14"/>
      <c r="B994" s="14"/>
      <c r="C994" s="14"/>
      <c r="D994" s="14"/>
      <c r="E994" s="14"/>
      <c r="F994" s="14"/>
      <c r="T994"/>
      <c r="AK994" s="12"/>
      <c r="AL994" s="1"/>
      <c r="AM994" s="1"/>
      <c r="AN994" s="1"/>
      <c r="AO994" s="2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</row>
    <row r="995" spans="1:60" x14ac:dyDescent="0.25">
      <c r="A995" s="14"/>
      <c r="B995" s="14"/>
      <c r="C995" s="14"/>
      <c r="D995" s="14"/>
      <c r="E995" s="14"/>
      <c r="F995" s="14"/>
      <c r="T995"/>
      <c r="AK995" s="12"/>
      <c r="AL995" s="1"/>
      <c r="AM995" s="1"/>
      <c r="AN995" s="1"/>
      <c r="AO995" s="2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</row>
    <row r="996" spans="1:60" x14ac:dyDescent="0.25">
      <c r="A996" s="14"/>
      <c r="B996" s="14"/>
      <c r="C996" s="14"/>
      <c r="D996" s="14"/>
      <c r="E996" s="14"/>
      <c r="F996" s="14"/>
      <c r="T996"/>
      <c r="AK996" s="12"/>
      <c r="AL996" s="1"/>
      <c r="AM996" s="1"/>
      <c r="AN996" s="1"/>
      <c r="AO996" s="2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</row>
    <row r="997" spans="1:60" x14ac:dyDescent="0.25">
      <c r="A997" s="14"/>
      <c r="B997" s="14"/>
      <c r="C997" s="14"/>
      <c r="D997" s="14"/>
      <c r="E997" s="14"/>
      <c r="F997" s="14"/>
      <c r="T997"/>
      <c r="AK997" s="12"/>
      <c r="AL997" s="1"/>
      <c r="AM997" s="1"/>
      <c r="AN997" s="1"/>
      <c r="AO997" s="2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</row>
    <row r="998" spans="1:60" x14ac:dyDescent="0.25">
      <c r="A998" s="14"/>
      <c r="B998" s="14"/>
      <c r="C998" s="14"/>
      <c r="D998" s="14"/>
      <c r="E998" s="14"/>
      <c r="F998" s="14"/>
      <c r="T998"/>
      <c r="AK998" s="12"/>
      <c r="AL998" s="1"/>
      <c r="AM998" s="1"/>
      <c r="AN998" s="1"/>
      <c r="AO998" s="2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</row>
    <row r="999" spans="1:60" x14ac:dyDescent="0.25">
      <c r="A999" s="14"/>
      <c r="B999" s="14"/>
      <c r="C999" s="14"/>
      <c r="D999" s="14"/>
      <c r="E999" s="14"/>
      <c r="F999" s="14"/>
      <c r="T999"/>
      <c r="AK999" s="12"/>
      <c r="AL999" s="1"/>
      <c r="AM999" s="1"/>
      <c r="AN999" s="1"/>
      <c r="AO999" s="2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</row>
    <row r="1000" spans="1:60" x14ac:dyDescent="0.25">
      <c r="A1000" s="14"/>
      <c r="B1000" s="14"/>
      <c r="C1000" s="14"/>
      <c r="D1000" s="14"/>
      <c r="E1000" s="14"/>
      <c r="F1000" s="14"/>
      <c r="T1000"/>
      <c r="AK1000" s="12"/>
      <c r="AL1000" s="1"/>
      <c r="AM1000" s="1"/>
      <c r="AN1000" s="1"/>
      <c r="AO1000" s="2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</row>
    <row r="1001" spans="1:60" x14ac:dyDescent="0.25">
      <c r="A1001" s="14"/>
      <c r="B1001" s="14"/>
      <c r="C1001" s="14"/>
      <c r="D1001" s="14"/>
      <c r="E1001" s="14"/>
      <c r="F1001" s="14"/>
      <c r="T1001"/>
      <c r="AK1001" s="12"/>
      <c r="AL1001" s="1"/>
      <c r="AM1001" s="1"/>
      <c r="AN1001" s="1"/>
      <c r="AO1001" s="2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</row>
    <row r="1002" spans="1:60" x14ac:dyDescent="0.25">
      <c r="A1002" s="14"/>
      <c r="B1002" s="14"/>
      <c r="C1002" s="14"/>
      <c r="D1002" s="14"/>
      <c r="E1002" s="14"/>
      <c r="F1002" s="14"/>
      <c r="T1002"/>
      <c r="AK1002" s="12"/>
      <c r="AL1002" s="1"/>
      <c r="AM1002" s="1"/>
      <c r="AN1002" s="1"/>
      <c r="AO1002" s="2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</row>
    <row r="1003" spans="1:60" x14ac:dyDescent="0.25">
      <c r="A1003" s="14"/>
      <c r="B1003" s="14"/>
      <c r="C1003" s="14"/>
      <c r="D1003" s="14"/>
      <c r="E1003" s="14"/>
      <c r="F1003" s="14"/>
      <c r="T1003"/>
      <c r="AK1003" s="12"/>
      <c r="AL1003" s="1"/>
      <c r="AM1003" s="1"/>
      <c r="AN1003" s="1"/>
      <c r="AO1003" s="2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</row>
    <row r="1004" spans="1:60" x14ac:dyDescent="0.25">
      <c r="A1004" s="14"/>
      <c r="B1004" s="14"/>
      <c r="C1004" s="14"/>
      <c r="D1004" s="14"/>
      <c r="E1004" s="14"/>
      <c r="F1004" s="14"/>
      <c r="T1004"/>
      <c r="AK1004" s="12"/>
      <c r="AL1004" s="1"/>
      <c r="AM1004" s="1"/>
      <c r="AN1004" s="1"/>
      <c r="AO1004" s="2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</row>
    <row r="1005" spans="1:60" x14ac:dyDescent="0.25">
      <c r="A1005" s="14"/>
      <c r="B1005" s="14"/>
      <c r="C1005" s="14"/>
      <c r="D1005" s="14"/>
      <c r="E1005" s="14"/>
      <c r="F1005" s="14"/>
      <c r="T1005"/>
      <c r="AK1005" s="12"/>
      <c r="AL1005" s="1"/>
      <c r="AM1005" s="1"/>
      <c r="AN1005" s="1"/>
      <c r="AO1005" s="2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</row>
    <row r="1006" spans="1:60" x14ac:dyDescent="0.25">
      <c r="A1006" s="14"/>
      <c r="B1006" s="14"/>
      <c r="C1006" s="14"/>
      <c r="D1006" s="14"/>
      <c r="E1006" s="14"/>
      <c r="F1006" s="14"/>
      <c r="T1006"/>
      <c r="AK1006" s="12"/>
      <c r="AL1006" s="1"/>
      <c r="AM1006" s="1"/>
      <c r="AN1006" s="1"/>
      <c r="AO1006" s="2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</row>
    <row r="1007" spans="1:60" x14ac:dyDescent="0.25">
      <c r="A1007" s="14"/>
      <c r="B1007" s="14"/>
      <c r="C1007" s="14"/>
      <c r="D1007" s="14"/>
      <c r="E1007" s="14"/>
      <c r="F1007" s="14"/>
      <c r="T1007"/>
      <c r="AK1007" s="12"/>
      <c r="AL1007" s="1"/>
      <c r="AM1007" s="1"/>
      <c r="AN1007" s="1"/>
      <c r="AO1007" s="2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</row>
    <row r="1008" spans="1:60" x14ac:dyDescent="0.25">
      <c r="A1008" s="14"/>
      <c r="B1008" s="14"/>
      <c r="C1008" s="14"/>
      <c r="D1008" s="14"/>
      <c r="E1008" s="14"/>
      <c r="F1008" s="14"/>
      <c r="T1008"/>
      <c r="AK1008" s="12"/>
      <c r="AL1008" s="1"/>
      <c r="AM1008" s="1"/>
      <c r="AN1008" s="1"/>
      <c r="AO1008" s="2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</row>
    <row r="1009" spans="1:60" x14ac:dyDescent="0.25">
      <c r="A1009" s="14"/>
      <c r="B1009" s="14"/>
      <c r="C1009" s="14"/>
      <c r="D1009" s="14"/>
      <c r="E1009" s="14"/>
      <c r="F1009" s="14"/>
      <c r="T1009"/>
      <c r="AK1009" s="12"/>
      <c r="AL1009" s="1"/>
      <c r="AM1009" s="1"/>
      <c r="AN1009" s="1"/>
      <c r="AO1009" s="2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</row>
    <row r="1010" spans="1:60" x14ac:dyDescent="0.25">
      <c r="A1010" s="14"/>
      <c r="B1010" s="14"/>
      <c r="C1010" s="14"/>
      <c r="D1010" s="14"/>
      <c r="E1010" s="14"/>
      <c r="F1010" s="14"/>
      <c r="T1010"/>
      <c r="AK1010" s="12"/>
      <c r="AL1010" s="1"/>
      <c r="AM1010" s="1"/>
      <c r="AN1010" s="1"/>
      <c r="AO1010" s="2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</row>
    <row r="1011" spans="1:60" x14ac:dyDescent="0.25">
      <c r="A1011" s="14"/>
      <c r="B1011" s="14"/>
      <c r="C1011" s="14"/>
      <c r="D1011" s="14"/>
      <c r="E1011" s="14"/>
      <c r="F1011" s="14"/>
      <c r="T1011"/>
      <c r="AK1011" s="12"/>
      <c r="AL1011" s="1"/>
      <c r="AM1011" s="1"/>
      <c r="AN1011" s="1"/>
      <c r="AO1011" s="2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</row>
    <row r="1012" spans="1:60" x14ac:dyDescent="0.25">
      <c r="A1012" s="14"/>
      <c r="B1012" s="14"/>
      <c r="C1012" s="14"/>
      <c r="D1012" s="14"/>
      <c r="E1012" s="14"/>
      <c r="F1012" s="14"/>
      <c r="T1012"/>
      <c r="AK1012" s="12"/>
      <c r="AL1012" s="1"/>
      <c r="AM1012" s="1"/>
      <c r="AN1012" s="1"/>
      <c r="AO1012" s="2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</row>
    <row r="1013" spans="1:60" x14ac:dyDescent="0.25">
      <c r="A1013" s="14"/>
      <c r="B1013" s="14"/>
      <c r="C1013" s="14"/>
      <c r="D1013" s="14"/>
      <c r="E1013" s="14"/>
      <c r="F1013" s="14"/>
      <c r="T1013"/>
      <c r="AK1013" s="12"/>
      <c r="AL1013" s="1"/>
      <c r="AM1013" s="1"/>
      <c r="AN1013" s="1"/>
      <c r="AO1013" s="2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</row>
    <row r="1014" spans="1:60" x14ac:dyDescent="0.25">
      <c r="A1014" s="14"/>
      <c r="B1014" s="14"/>
      <c r="C1014" s="14"/>
      <c r="D1014" s="14"/>
      <c r="E1014" s="14"/>
      <c r="F1014" s="14"/>
      <c r="T1014"/>
      <c r="AK1014" s="12"/>
      <c r="AL1014" s="1"/>
      <c r="AM1014" s="1"/>
      <c r="AN1014" s="1"/>
      <c r="AO1014" s="2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</row>
    <row r="1015" spans="1:60" x14ac:dyDescent="0.25">
      <c r="A1015" s="14"/>
      <c r="B1015" s="14"/>
      <c r="C1015" s="14"/>
      <c r="D1015" s="14"/>
      <c r="E1015" s="14"/>
      <c r="F1015" s="14"/>
      <c r="T1015"/>
      <c r="AK1015" s="12"/>
      <c r="AL1015" s="1"/>
      <c r="AM1015" s="1"/>
      <c r="AN1015" s="1"/>
      <c r="AO1015" s="2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</row>
    <row r="1016" spans="1:60" x14ac:dyDescent="0.25">
      <c r="A1016" s="14"/>
      <c r="B1016" s="14"/>
      <c r="C1016" s="14"/>
      <c r="D1016" s="14"/>
      <c r="E1016" s="14"/>
      <c r="F1016" s="14"/>
      <c r="T1016"/>
      <c r="AK1016" s="12"/>
      <c r="AL1016" s="1"/>
      <c r="AM1016" s="1"/>
      <c r="AN1016" s="1"/>
      <c r="AO1016" s="2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</row>
    <row r="1017" spans="1:60" x14ac:dyDescent="0.25">
      <c r="A1017" s="14"/>
      <c r="B1017" s="14"/>
      <c r="C1017" s="14"/>
      <c r="D1017" s="14"/>
      <c r="E1017" s="14"/>
      <c r="F1017" s="14"/>
      <c r="T1017"/>
      <c r="AK1017" s="12"/>
      <c r="AL1017" s="1"/>
      <c r="AM1017" s="1"/>
      <c r="AN1017" s="1"/>
      <c r="AO1017" s="2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</row>
    <row r="1018" spans="1:60" x14ac:dyDescent="0.25">
      <c r="A1018" s="14"/>
      <c r="B1018" s="14"/>
      <c r="C1018" s="14"/>
      <c r="D1018" s="14"/>
      <c r="E1018" s="14"/>
      <c r="F1018" s="14"/>
      <c r="T1018"/>
      <c r="AK1018" s="12"/>
      <c r="AL1018" s="1"/>
      <c r="AM1018" s="1"/>
      <c r="AN1018" s="1"/>
      <c r="AO1018" s="2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</row>
    <row r="1019" spans="1:60" x14ac:dyDescent="0.25">
      <c r="A1019" s="14"/>
      <c r="B1019" s="14"/>
      <c r="C1019" s="14"/>
      <c r="D1019" s="14"/>
      <c r="E1019" s="14"/>
      <c r="F1019" s="14"/>
      <c r="T1019"/>
      <c r="AK1019" s="12"/>
      <c r="AL1019" s="1"/>
      <c r="AM1019" s="1"/>
      <c r="AN1019" s="1"/>
      <c r="AO1019" s="2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</row>
    <row r="1020" spans="1:60" x14ac:dyDescent="0.25">
      <c r="A1020" s="14"/>
      <c r="B1020" s="14"/>
      <c r="C1020" s="14"/>
      <c r="D1020" s="14"/>
      <c r="E1020" s="14"/>
      <c r="F1020" s="14"/>
      <c r="T1020"/>
      <c r="AK1020" s="12"/>
      <c r="AL1020" s="1"/>
      <c r="AM1020" s="1"/>
      <c r="AN1020" s="1"/>
      <c r="AO1020" s="2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</row>
    <row r="1021" spans="1:60" x14ac:dyDescent="0.25">
      <c r="A1021" s="14"/>
      <c r="B1021" s="14"/>
      <c r="C1021" s="14"/>
      <c r="D1021" s="14"/>
      <c r="E1021" s="14"/>
      <c r="F1021" s="14"/>
      <c r="T1021"/>
      <c r="AK1021" s="12"/>
      <c r="AL1021" s="1"/>
      <c r="AM1021" s="1"/>
      <c r="AN1021" s="1"/>
      <c r="AO1021" s="2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</row>
    <row r="1022" spans="1:60" x14ac:dyDescent="0.25">
      <c r="A1022" s="14"/>
      <c r="B1022" s="14"/>
      <c r="C1022" s="14"/>
      <c r="D1022" s="14"/>
      <c r="E1022" s="14"/>
      <c r="F1022" s="14"/>
      <c r="T1022"/>
      <c r="AK1022" s="12"/>
      <c r="AL1022" s="1"/>
      <c r="AM1022" s="1"/>
      <c r="AN1022" s="1"/>
      <c r="AO1022" s="2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</row>
    <row r="1023" spans="1:60" x14ac:dyDescent="0.25">
      <c r="A1023" s="14"/>
      <c r="B1023" s="14"/>
      <c r="C1023" s="14"/>
      <c r="D1023" s="14"/>
      <c r="E1023" s="14"/>
      <c r="F1023" s="14"/>
      <c r="T1023"/>
      <c r="AK1023" s="12"/>
      <c r="AL1023" s="1"/>
      <c r="AM1023" s="1"/>
      <c r="AN1023" s="1"/>
      <c r="AO1023" s="2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</row>
    <row r="1024" spans="1:60" x14ac:dyDescent="0.25">
      <c r="A1024" s="14"/>
      <c r="B1024" s="14"/>
      <c r="C1024" s="14"/>
      <c r="D1024" s="14"/>
      <c r="E1024" s="14"/>
      <c r="F1024" s="14"/>
      <c r="T1024"/>
      <c r="AK1024" s="12"/>
      <c r="AL1024" s="1"/>
      <c r="AM1024" s="1"/>
      <c r="AN1024" s="1"/>
      <c r="AO1024" s="2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</row>
    <row r="1025" spans="1:60" x14ac:dyDescent="0.25">
      <c r="A1025" s="14"/>
      <c r="B1025" s="14"/>
      <c r="C1025" s="14"/>
      <c r="D1025" s="14"/>
      <c r="E1025" s="14"/>
      <c r="F1025" s="14"/>
      <c r="T1025"/>
      <c r="AK1025" s="12"/>
      <c r="AL1025" s="1"/>
      <c r="AM1025" s="1"/>
      <c r="AN1025" s="1"/>
      <c r="AO1025" s="2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</row>
    <row r="1026" spans="1:60" x14ac:dyDescent="0.25">
      <c r="A1026" s="14"/>
      <c r="B1026" s="14"/>
      <c r="C1026" s="14"/>
      <c r="D1026" s="14"/>
      <c r="E1026" s="14"/>
      <c r="F1026" s="14"/>
      <c r="T1026"/>
      <c r="AK1026" s="12"/>
      <c r="AL1026" s="1"/>
      <c r="AM1026" s="1"/>
      <c r="AN1026" s="1"/>
      <c r="AO1026" s="2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</row>
    <row r="1027" spans="1:60" x14ac:dyDescent="0.25">
      <c r="A1027" s="14"/>
      <c r="B1027" s="14"/>
      <c r="C1027" s="14"/>
      <c r="D1027" s="14"/>
      <c r="E1027" s="14"/>
      <c r="F1027" s="14"/>
      <c r="T1027"/>
      <c r="AK1027" s="12"/>
      <c r="AL1027" s="1"/>
      <c r="AM1027" s="1"/>
      <c r="AN1027" s="1"/>
      <c r="AO1027" s="2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</row>
    <row r="1028" spans="1:60" x14ac:dyDescent="0.25">
      <c r="A1028" s="14"/>
      <c r="B1028" s="14"/>
      <c r="C1028" s="14"/>
      <c r="D1028" s="14"/>
      <c r="E1028" s="14"/>
      <c r="F1028" s="14"/>
      <c r="T1028"/>
      <c r="AK1028" s="12"/>
      <c r="AL1028" s="1"/>
      <c r="AM1028" s="1"/>
      <c r="AN1028" s="1"/>
      <c r="AO1028" s="2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</row>
    <row r="1029" spans="1:60" x14ac:dyDescent="0.25">
      <c r="A1029" s="14"/>
      <c r="B1029" s="14"/>
      <c r="C1029" s="14"/>
      <c r="D1029" s="14"/>
      <c r="E1029" s="14"/>
      <c r="F1029" s="14"/>
      <c r="T1029"/>
      <c r="AK1029" s="12"/>
      <c r="AL1029" s="1"/>
      <c r="AM1029" s="1"/>
      <c r="AN1029" s="1"/>
      <c r="AO1029" s="2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</row>
    <row r="1030" spans="1:60" x14ac:dyDescent="0.25">
      <c r="A1030" s="14"/>
      <c r="B1030" s="14"/>
      <c r="C1030" s="14"/>
      <c r="D1030" s="14"/>
      <c r="E1030" s="14"/>
      <c r="F1030" s="14"/>
      <c r="T1030"/>
      <c r="AK1030" s="12"/>
      <c r="AL1030" s="1"/>
      <c r="AM1030" s="1"/>
      <c r="AN1030" s="1"/>
      <c r="AO1030" s="2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</row>
    <row r="1031" spans="1:60" x14ac:dyDescent="0.25">
      <c r="A1031" s="14"/>
      <c r="B1031" s="14"/>
      <c r="C1031" s="14"/>
      <c r="D1031" s="14"/>
      <c r="E1031" s="14"/>
      <c r="F1031" s="14"/>
      <c r="T1031"/>
      <c r="AK1031" s="12"/>
      <c r="AL1031" s="1"/>
      <c r="AM1031" s="1"/>
      <c r="AN1031" s="1"/>
      <c r="AO1031" s="2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</row>
    <row r="1032" spans="1:60" x14ac:dyDescent="0.25">
      <c r="A1032" s="14"/>
      <c r="B1032" s="14"/>
      <c r="C1032" s="14"/>
      <c r="D1032" s="14"/>
      <c r="E1032" s="14"/>
      <c r="F1032" s="14"/>
      <c r="T1032"/>
      <c r="AK1032" s="12"/>
      <c r="AL1032" s="1"/>
      <c r="AM1032" s="1"/>
      <c r="AN1032" s="1"/>
      <c r="AO1032" s="2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</row>
    <row r="1033" spans="1:60" x14ac:dyDescent="0.25">
      <c r="A1033" s="14"/>
      <c r="B1033" s="14"/>
      <c r="C1033" s="14"/>
      <c r="D1033" s="14"/>
      <c r="E1033" s="14"/>
      <c r="F1033" s="14"/>
      <c r="T1033"/>
      <c r="AK1033" s="12"/>
      <c r="AL1033" s="1"/>
      <c r="AM1033" s="1"/>
      <c r="AN1033" s="1"/>
      <c r="AO1033" s="2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</row>
    <row r="1034" spans="1:60" x14ac:dyDescent="0.25">
      <c r="A1034" s="14"/>
      <c r="B1034" s="14"/>
      <c r="C1034" s="14"/>
      <c r="D1034" s="14"/>
      <c r="E1034" s="14"/>
      <c r="F1034" s="14"/>
      <c r="T1034"/>
      <c r="AK1034" s="12"/>
      <c r="AL1034" s="1"/>
      <c r="AM1034" s="1"/>
      <c r="AN1034" s="1"/>
      <c r="AO1034" s="2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</row>
    <row r="1035" spans="1:60" x14ac:dyDescent="0.25">
      <c r="A1035" s="14"/>
      <c r="B1035" s="14"/>
      <c r="C1035" s="14"/>
      <c r="D1035" s="14"/>
      <c r="E1035" s="14"/>
      <c r="F1035" s="14"/>
      <c r="T1035"/>
      <c r="AK1035" s="12"/>
      <c r="AL1035" s="1"/>
      <c r="AM1035" s="1"/>
      <c r="AN1035" s="1"/>
      <c r="AO1035" s="2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</row>
    <row r="1036" spans="1:60" x14ac:dyDescent="0.25">
      <c r="A1036" s="14"/>
      <c r="B1036" s="14"/>
      <c r="C1036" s="14"/>
      <c r="D1036" s="14"/>
      <c r="E1036" s="14"/>
      <c r="F1036" s="14"/>
      <c r="T1036"/>
      <c r="AK1036" s="12"/>
      <c r="AL1036" s="1"/>
      <c r="AM1036" s="1"/>
      <c r="AN1036" s="1"/>
      <c r="AO1036" s="2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</row>
    <row r="1037" spans="1:60" x14ac:dyDescent="0.25">
      <c r="A1037" s="14"/>
      <c r="B1037" s="14"/>
      <c r="C1037" s="14"/>
      <c r="D1037" s="14"/>
      <c r="E1037" s="14"/>
      <c r="F1037" s="14"/>
      <c r="T1037"/>
      <c r="AK1037" s="12"/>
      <c r="AL1037" s="1"/>
      <c r="AM1037" s="1"/>
      <c r="AN1037" s="1"/>
      <c r="AO1037" s="2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</row>
    <row r="1038" spans="1:60" x14ac:dyDescent="0.25">
      <c r="A1038" s="14"/>
      <c r="B1038" s="14"/>
      <c r="C1038" s="14"/>
      <c r="D1038" s="14"/>
      <c r="E1038" s="14"/>
      <c r="F1038" s="14"/>
      <c r="T1038"/>
      <c r="AK1038" s="12"/>
      <c r="AL1038" s="1"/>
      <c r="AM1038" s="1"/>
      <c r="AN1038" s="1"/>
      <c r="AO1038" s="2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</row>
    <row r="1039" spans="1:60" x14ac:dyDescent="0.25">
      <c r="A1039" s="14"/>
      <c r="B1039" s="14"/>
      <c r="C1039" s="14"/>
      <c r="D1039" s="14"/>
      <c r="E1039" s="14"/>
      <c r="F1039" s="14"/>
      <c r="T1039"/>
      <c r="AK1039" s="12"/>
      <c r="AL1039" s="1"/>
      <c r="AM1039" s="1"/>
      <c r="AN1039" s="1"/>
      <c r="AO1039" s="2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</row>
    <row r="1040" spans="1:60" x14ac:dyDescent="0.25">
      <c r="A1040" s="14"/>
      <c r="B1040" s="14"/>
      <c r="C1040" s="14"/>
      <c r="D1040" s="14"/>
      <c r="E1040" s="14"/>
      <c r="F1040" s="14"/>
      <c r="T1040"/>
      <c r="AK1040" s="12"/>
      <c r="AL1040" s="1"/>
      <c r="AM1040" s="1"/>
      <c r="AN1040" s="1"/>
      <c r="AO1040" s="2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</row>
    <row r="1041" spans="1:60" x14ac:dyDescent="0.25">
      <c r="A1041" s="14"/>
      <c r="B1041" s="14"/>
      <c r="C1041" s="14"/>
      <c r="D1041" s="14"/>
      <c r="E1041" s="14"/>
      <c r="F1041" s="14"/>
      <c r="T1041"/>
      <c r="AK1041" s="12"/>
      <c r="AL1041" s="1"/>
      <c r="AM1041" s="1"/>
      <c r="AN1041" s="1"/>
      <c r="AO1041" s="2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</row>
    <row r="1042" spans="1:60" x14ac:dyDescent="0.25">
      <c r="A1042" s="14"/>
      <c r="B1042" s="14"/>
      <c r="C1042" s="14"/>
      <c r="D1042" s="14"/>
      <c r="E1042" s="14"/>
      <c r="F1042" s="14"/>
      <c r="T1042"/>
      <c r="AK1042" s="12"/>
      <c r="AL1042" s="1"/>
      <c r="AM1042" s="1"/>
      <c r="AN1042" s="1"/>
      <c r="AO1042" s="2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</row>
    <row r="1043" spans="1:60" x14ac:dyDescent="0.25">
      <c r="A1043" s="14"/>
      <c r="B1043" s="14"/>
      <c r="C1043" s="14"/>
      <c r="D1043" s="14"/>
      <c r="E1043" s="14"/>
      <c r="F1043" s="14"/>
      <c r="T1043"/>
      <c r="AK1043" s="12"/>
      <c r="AL1043" s="1"/>
      <c r="AM1043" s="1"/>
      <c r="AN1043" s="1"/>
      <c r="AO1043" s="2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</row>
    <row r="1044" spans="1:60" x14ac:dyDescent="0.25">
      <c r="A1044" s="14"/>
      <c r="B1044" s="14"/>
      <c r="C1044" s="14"/>
      <c r="D1044" s="14"/>
      <c r="E1044" s="14"/>
      <c r="F1044" s="14"/>
      <c r="T1044"/>
      <c r="AK1044" s="12"/>
      <c r="AL1044" s="1"/>
      <c r="AM1044" s="1"/>
      <c r="AN1044" s="1"/>
      <c r="AO1044" s="2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</row>
    <row r="1045" spans="1:60" x14ac:dyDescent="0.25">
      <c r="A1045" s="14"/>
      <c r="B1045" s="14"/>
      <c r="C1045" s="14"/>
      <c r="D1045" s="14"/>
      <c r="E1045" s="14"/>
      <c r="F1045" s="14"/>
      <c r="T1045"/>
      <c r="AK1045" s="12"/>
      <c r="AL1045" s="1"/>
      <c r="AM1045" s="1"/>
      <c r="AN1045" s="1"/>
      <c r="AO1045" s="2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</row>
    <row r="1046" spans="1:60" x14ac:dyDescent="0.25">
      <c r="A1046" s="14"/>
      <c r="B1046" s="14"/>
      <c r="C1046" s="14"/>
      <c r="D1046" s="14"/>
      <c r="E1046" s="14"/>
      <c r="F1046" s="14"/>
      <c r="T1046"/>
      <c r="AK1046" s="12"/>
      <c r="AL1046" s="1"/>
      <c r="AM1046" s="1"/>
      <c r="AN1046" s="1"/>
      <c r="AO1046" s="2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</row>
    <row r="1047" spans="1:60" x14ac:dyDescent="0.25">
      <c r="A1047" s="14"/>
      <c r="B1047" s="14"/>
      <c r="C1047" s="14"/>
      <c r="D1047" s="14"/>
      <c r="E1047" s="14"/>
      <c r="F1047" s="14"/>
      <c r="T1047"/>
      <c r="AK1047" s="12"/>
      <c r="AL1047" s="1"/>
      <c r="AM1047" s="1"/>
      <c r="AN1047" s="1"/>
      <c r="AO1047" s="2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</row>
    <row r="1048" spans="1:60" x14ac:dyDescent="0.25">
      <c r="A1048" s="14"/>
      <c r="B1048" s="14"/>
      <c r="C1048" s="14"/>
      <c r="D1048" s="14"/>
      <c r="E1048" s="14"/>
      <c r="F1048" s="14"/>
      <c r="T1048"/>
      <c r="AK1048" s="12"/>
      <c r="AL1048" s="1"/>
      <c r="AM1048" s="1"/>
      <c r="AN1048" s="1"/>
      <c r="AO1048" s="2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</row>
    <row r="1049" spans="1:60" x14ac:dyDescent="0.25">
      <c r="A1049" s="14"/>
      <c r="B1049" s="14"/>
      <c r="C1049" s="14"/>
      <c r="D1049" s="14"/>
      <c r="E1049" s="14"/>
      <c r="F1049" s="14"/>
      <c r="T1049"/>
      <c r="AK1049" s="12"/>
      <c r="AL1049" s="1"/>
      <c r="AM1049" s="1"/>
      <c r="AN1049" s="1"/>
      <c r="AO1049" s="2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</row>
    <row r="1050" spans="1:60" x14ac:dyDescent="0.25">
      <c r="A1050" s="14"/>
      <c r="B1050" s="14"/>
      <c r="C1050" s="14"/>
      <c r="D1050" s="14"/>
      <c r="E1050" s="14"/>
      <c r="F1050" s="14"/>
      <c r="T1050"/>
      <c r="AK1050" s="12"/>
      <c r="AL1050" s="1"/>
      <c r="AM1050" s="1"/>
      <c r="AN1050" s="1"/>
      <c r="AO1050" s="2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</row>
    <row r="1051" spans="1:60" x14ac:dyDescent="0.25">
      <c r="A1051" s="14"/>
      <c r="B1051" s="14"/>
      <c r="C1051" s="14"/>
      <c r="D1051" s="14"/>
      <c r="E1051" s="14"/>
      <c r="F1051" s="14"/>
      <c r="T1051"/>
      <c r="AK1051" s="12"/>
      <c r="AL1051" s="1"/>
      <c r="AM1051" s="1"/>
      <c r="AN1051" s="1"/>
      <c r="AO1051" s="2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</row>
    <row r="1052" spans="1:60" x14ac:dyDescent="0.25">
      <c r="A1052" s="14"/>
      <c r="B1052" s="14"/>
      <c r="C1052" s="14"/>
      <c r="D1052" s="14"/>
      <c r="E1052" s="14"/>
      <c r="F1052" s="14"/>
      <c r="T1052"/>
      <c r="AK1052" s="12"/>
      <c r="AL1052" s="1"/>
      <c r="AM1052" s="1"/>
      <c r="AN1052" s="1"/>
      <c r="AO1052" s="2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</row>
    <row r="1053" spans="1:60" x14ac:dyDescent="0.25">
      <c r="A1053" s="14"/>
      <c r="B1053" s="14"/>
      <c r="C1053" s="14"/>
      <c r="D1053" s="14"/>
      <c r="E1053" s="14"/>
      <c r="F1053" s="14"/>
      <c r="T1053"/>
      <c r="AK1053" s="12"/>
      <c r="AL1053" s="1"/>
      <c r="AM1053" s="1"/>
      <c r="AN1053" s="1"/>
      <c r="AO1053" s="2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</row>
    <row r="1054" spans="1:60" x14ac:dyDescent="0.25">
      <c r="A1054" s="14"/>
      <c r="B1054" s="14"/>
      <c r="C1054" s="14"/>
      <c r="D1054" s="14"/>
      <c r="E1054" s="14"/>
      <c r="F1054" s="14"/>
      <c r="T1054"/>
      <c r="AK1054" s="12"/>
      <c r="AL1054" s="1"/>
      <c r="AM1054" s="1"/>
      <c r="AN1054" s="1"/>
      <c r="AO1054" s="2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</row>
    <row r="1055" spans="1:60" x14ac:dyDescent="0.25">
      <c r="A1055" s="14"/>
      <c r="B1055" s="14"/>
      <c r="C1055" s="14"/>
      <c r="D1055" s="14"/>
      <c r="E1055" s="14"/>
      <c r="F1055" s="14"/>
      <c r="T1055"/>
      <c r="AK1055" s="12"/>
      <c r="AL1055" s="1"/>
      <c r="AM1055" s="1"/>
      <c r="AN1055" s="1"/>
      <c r="AO1055" s="2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</row>
    <row r="1056" spans="1:60" x14ac:dyDescent="0.25">
      <c r="A1056" s="14"/>
      <c r="B1056" s="14"/>
      <c r="C1056" s="14"/>
      <c r="D1056" s="14"/>
      <c r="E1056" s="14"/>
      <c r="F1056" s="14"/>
      <c r="T1056"/>
      <c r="AK1056" s="12"/>
      <c r="AL1056" s="1"/>
      <c r="AM1056" s="1"/>
      <c r="AN1056" s="1"/>
      <c r="AO1056" s="2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</row>
    <row r="1057" spans="1:60" x14ac:dyDescent="0.25">
      <c r="A1057" s="14"/>
      <c r="B1057" s="14"/>
      <c r="C1057" s="14"/>
      <c r="D1057" s="14"/>
      <c r="E1057" s="14"/>
      <c r="F1057" s="14"/>
      <c r="T1057"/>
      <c r="AK1057" s="12"/>
      <c r="AL1057" s="1"/>
      <c r="AM1057" s="1"/>
      <c r="AN1057" s="1"/>
      <c r="AO1057" s="2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</row>
    <row r="1058" spans="1:60" x14ac:dyDescent="0.25">
      <c r="A1058" s="14"/>
      <c r="B1058" s="14"/>
      <c r="C1058" s="14"/>
      <c r="D1058" s="14"/>
      <c r="E1058" s="14"/>
      <c r="F1058" s="14"/>
      <c r="T1058"/>
      <c r="AK1058" s="12"/>
      <c r="AL1058" s="1"/>
      <c r="AM1058" s="1"/>
      <c r="AN1058" s="1"/>
      <c r="AO1058" s="2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</row>
    <row r="1059" spans="1:60" x14ac:dyDescent="0.25">
      <c r="A1059" s="14"/>
      <c r="B1059" s="14"/>
      <c r="C1059" s="14"/>
      <c r="D1059" s="14"/>
      <c r="E1059" s="14"/>
      <c r="F1059" s="14"/>
      <c r="T1059"/>
      <c r="AK1059" s="12"/>
      <c r="AL1059" s="1"/>
      <c r="AM1059" s="1"/>
      <c r="AN1059" s="1"/>
      <c r="AO1059" s="2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</row>
    <row r="1060" spans="1:60" x14ac:dyDescent="0.25">
      <c r="A1060" s="14"/>
      <c r="B1060" s="14"/>
      <c r="C1060" s="14"/>
      <c r="D1060" s="14"/>
      <c r="E1060" s="14"/>
      <c r="F1060" s="14"/>
      <c r="T1060"/>
      <c r="AK1060" s="12"/>
      <c r="AL1060" s="1"/>
      <c r="AM1060" s="1"/>
      <c r="AN1060" s="1"/>
      <c r="AO1060" s="2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</row>
    <row r="1061" spans="1:60" x14ac:dyDescent="0.25">
      <c r="A1061" s="14"/>
      <c r="B1061" s="14"/>
      <c r="C1061" s="14"/>
      <c r="D1061" s="14"/>
      <c r="E1061" s="14"/>
      <c r="F1061" s="14"/>
      <c r="T1061"/>
      <c r="AK1061" s="12"/>
      <c r="AL1061" s="1"/>
      <c r="AM1061" s="1"/>
      <c r="AN1061" s="1"/>
      <c r="AO1061" s="2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</row>
    <row r="1062" spans="1:60" x14ac:dyDescent="0.25">
      <c r="A1062" s="14"/>
      <c r="B1062" s="14"/>
      <c r="C1062" s="14"/>
      <c r="D1062" s="14"/>
      <c r="E1062" s="14"/>
      <c r="F1062" s="14"/>
      <c r="T1062"/>
      <c r="AK1062" s="12"/>
      <c r="AL1062" s="1"/>
      <c r="AM1062" s="1"/>
      <c r="AN1062" s="1"/>
      <c r="AO1062" s="2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</row>
    <row r="1063" spans="1:60" x14ac:dyDescent="0.25">
      <c r="A1063" s="14"/>
      <c r="B1063" s="14"/>
      <c r="C1063" s="14"/>
      <c r="D1063" s="14"/>
      <c r="E1063" s="14"/>
      <c r="F1063" s="14"/>
      <c r="T1063"/>
      <c r="AK1063" s="12"/>
      <c r="AL1063" s="1"/>
      <c r="AM1063" s="1"/>
      <c r="AN1063" s="1"/>
      <c r="AO1063" s="2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</row>
    <row r="1064" spans="1:60" x14ac:dyDescent="0.25">
      <c r="A1064" s="14"/>
      <c r="B1064" s="14"/>
      <c r="C1064" s="14"/>
      <c r="D1064" s="14"/>
      <c r="E1064" s="14"/>
      <c r="F1064" s="14"/>
      <c r="T1064"/>
      <c r="AK1064" s="12"/>
      <c r="AL1064" s="1"/>
      <c r="AM1064" s="1"/>
      <c r="AN1064" s="1"/>
      <c r="AO1064" s="2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</row>
    <row r="1065" spans="1:60" x14ac:dyDescent="0.25">
      <c r="A1065" s="14"/>
      <c r="B1065" s="14"/>
      <c r="C1065" s="14"/>
      <c r="D1065" s="14"/>
      <c r="E1065" s="14"/>
      <c r="F1065" s="14"/>
      <c r="T1065"/>
      <c r="AK1065" s="12"/>
      <c r="AL1065" s="1"/>
      <c r="AM1065" s="1"/>
      <c r="AN1065" s="1"/>
      <c r="AO1065" s="2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</row>
    <row r="1066" spans="1:60" x14ac:dyDescent="0.25">
      <c r="A1066" s="14"/>
      <c r="B1066" s="14"/>
      <c r="C1066" s="14"/>
      <c r="D1066" s="14"/>
      <c r="E1066" s="14"/>
      <c r="F1066" s="14"/>
      <c r="T1066"/>
      <c r="AK1066" s="12"/>
      <c r="AL1066" s="1"/>
      <c r="AM1066" s="1"/>
      <c r="AN1066" s="1"/>
      <c r="AO1066" s="2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</row>
    <row r="1067" spans="1:60" x14ac:dyDescent="0.25">
      <c r="A1067" s="14"/>
      <c r="B1067" s="14"/>
      <c r="C1067" s="14"/>
      <c r="D1067" s="14"/>
      <c r="E1067" s="14"/>
      <c r="F1067" s="14"/>
      <c r="T1067"/>
      <c r="AK1067" s="12"/>
      <c r="AL1067" s="1"/>
      <c r="AM1067" s="1"/>
      <c r="AN1067" s="1"/>
      <c r="AO1067" s="2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</row>
    <row r="1068" spans="1:60" x14ac:dyDescent="0.25">
      <c r="A1068" s="14"/>
      <c r="B1068" s="14"/>
      <c r="C1068" s="14"/>
      <c r="D1068" s="14"/>
      <c r="E1068" s="14"/>
      <c r="F1068" s="14"/>
      <c r="T1068"/>
      <c r="AK1068" s="12"/>
      <c r="AL1068" s="1"/>
      <c r="AM1068" s="1"/>
      <c r="AN1068" s="1"/>
      <c r="AO1068" s="2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</row>
    <row r="1069" spans="1:60" x14ac:dyDescent="0.25">
      <c r="A1069" s="14"/>
      <c r="B1069" s="14"/>
      <c r="C1069" s="14"/>
      <c r="D1069" s="14"/>
      <c r="E1069" s="14"/>
      <c r="F1069" s="14"/>
      <c r="T1069"/>
      <c r="AK1069" s="12"/>
      <c r="AL1069" s="1"/>
      <c r="AM1069" s="1"/>
      <c r="AN1069" s="1"/>
      <c r="AO1069" s="2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</row>
    <row r="1070" spans="1:60" x14ac:dyDescent="0.25">
      <c r="A1070" s="14"/>
      <c r="B1070" s="14"/>
      <c r="C1070" s="14"/>
      <c r="D1070" s="14"/>
      <c r="E1070" s="14"/>
      <c r="F1070" s="14"/>
      <c r="T1070"/>
      <c r="AK1070" s="12"/>
      <c r="AL1070" s="1"/>
      <c r="AM1070" s="1"/>
      <c r="AN1070" s="1"/>
      <c r="AO1070" s="2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</row>
    <row r="1071" spans="1:60" x14ac:dyDescent="0.25">
      <c r="A1071" s="14"/>
      <c r="B1071" s="14"/>
      <c r="C1071" s="14"/>
      <c r="D1071" s="14"/>
      <c r="E1071" s="14"/>
      <c r="F1071" s="14"/>
      <c r="T1071"/>
      <c r="AK1071" s="12"/>
      <c r="AL1071" s="1"/>
      <c r="AM1071" s="1"/>
      <c r="AN1071" s="1"/>
      <c r="AO1071" s="2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</row>
    <row r="1072" spans="1:60" x14ac:dyDescent="0.25">
      <c r="A1072" s="14"/>
      <c r="B1072" s="14"/>
      <c r="C1072" s="14"/>
      <c r="D1072" s="14"/>
      <c r="E1072" s="14"/>
      <c r="F1072" s="14"/>
      <c r="T1072"/>
      <c r="AK1072" s="12"/>
      <c r="AL1072" s="1"/>
      <c r="AM1072" s="1"/>
      <c r="AN1072" s="1"/>
      <c r="AO1072" s="2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</row>
    <row r="1073" spans="1:60" x14ac:dyDescent="0.25">
      <c r="A1073" s="14"/>
      <c r="B1073" s="14"/>
      <c r="C1073" s="14"/>
      <c r="D1073" s="14"/>
      <c r="E1073" s="14"/>
      <c r="F1073" s="14"/>
      <c r="T1073"/>
      <c r="AK1073" s="12"/>
      <c r="AL1073" s="1"/>
      <c r="AM1073" s="1"/>
      <c r="AN1073" s="1"/>
      <c r="AO1073" s="2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</row>
    <row r="1074" spans="1:60" x14ac:dyDescent="0.25">
      <c r="A1074" s="14"/>
      <c r="B1074" s="14"/>
      <c r="C1074" s="14"/>
      <c r="D1074" s="14"/>
      <c r="E1074" s="14"/>
      <c r="F1074" s="14"/>
      <c r="T1074"/>
      <c r="AK1074" s="12"/>
      <c r="AL1074" s="1"/>
      <c r="AM1074" s="1"/>
      <c r="AN1074" s="1"/>
      <c r="AO1074" s="2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</row>
    <row r="1075" spans="1:60" x14ac:dyDescent="0.25">
      <c r="A1075" s="14"/>
      <c r="B1075" s="14"/>
      <c r="C1075" s="14"/>
      <c r="D1075" s="14"/>
      <c r="E1075" s="14"/>
      <c r="F1075" s="14"/>
      <c r="T1075"/>
      <c r="AK1075" s="12"/>
      <c r="AL1075" s="1"/>
      <c r="AM1075" s="1"/>
      <c r="AN1075" s="1"/>
      <c r="AO1075" s="2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</row>
    <row r="1076" spans="1:60" x14ac:dyDescent="0.25">
      <c r="A1076" s="14"/>
      <c r="B1076" s="14"/>
      <c r="C1076" s="14"/>
      <c r="D1076" s="14"/>
      <c r="E1076" s="14"/>
      <c r="F1076" s="14"/>
      <c r="T1076"/>
      <c r="AK1076" s="12"/>
      <c r="AL1076" s="1"/>
      <c r="AM1076" s="1"/>
      <c r="AN1076" s="1"/>
      <c r="AO1076" s="2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</row>
    <row r="1077" spans="1:60" x14ac:dyDescent="0.25">
      <c r="A1077" s="14"/>
      <c r="B1077" s="14"/>
      <c r="C1077" s="14"/>
      <c r="D1077" s="14"/>
      <c r="E1077" s="14"/>
      <c r="F1077" s="14"/>
      <c r="T1077"/>
      <c r="AK1077" s="12"/>
      <c r="AL1077" s="1"/>
      <c r="AM1077" s="1"/>
      <c r="AN1077" s="1"/>
      <c r="AO1077" s="2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</row>
    <row r="1078" spans="1:60" x14ac:dyDescent="0.25">
      <c r="A1078" s="14"/>
      <c r="B1078" s="14"/>
      <c r="C1078" s="14"/>
      <c r="D1078" s="14"/>
      <c r="E1078" s="14"/>
      <c r="F1078" s="14"/>
      <c r="T1078"/>
      <c r="AK1078" s="12"/>
      <c r="AL1078" s="1"/>
      <c r="AM1078" s="1"/>
      <c r="AN1078" s="1"/>
      <c r="AO1078" s="2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</row>
    <row r="1079" spans="1:60" x14ac:dyDescent="0.25">
      <c r="A1079" s="14"/>
      <c r="B1079" s="14"/>
      <c r="C1079" s="14"/>
      <c r="D1079" s="14"/>
      <c r="E1079" s="14"/>
      <c r="F1079" s="14"/>
      <c r="T1079"/>
      <c r="AK1079" s="12"/>
      <c r="AL1079" s="1"/>
      <c r="AM1079" s="1"/>
      <c r="AN1079" s="1"/>
      <c r="AO1079" s="2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</row>
    <row r="1080" spans="1:60" x14ac:dyDescent="0.25">
      <c r="A1080" s="14"/>
      <c r="B1080" s="14"/>
      <c r="C1080" s="14"/>
      <c r="D1080" s="14"/>
      <c r="E1080" s="14"/>
      <c r="F1080" s="14"/>
      <c r="T1080"/>
      <c r="AK1080" s="12"/>
      <c r="AL1080" s="1"/>
      <c r="AM1080" s="1"/>
      <c r="AN1080" s="1"/>
      <c r="AO1080" s="2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</row>
    <row r="1081" spans="1:60" x14ac:dyDescent="0.25">
      <c r="A1081" s="14"/>
      <c r="B1081" s="14"/>
      <c r="C1081" s="14"/>
      <c r="D1081" s="14"/>
      <c r="E1081" s="14"/>
      <c r="F1081" s="14"/>
      <c r="T1081"/>
      <c r="AK1081" s="12"/>
      <c r="AL1081" s="1"/>
      <c r="AM1081" s="1"/>
      <c r="AN1081" s="1"/>
      <c r="AO1081" s="2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</row>
    <row r="1082" spans="1:60" x14ac:dyDescent="0.25">
      <c r="A1082" s="14"/>
      <c r="B1082" s="14"/>
      <c r="C1082" s="14"/>
      <c r="D1082" s="14"/>
      <c r="E1082" s="14"/>
      <c r="F1082" s="14"/>
      <c r="T1082"/>
      <c r="AK1082" s="12"/>
      <c r="AL1082" s="1"/>
      <c r="AM1082" s="1"/>
      <c r="AN1082" s="1"/>
      <c r="AO1082" s="2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</row>
    <row r="1083" spans="1:60" x14ac:dyDescent="0.25">
      <c r="A1083" s="14"/>
      <c r="B1083" s="14"/>
      <c r="C1083" s="14"/>
      <c r="D1083" s="14"/>
      <c r="E1083" s="14"/>
      <c r="F1083" s="14"/>
      <c r="T1083"/>
      <c r="AK1083" s="12"/>
      <c r="AL1083" s="1"/>
      <c r="AM1083" s="1"/>
      <c r="AN1083" s="1"/>
      <c r="AO1083" s="2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</row>
    <row r="1084" spans="1:60" x14ac:dyDescent="0.25">
      <c r="A1084" s="14"/>
      <c r="B1084" s="14"/>
      <c r="C1084" s="14"/>
      <c r="D1084" s="14"/>
      <c r="E1084" s="14"/>
      <c r="F1084" s="14"/>
      <c r="T1084"/>
      <c r="AK1084" s="12"/>
      <c r="AL1084" s="1"/>
      <c r="AM1084" s="1"/>
      <c r="AN1084" s="1"/>
      <c r="AO1084" s="2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</row>
    <row r="1085" spans="1:60" x14ac:dyDescent="0.25">
      <c r="A1085" s="14"/>
      <c r="B1085" s="14"/>
      <c r="C1085" s="14"/>
      <c r="D1085" s="14"/>
      <c r="E1085" s="14"/>
      <c r="F1085" s="14"/>
      <c r="T1085"/>
      <c r="AK1085" s="12"/>
      <c r="AL1085" s="1"/>
      <c r="AM1085" s="1"/>
      <c r="AN1085" s="1"/>
      <c r="AO1085" s="2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</row>
    <row r="1086" spans="1:60" x14ac:dyDescent="0.25">
      <c r="A1086" s="14"/>
      <c r="B1086" s="14"/>
      <c r="C1086" s="14"/>
      <c r="D1086" s="14"/>
      <c r="E1086" s="14"/>
      <c r="F1086" s="14"/>
      <c r="T1086"/>
      <c r="AK1086" s="12"/>
      <c r="AL1086" s="1"/>
      <c r="AM1086" s="1"/>
      <c r="AN1086" s="1"/>
      <c r="AO1086" s="2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</row>
    <row r="1087" spans="1:60" x14ac:dyDescent="0.25">
      <c r="A1087" s="14"/>
      <c r="B1087" s="14"/>
      <c r="C1087" s="14"/>
      <c r="D1087" s="14"/>
      <c r="E1087" s="14"/>
      <c r="F1087" s="14"/>
      <c r="T1087"/>
      <c r="AK1087" s="12"/>
      <c r="AL1087" s="1"/>
      <c r="AM1087" s="1"/>
      <c r="AN1087" s="1"/>
      <c r="AO1087" s="2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</row>
    <row r="1088" spans="1:60" x14ac:dyDescent="0.25">
      <c r="A1088" s="14"/>
      <c r="B1088" s="14"/>
      <c r="C1088" s="14"/>
      <c r="D1088" s="14"/>
      <c r="E1088" s="14"/>
      <c r="F1088" s="14"/>
      <c r="T1088"/>
      <c r="AK1088" s="12"/>
      <c r="AL1088" s="1"/>
      <c r="AM1088" s="1"/>
      <c r="AN1088" s="1"/>
      <c r="AO1088" s="2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</row>
    <row r="1089" spans="1:60" x14ac:dyDescent="0.25">
      <c r="A1089" s="14"/>
      <c r="B1089" s="14"/>
      <c r="C1089" s="14"/>
      <c r="D1089" s="14"/>
      <c r="E1089" s="14"/>
      <c r="F1089" s="14"/>
      <c r="T1089"/>
      <c r="AK1089" s="12"/>
      <c r="AL1089" s="1"/>
      <c r="AM1089" s="1"/>
      <c r="AN1089" s="1"/>
      <c r="AO1089" s="2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</row>
    <row r="1090" spans="1:60" x14ac:dyDescent="0.25">
      <c r="A1090" s="14"/>
      <c r="B1090" s="14"/>
      <c r="C1090" s="14"/>
      <c r="D1090" s="14"/>
      <c r="E1090" s="14"/>
      <c r="F1090" s="14"/>
      <c r="T1090"/>
      <c r="AK1090" s="12"/>
      <c r="AL1090" s="1"/>
      <c r="AM1090" s="1"/>
      <c r="AN1090" s="1"/>
      <c r="AO1090" s="2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</row>
    <row r="1091" spans="1:60" x14ac:dyDescent="0.25">
      <c r="A1091" s="14"/>
      <c r="B1091" s="14"/>
      <c r="C1091" s="14"/>
      <c r="D1091" s="14"/>
      <c r="E1091" s="14"/>
      <c r="F1091" s="14"/>
      <c r="T1091"/>
      <c r="AK1091" s="12"/>
      <c r="AL1091" s="1"/>
      <c r="AM1091" s="1"/>
      <c r="AN1091" s="1"/>
      <c r="AO1091" s="2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</row>
    <row r="1092" spans="1:60" x14ac:dyDescent="0.25">
      <c r="A1092" s="14"/>
      <c r="B1092" s="14"/>
      <c r="C1092" s="14"/>
      <c r="D1092" s="14"/>
      <c r="E1092" s="14"/>
      <c r="F1092" s="14"/>
      <c r="T1092"/>
      <c r="AK1092" s="12"/>
      <c r="AL1092" s="1"/>
      <c r="AM1092" s="1"/>
      <c r="AN1092" s="1"/>
      <c r="AO1092" s="2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</row>
    <row r="1093" spans="1:60" x14ac:dyDescent="0.25">
      <c r="A1093" s="14"/>
      <c r="B1093" s="14"/>
      <c r="C1093" s="14"/>
      <c r="D1093" s="14"/>
      <c r="E1093" s="14"/>
      <c r="F1093" s="14"/>
      <c r="T1093"/>
      <c r="AK1093" s="12"/>
      <c r="AL1093" s="1"/>
      <c r="AM1093" s="1"/>
      <c r="AN1093" s="1"/>
      <c r="AO1093" s="2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</row>
    <row r="1094" spans="1:60" x14ac:dyDescent="0.25">
      <c r="A1094" s="14"/>
      <c r="B1094" s="14"/>
      <c r="C1094" s="14"/>
      <c r="D1094" s="14"/>
      <c r="E1094" s="14"/>
      <c r="F1094" s="14"/>
      <c r="T1094"/>
      <c r="AK1094" s="12"/>
      <c r="AL1094" s="1"/>
      <c r="AM1094" s="1"/>
      <c r="AN1094" s="1"/>
      <c r="AO1094" s="2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</row>
    <row r="1095" spans="1:60" x14ac:dyDescent="0.25">
      <c r="A1095" s="14"/>
      <c r="B1095" s="14"/>
      <c r="C1095" s="14"/>
      <c r="D1095" s="14"/>
      <c r="E1095" s="14"/>
      <c r="F1095" s="14"/>
      <c r="T1095"/>
      <c r="AK1095" s="12"/>
      <c r="AL1095" s="1"/>
      <c r="AM1095" s="1"/>
      <c r="AN1095" s="1"/>
      <c r="AO1095" s="2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</row>
    <row r="1096" spans="1:60" x14ac:dyDescent="0.25">
      <c r="A1096" s="14"/>
      <c r="B1096" s="14"/>
      <c r="C1096" s="14"/>
      <c r="D1096" s="14"/>
      <c r="E1096" s="14"/>
      <c r="F1096" s="14"/>
      <c r="T1096"/>
      <c r="AK1096" s="12"/>
      <c r="AL1096" s="1"/>
      <c r="AM1096" s="1"/>
      <c r="AN1096" s="1"/>
      <c r="AO1096" s="2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</row>
    <row r="1097" spans="1:60" x14ac:dyDescent="0.25">
      <c r="A1097" s="14"/>
      <c r="B1097" s="14"/>
      <c r="C1097" s="14"/>
      <c r="D1097" s="14"/>
      <c r="E1097" s="14"/>
      <c r="F1097" s="14"/>
      <c r="T1097"/>
      <c r="AK1097" s="12"/>
      <c r="AL1097" s="1"/>
      <c r="AM1097" s="1"/>
      <c r="AN1097" s="1"/>
      <c r="AO1097" s="2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</row>
    <row r="1098" spans="1:60" x14ac:dyDescent="0.25">
      <c r="A1098" s="14"/>
      <c r="B1098" s="14"/>
      <c r="C1098" s="14"/>
      <c r="D1098" s="14"/>
      <c r="E1098" s="14"/>
      <c r="F1098" s="14"/>
      <c r="T1098"/>
      <c r="AK1098" s="12"/>
      <c r="AL1098" s="1"/>
      <c r="AM1098" s="1"/>
      <c r="AN1098" s="1"/>
      <c r="AO1098" s="2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</row>
    <row r="1099" spans="1:60" x14ac:dyDescent="0.25">
      <c r="A1099" s="14"/>
      <c r="B1099" s="14"/>
      <c r="C1099" s="14"/>
      <c r="D1099" s="14"/>
      <c r="E1099" s="14"/>
      <c r="F1099" s="14"/>
      <c r="T1099"/>
      <c r="AK1099" s="12"/>
      <c r="AL1099" s="1"/>
      <c r="AM1099" s="1"/>
      <c r="AN1099" s="1"/>
      <c r="AO1099" s="2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</row>
    <row r="1100" spans="1:60" x14ac:dyDescent="0.25">
      <c r="A1100" s="14"/>
      <c r="B1100" s="14"/>
      <c r="C1100" s="14"/>
      <c r="D1100" s="14"/>
      <c r="E1100" s="14"/>
      <c r="F1100" s="14"/>
      <c r="T1100"/>
      <c r="AK1100" s="12"/>
      <c r="AL1100" s="1"/>
      <c r="AM1100" s="1"/>
      <c r="AN1100" s="1"/>
      <c r="AO1100" s="2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</row>
    <row r="1101" spans="1:60" x14ac:dyDescent="0.25">
      <c r="A1101" s="14"/>
      <c r="B1101" s="14"/>
      <c r="C1101" s="14"/>
      <c r="D1101" s="14"/>
      <c r="E1101" s="14"/>
      <c r="F1101" s="14"/>
      <c r="T1101"/>
      <c r="AK1101" s="12"/>
      <c r="AL1101" s="1"/>
      <c r="AM1101" s="1"/>
      <c r="AN1101" s="1"/>
      <c r="AO1101" s="2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</row>
    <row r="1102" spans="1:60" x14ac:dyDescent="0.25">
      <c r="A1102" s="14"/>
      <c r="B1102" s="14"/>
      <c r="C1102" s="14"/>
      <c r="D1102" s="14"/>
      <c r="E1102" s="14"/>
      <c r="F1102" s="14"/>
      <c r="T1102"/>
      <c r="AK1102" s="12"/>
      <c r="AL1102" s="1"/>
      <c r="AM1102" s="1"/>
      <c r="AN1102" s="1"/>
      <c r="AO1102" s="2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</row>
    <row r="1103" spans="1:60" x14ac:dyDescent="0.25">
      <c r="A1103" s="14"/>
      <c r="B1103" s="14"/>
      <c r="C1103" s="14"/>
      <c r="D1103" s="14"/>
      <c r="E1103" s="14"/>
      <c r="F1103" s="14"/>
      <c r="T1103"/>
      <c r="AK1103" s="12"/>
      <c r="AL1103" s="1"/>
      <c r="AM1103" s="1"/>
      <c r="AN1103" s="1"/>
      <c r="AO1103" s="2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</row>
    <row r="1104" spans="1:60" x14ac:dyDescent="0.25">
      <c r="A1104" s="14"/>
      <c r="B1104" s="14"/>
      <c r="C1104" s="14"/>
      <c r="D1104" s="14"/>
      <c r="E1104" s="14"/>
      <c r="F1104" s="14"/>
      <c r="T1104"/>
      <c r="AK1104" s="12"/>
      <c r="AL1104" s="1"/>
      <c r="AM1104" s="1"/>
      <c r="AN1104" s="1"/>
      <c r="AO1104" s="2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</row>
    <row r="1105" spans="1:60" x14ac:dyDescent="0.25">
      <c r="A1105" s="14"/>
      <c r="B1105" s="14"/>
      <c r="C1105" s="14"/>
      <c r="D1105" s="14"/>
      <c r="E1105" s="14"/>
      <c r="F1105" s="14"/>
      <c r="T1105"/>
      <c r="AK1105" s="12"/>
      <c r="AL1105" s="1"/>
      <c r="AM1105" s="1"/>
      <c r="AN1105" s="1"/>
      <c r="AO1105" s="2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</row>
    <row r="1106" spans="1:60" x14ac:dyDescent="0.25">
      <c r="A1106" s="14"/>
      <c r="B1106" s="14"/>
      <c r="C1106" s="14"/>
      <c r="D1106" s="14"/>
      <c r="E1106" s="14"/>
      <c r="F1106" s="14"/>
      <c r="T1106"/>
      <c r="AK1106" s="12"/>
      <c r="AL1106" s="1"/>
      <c r="AM1106" s="1"/>
      <c r="AN1106" s="1"/>
      <c r="AO1106" s="2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</row>
    <row r="1107" spans="1:60" x14ac:dyDescent="0.25">
      <c r="A1107" s="14"/>
      <c r="B1107" s="14"/>
      <c r="C1107" s="14"/>
      <c r="D1107" s="14"/>
      <c r="E1107" s="14"/>
      <c r="F1107" s="14"/>
      <c r="T1107"/>
      <c r="AK1107" s="12"/>
      <c r="AL1107" s="1"/>
      <c r="AM1107" s="1"/>
      <c r="AN1107" s="1"/>
      <c r="AO1107" s="2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</row>
    <row r="1108" spans="1:60" x14ac:dyDescent="0.25">
      <c r="A1108" s="14"/>
      <c r="B1108" s="14"/>
      <c r="C1108" s="14"/>
      <c r="D1108" s="14"/>
      <c r="E1108" s="14"/>
      <c r="F1108" s="14"/>
      <c r="T1108"/>
      <c r="AK1108" s="12"/>
      <c r="AL1108" s="1"/>
      <c r="AM1108" s="1"/>
      <c r="AN1108" s="1"/>
      <c r="AO1108" s="2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</row>
    <row r="1109" spans="1:60" x14ac:dyDescent="0.25">
      <c r="A1109" s="14"/>
      <c r="B1109" s="14"/>
      <c r="C1109" s="14"/>
      <c r="D1109" s="14"/>
      <c r="E1109" s="14"/>
      <c r="F1109" s="14"/>
      <c r="T1109"/>
      <c r="AK1109" s="12"/>
      <c r="AL1109" s="1"/>
      <c r="AM1109" s="1"/>
      <c r="AN1109" s="1"/>
      <c r="AO1109" s="2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</row>
    <row r="1110" spans="1:60" x14ac:dyDescent="0.25">
      <c r="A1110" s="14"/>
      <c r="B1110" s="14"/>
      <c r="C1110" s="14"/>
      <c r="D1110" s="14"/>
      <c r="E1110" s="14"/>
      <c r="F1110" s="14"/>
      <c r="T1110"/>
      <c r="AK1110" s="12"/>
      <c r="AL1110" s="1"/>
      <c r="AM1110" s="1"/>
      <c r="AN1110" s="1"/>
      <c r="AO1110" s="2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</row>
    <row r="1111" spans="1:60" x14ac:dyDescent="0.25">
      <c r="A1111" s="14"/>
      <c r="B1111" s="14"/>
      <c r="C1111" s="14"/>
      <c r="D1111" s="14"/>
      <c r="E1111" s="14"/>
      <c r="F1111" s="14"/>
      <c r="T1111"/>
      <c r="AK1111" s="12"/>
      <c r="AL1111" s="1"/>
      <c r="AM1111" s="1"/>
      <c r="AN1111" s="1"/>
      <c r="AO1111" s="2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</row>
    <row r="1112" spans="1:60" x14ac:dyDescent="0.25">
      <c r="A1112" s="14"/>
      <c r="B1112" s="14"/>
      <c r="C1112" s="14"/>
      <c r="D1112" s="14"/>
      <c r="E1112" s="14"/>
      <c r="F1112" s="14"/>
      <c r="T1112"/>
      <c r="AK1112" s="12"/>
      <c r="AL1112" s="1"/>
      <c r="AM1112" s="1"/>
      <c r="AN1112" s="1"/>
      <c r="AO1112" s="2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</row>
    <row r="1113" spans="1:60" x14ac:dyDescent="0.25">
      <c r="A1113" s="14"/>
      <c r="B1113" s="14"/>
      <c r="C1113" s="14"/>
      <c r="D1113" s="14"/>
      <c r="E1113" s="14"/>
      <c r="F1113" s="14"/>
      <c r="T1113"/>
      <c r="AK1113" s="12"/>
      <c r="AL1113" s="1"/>
      <c r="AM1113" s="1"/>
      <c r="AN1113" s="1"/>
      <c r="AO1113" s="2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</row>
    <row r="1114" spans="1:60" x14ac:dyDescent="0.25">
      <c r="A1114" s="14"/>
      <c r="B1114" s="14"/>
      <c r="C1114" s="14"/>
      <c r="D1114" s="14"/>
      <c r="E1114" s="14"/>
      <c r="F1114" s="14"/>
      <c r="T1114"/>
      <c r="AK1114" s="12"/>
      <c r="AL1114" s="1"/>
      <c r="AM1114" s="1"/>
      <c r="AN1114" s="1"/>
      <c r="AO1114" s="2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</row>
    <row r="1115" spans="1:60" x14ac:dyDescent="0.25">
      <c r="A1115" s="14"/>
      <c r="B1115" s="14"/>
      <c r="C1115" s="14"/>
      <c r="D1115" s="14"/>
      <c r="E1115" s="14"/>
      <c r="F1115" s="14"/>
      <c r="T1115"/>
      <c r="AK1115" s="12"/>
      <c r="AL1115" s="1"/>
      <c r="AM1115" s="1"/>
      <c r="AN1115" s="1"/>
      <c r="AO1115" s="2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</row>
    <row r="1116" spans="1:60" x14ac:dyDescent="0.25">
      <c r="A1116" s="14"/>
      <c r="B1116" s="14"/>
      <c r="C1116" s="14"/>
      <c r="D1116" s="14"/>
      <c r="E1116" s="14"/>
      <c r="F1116" s="14"/>
      <c r="T1116"/>
      <c r="AK1116" s="12"/>
      <c r="AL1116" s="1"/>
      <c r="AM1116" s="1"/>
      <c r="AN1116" s="1"/>
      <c r="AO1116" s="2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</row>
    <row r="1117" spans="1:60" x14ac:dyDescent="0.25">
      <c r="A1117" s="14"/>
      <c r="B1117" s="14"/>
      <c r="C1117" s="14"/>
      <c r="D1117" s="14"/>
      <c r="E1117" s="14"/>
      <c r="F1117" s="14"/>
      <c r="T1117"/>
      <c r="AK1117" s="12"/>
      <c r="AL1117" s="1"/>
      <c r="AM1117" s="1"/>
      <c r="AN1117" s="1"/>
      <c r="AO1117" s="2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</row>
    <row r="1118" spans="1:60" x14ac:dyDescent="0.25">
      <c r="A1118" s="14"/>
      <c r="B1118" s="14"/>
      <c r="C1118" s="14"/>
      <c r="D1118" s="14"/>
      <c r="E1118" s="14"/>
      <c r="F1118" s="14"/>
      <c r="T1118"/>
      <c r="AK1118" s="12"/>
      <c r="AL1118" s="1"/>
      <c r="AM1118" s="1"/>
      <c r="AN1118" s="1"/>
      <c r="AO1118" s="2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</row>
    <row r="1119" spans="1:60" x14ac:dyDescent="0.25">
      <c r="A1119" s="14"/>
      <c r="B1119" s="14"/>
      <c r="C1119" s="14"/>
      <c r="D1119" s="14"/>
      <c r="E1119" s="14"/>
      <c r="F1119" s="14"/>
      <c r="T1119"/>
      <c r="AK1119" s="12"/>
      <c r="AL1119" s="1"/>
      <c r="AM1119" s="1"/>
      <c r="AN1119" s="1"/>
      <c r="AO1119" s="2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</row>
    <row r="1120" spans="1:60" x14ac:dyDescent="0.25">
      <c r="A1120" s="14"/>
      <c r="B1120" s="14"/>
      <c r="C1120" s="14"/>
      <c r="D1120" s="14"/>
      <c r="E1120" s="14"/>
      <c r="F1120" s="14"/>
      <c r="T1120"/>
      <c r="AK1120" s="12"/>
      <c r="AL1120" s="1"/>
      <c r="AM1120" s="1"/>
      <c r="AN1120" s="1"/>
      <c r="AO1120" s="2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</row>
    <row r="1121" spans="1:60" x14ac:dyDescent="0.25">
      <c r="A1121" s="14"/>
      <c r="B1121" s="14"/>
      <c r="C1121" s="14"/>
      <c r="D1121" s="14"/>
      <c r="E1121" s="14"/>
      <c r="F1121" s="14"/>
      <c r="T1121"/>
      <c r="AK1121" s="12"/>
      <c r="AL1121" s="1"/>
      <c r="AM1121" s="1"/>
      <c r="AN1121" s="1"/>
      <c r="AO1121" s="2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</row>
    <row r="1122" spans="1:60" x14ac:dyDescent="0.25">
      <c r="A1122" s="14"/>
      <c r="B1122" s="14"/>
      <c r="C1122" s="14"/>
      <c r="D1122" s="14"/>
      <c r="E1122" s="14"/>
      <c r="F1122" s="14"/>
      <c r="T1122"/>
      <c r="AK1122" s="12"/>
      <c r="AL1122" s="1"/>
      <c r="AM1122" s="1"/>
      <c r="AN1122" s="1"/>
      <c r="AO1122" s="2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</row>
    <row r="1123" spans="1:60" x14ac:dyDescent="0.25">
      <c r="A1123" s="14"/>
      <c r="B1123" s="14"/>
      <c r="C1123" s="14"/>
      <c r="D1123" s="14"/>
      <c r="E1123" s="14"/>
      <c r="F1123" s="14"/>
      <c r="T1123"/>
      <c r="AK1123" s="12"/>
      <c r="AL1123" s="1"/>
      <c r="AM1123" s="1"/>
      <c r="AN1123" s="1"/>
      <c r="AO1123" s="2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</row>
    <row r="1124" spans="1:60" x14ac:dyDescent="0.25">
      <c r="A1124" s="14"/>
      <c r="B1124" s="14"/>
      <c r="C1124" s="14"/>
      <c r="D1124" s="14"/>
      <c r="E1124" s="14"/>
      <c r="F1124" s="14"/>
      <c r="T1124"/>
      <c r="AK1124" s="12"/>
      <c r="AL1124" s="1"/>
      <c r="AM1124" s="1"/>
      <c r="AN1124" s="1"/>
      <c r="AO1124" s="2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</row>
    <row r="1125" spans="1:60" x14ac:dyDescent="0.25">
      <c r="A1125" s="14"/>
      <c r="B1125" s="14"/>
      <c r="C1125" s="14"/>
      <c r="D1125" s="14"/>
      <c r="E1125" s="14"/>
      <c r="F1125" s="14"/>
      <c r="T1125"/>
      <c r="AK1125" s="12"/>
      <c r="AL1125" s="1"/>
      <c r="AM1125" s="1"/>
      <c r="AN1125" s="1"/>
      <c r="AO1125" s="2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</row>
    <row r="1126" spans="1:60" x14ac:dyDescent="0.25">
      <c r="A1126" s="14"/>
      <c r="B1126" s="14"/>
      <c r="C1126" s="14"/>
      <c r="D1126" s="14"/>
      <c r="E1126" s="14"/>
      <c r="F1126" s="14"/>
      <c r="T1126"/>
      <c r="AK1126" s="12"/>
      <c r="AL1126" s="1"/>
      <c r="AM1126" s="1"/>
      <c r="AN1126" s="1"/>
      <c r="AO1126" s="2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</row>
    <row r="1127" spans="1:60" x14ac:dyDescent="0.25">
      <c r="A1127" s="14"/>
      <c r="B1127" s="14"/>
      <c r="C1127" s="14"/>
      <c r="D1127" s="14"/>
      <c r="E1127" s="14"/>
      <c r="F1127" s="14"/>
      <c r="T1127"/>
      <c r="AK1127" s="12"/>
      <c r="AL1127" s="1"/>
      <c r="AM1127" s="1"/>
      <c r="AN1127" s="1"/>
      <c r="AO1127" s="2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</row>
    <row r="1128" spans="1:60" x14ac:dyDescent="0.25">
      <c r="A1128" s="14"/>
      <c r="B1128" s="14"/>
      <c r="C1128" s="14"/>
      <c r="D1128" s="14"/>
      <c r="E1128" s="14"/>
      <c r="F1128" s="14"/>
      <c r="T1128"/>
      <c r="AK1128" s="12"/>
      <c r="AL1128" s="1"/>
      <c r="AM1128" s="1"/>
      <c r="AN1128" s="1"/>
      <c r="AO1128" s="2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</row>
    <row r="1129" spans="1:60" x14ac:dyDescent="0.25">
      <c r="A1129" s="14"/>
      <c r="B1129" s="14"/>
      <c r="C1129" s="14"/>
      <c r="D1129" s="14"/>
      <c r="E1129" s="14"/>
      <c r="F1129" s="14"/>
      <c r="T1129"/>
      <c r="AK1129" s="12"/>
      <c r="AL1129" s="1"/>
      <c r="AM1129" s="1"/>
      <c r="AN1129" s="1"/>
      <c r="AO1129" s="2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</row>
    <row r="1130" spans="1:60" x14ac:dyDescent="0.25">
      <c r="A1130" s="14"/>
      <c r="B1130" s="14"/>
      <c r="C1130" s="14"/>
      <c r="D1130" s="14"/>
      <c r="E1130" s="14"/>
      <c r="F1130" s="14"/>
      <c r="T1130"/>
      <c r="AK1130" s="12"/>
      <c r="AL1130" s="1"/>
      <c r="AM1130" s="1"/>
      <c r="AN1130" s="1"/>
      <c r="AO1130" s="2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</row>
    <row r="1131" spans="1:60" x14ac:dyDescent="0.25">
      <c r="A1131" s="14"/>
      <c r="B1131" s="14"/>
      <c r="C1131" s="14"/>
      <c r="D1131" s="14"/>
      <c r="E1131" s="14"/>
      <c r="F1131" s="14"/>
      <c r="T1131"/>
      <c r="AK1131" s="12"/>
      <c r="AL1131" s="1"/>
      <c r="AM1131" s="1"/>
      <c r="AN1131" s="1"/>
      <c r="AO1131" s="2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</row>
    <row r="1132" spans="1:60" x14ac:dyDescent="0.25">
      <c r="A1132" s="14"/>
      <c r="B1132" s="14"/>
      <c r="C1132" s="14"/>
      <c r="D1132" s="14"/>
      <c r="E1132" s="14"/>
      <c r="F1132" s="14"/>
      <c r="T1132"/>
      <c r="AK1132" s="12"/>
      <c r="AL1132" s="1"/>
      <c r="AM1132" s="1"/>
      <c r="AN1132" s="1"/>
      <c r="AO1132" s="2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</row>
    <row r="1133" spans="1:60" x14ac:dyDescent="0.25">
      <c r="A1133" s="14"/>
      <c r="B1133" s="14"/>
      <c r="C1133" s="14"/>
      <c r="D1133" s="14"/>
      <c r="E1133" s="14"/>
      <c r="F1133" s="14"/>
      <c r="T1133"/>
      <c r="AK1133" s="12"/>
      <c r="AL1133" s="1"/>
      <c r="AM1133" s="1"/>
      <c r="AN1133" s="1"/>
      <c r="AO1133" s="2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</row>
    <row r="1134" spans="1:60" x14ac:dyDescent="0.25">
      <c r="A1134" s="14"/>
      <c r="B1134" s="14"/>
      <c r="C1134" s="14"/>
      <c r="D1134" s="14"/>
      <c r="E1134" s="14"/>
      <c r="F1134" s="14"/>
      <c r="T1134"/>
      <c r="AK1134" s="12"/>
      <c r="AL1134" s="1"/>
      <c r="AM1134" s="1"/>
      <c r="AN1134" s="1"/>
      <c r="AO1134" s="2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</row>
    <row r="1135" spans="1:60" x14ac:dyDescent="0.25">
      <c r="A1135" s="14"/>
      <c r="B1135" s="14"/>
      <c r="C1135" s="14"/>
      <c r="D1135" s="14"/>
      <c r="E1135" s="14"/>
      <c r="F1135" s="14"/>
      <c r="T1135"/>
      <c r="AK1135" s="12"/>
      <c r="AL1135" s="1"/>
      <c r="AM1135" s="1"/>
      <c r="AN1135" s="1"/>
      <c r="AO1135" s="2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</row>
    <row r="1136" spans="1:60" x14ac:dyDescent="0.25">
      <c r="A1136" s="14"/>
      <c r="B1136" s="14"/>
      <c r="C1136" s="14"/>
      <c r="D1136" s="14"/>
      <c r="E1136" s="14"/>
      <c r="F1136" s="14"/>
      <c r="T1136"/>
      <c r="AK1136" s="12"/>
      <c r="AL1136" s="1"/>
      <c r="AM1136" s="1"/>
      <c r="AN1136" s="1"/>
      <c r="AO1136" s="2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</row>
    <row r="1137" spans="1:60" x14ac:dyDescent="0.25">
      <c r="A1137" s="14"/>
      <c r="B1137" s="14"/>
      <c r="C1137" s="14"/>
      <c r="D1137" s="14"/>
      <c r="E1137" s="14"/>
      <c r="F1137" s="14"/>
      <c r="T1137"/>
      <c r="AK1137" s="12"/>
      <c r="AL1137" s="1"/>
      <c r="AM1137" s="1"/>
      <c r="AN1137" s="1"/>
      <c r="AO1137" s="2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</row>
    <row r="1138" spans="1:60" x14ac:dyDescent="0.25">
      <c r="A1138" s="14"/>
      <c r="B1138" s="14"/>
      <c r="C1138" s="14"/>
      <c r="D1138" s="14"/>
      <c r="E1138" s="14"/>
      <c r="F1138" s="14"/>
      <c r="T1138"/>
      <c r="AK1138" s="12"/>
      <c r="AL1138" s="1"/>
      <c r="AM1138" s="1"/>
      <c r="AN1138" s="1"/>
      <c r="AO1138" s="2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</row>
    <row r="1139" spans="1:60" x14ac:dyDescent="0.25">
      <c r="A1139" s="14"/>
      <c r="B1139" s="14"/>
      <c r="C1139" s="14"/>
      <c r="D1139" s="14"/>
      <c r="E1139" s="14"/>
      <c r="F1139" s="14"/>
      <c r="T1139"/>
      <c r="AK1139" s="12"/>
      <c r="AL1139" s="1"/>
      <c r="AM1139" s="1"/>
      <c r="AN1139" s="1"/>
      <c r="AO1139" s="2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</row>
    <row r="1140" spans="1:60" x14ac:dyDescent="0.25">
      <c r="A1140" s="14"/>
      <c r="B1140" s="14"/>
      <c r="C1140" s="14"/>
      <c r="D1140" s="14"/>
      <c r="E1140" s="14"/>
      <c r="F1140" s="14"/>
      <c r="T1140"/>
      <c r="AK1140" s="12"/>
      <c r="AL1140" s="1"/>
      <c r="AM1140" s="1"/>
      <c r="AN1140" s="1"/>
      <c r="AO1140" s="2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</row>
    <row r="1141" spans="1:60" x14ac:dyDescent="0.25">
      <c r="A1141" s="14"/>
      <c r="B1141" s="14"/>
      <c r="C1141" s="14"/>
      <c r="D1141" s="14"/>
      <c r="E1141" s="14"/>
      <c r="F1141" s="14"/>
      <c r="T1141"/>
      <c r="AK1141" s="12"/>
      <c r="AL1141" s="1"/>
      <c r="AM1141" s="1"/>
      <c r="AN1141" s="1"/>
      <c r="AO1141" s="2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</row>
    <row r="1142" spans="1:60" x14ac:dyDescent="0.25">
      <c r="A1142" s="14"/>
      <c r="B1142" s="14"/>
      <c r="C1142" s="14"/>
      <c r="D1142" s="14"/>
      <c r="E1142" s="14"/>
      <c r="F1142" s="14"/>
      <c r="T1142"/>
      <c r="AK1142" s="12"/>
      <c r="AL1142" s="1"/>
      <c r="AM1142" s="1"/>
      <c r="AN1142" s="1"/>
      <c r="AO1142" s="2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</row>
    <row r="1143" spans="1:60" x14ac:dyDescent="0.25">
      <c r="A1143" s="14"/>
      <c r="B1143" s="14"/>
      <c r="C1143" s="14"/>
      <c r="D1143" s="14"/>
      <c r="E1143" s="14"/>
      <c r="F1143" s="14"/>
      <c r="T1143"/>
      <c r="AK1143" s="12"/>
      <c r="AL1143" s="1"/>
      <c r="AM1143" s="1"/>
      <c r="AN1143" s="1"/>
      <c r="AO1143" s="2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</row>
    <row r="1144" spans="1:60" x14ac:dyDescent="0.25">
      <c r="A1144" s="14"/>
      <c r="B1144" s="14"/>
      <c r="C1144" s="14"/>
      <c r="D1144" s="14"/>
      <c r="E1144" s="14"/>
      <c r="F1144" s="14"/>
      <c r="T1144"/>
      <c r="AK1144" s="12"/>
      <c r="AL1144" s="1"/>
      <c r="AM1144" s="1"/>
      <c r="AN1144" s="1"/>
      <c r="AO1144" s="2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</row>
    <row r="1145" spans="1:60" x14ac:dyDescent="0.25">
      <c r="A1145" s="14"/>
      <c r="B1145" s="14"/>
      <c r="C1145" s="14"/>
      <c r="D1145" s="14"/>
      <c r="E1145" s="14"/>
      <c r="F1145" s="14"/>
      <c r="T1145"/>
      <c r="AK1145" s="12"/>
      <c r="AL1145" s="1"/>
      <c r="AM1145" s="1"/>
      <c r="AN1145" s="1"/>
      <c r="AO1145" s="2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</row>
    <row r="1146" spans="1:60" x14ac:dyDescent="0.25">
      <c r="A1146" s="14"/>
      <c r="B1146" s="14"/>
      <c r="C1146" s="14"/>
      <c r="D1146" s="14"/>
      <c r="E1146" s="14"/>
      <c r="F1146" s="14"/>
      <c r="T1146"/>
      <c r="AK1146" s="12"/>
      <c r="AL1146" s="1"/>
      <c r="AM1146" s="1"/>
      <c r="AN1146" s="1"/>
      <c r="AO1146" s="2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</row>
    <row r="1147" spans="1:60" x14ac:dyDescent="0.25">
      <c r="A1147" s="14"/>
      <c r="B1147" s="14"/>
      <c r="C1147" s="14"/>
      <c r="D1147" s="14"/>
      <c r="E1147" s="14"/>
      <c r="F1147" s="14"/>
      <c r="T1147"/>
      <c r="AK1147" s="12"/>
      <c r="AL1147" s="1"/>
      <c r="AM1147" s="1"/>
      <c r="AN1147" s="1"/>
      <c r="AO1147" s="2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</row>
    <row r="1148" spans="1:60" x14ac:dyDescent="0.25">
      <c r="A1148" s="14"/>
      <c r="B1148" s="14"/>
      <c r="C1148" s="14"/>
      <c r="D1148" s="14"/>
      <c r="E1148" s="14"/>
      <c r="F1148" s="14"/>
      <c r="T1148"/>
      <c r="AK1148" s="12"/>
      <c r="AL1148" s="1"/>
      <c r="AM1148" s="1"/>
      <c r="AN1148" s="1"/>
      <c r="AO1148" s="2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</row>
    <row r="1149" spans="1:60" x14ac:dyDescent="0.25">
      <c r="A1149" s="14"/>
      <c r="B1149" s="14"/>
      <c r="C1149" s="14"/>
      <c r="D1149" s="14"/>
      <c r="E1149" s="14"/>
      <c r="F1149" s="14"/>
      <c r="T1149"/>
      <c r="AK1149" s="12"/>
      <c r="AL1149" s="1"/>
      <c r="AM1149" s="1"/>
      <c r="AN1149" s="1"/>
      <c r="AO1149" s="2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</row>
    <row r="1150" spans="1:60" x14ac:dyDescent="0.25">
      <c r="A1150" s="14"/>
      <c r="B1150" s="14"/>
      <c r="C1150" s="14"/>
      <c r="D1150" s="14"/>
      <c r="E1150" s="14"/>
      <c r="F1150" s="14"/>
      <c r="T1150"/>
      <c r="AK1150" s="12"/>
      <c r="AL1150" s="1"/>
      <c r="AM1150" s="1"/>
      <c r="AN1150" s="1"/>
      <c r="AO1150" s="2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</row>
    <row r="1151" spans="1:60" x14ac:dyDescent="0.25">
      <c r="A1151" s="14"/>
      <c r="B1151" s="14"/>
      <c r="C1151" s="14"/>
      <c r="D1151" s="14"/>
      <c r="E1151" s="14"/>
      <c r="F1151" s="14"/>
      <c r="T1151"/>
      <c r="AK1151" s="12"/>
      <c r="AL1151" s="1"/>
      <c r="AM1151" s="1"/>
      <c r="AN1151" s="1"/>
      <c r="AO1151" s="2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</row>
    <row r="1152" spans="1:60" x14ac:dyDescent="0.25">
      <c r="A1152" s="14"/>
      <c r="B1152" s="14"/>
      <c r="C1152" s="14"/>
      <c r="D1152" s="14"/>
      <c r="E1152" s="14"/>
      <c r="F1152" s="14"/>
      <c r="T1152"/>
      <c r="AK1152" s="12"/>
      <c r="AL1152" s="1"/>
      <c r="AM1152" s="1"/>
      <c r="AN1152" s="1"/>
      <c r="AO1152" s="2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</row>
    <row r="1153" spans="1:60" x14ac:dyDescent="0.25">
      <c r="A1153" s="14"/>
      <c r="B1153" s="14"/>
      <c r="C1153" s="14"/>
      <c r="D1153" s="14"/>
      <c r="E1153" s="14"/>
      <c r="F1153" s="14"/>
      <c r="T1153"/>
      <c r="AK1153" s="12"/>
      <c r="AL1153" s="1"/>
      <c r="AM1153" s="1"/>
      <c r="AN1153" s="1"/>
      <c r="AO1153" s="2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</row>
    <row r="1154" spans="1:60" x14ac:dyDescent="0.25">
      <c r="A1154" s="14"/>
      <c r="B1154" s="14"/>
      <c r="C1154" s="14"/>
      <c r="D1154" s="14"/>
      <c r="E1154" s="14"/>
      <c r="F1154" s="14"/>
      <c r="T1154"/>
      <c r="AK1154" s="12"/>
      <c r="AL1154" s="1"/>
      <c r="AM1154" s="1"/>
      <c r="AN1154" s="1"/>
      <c r="AO1154" s="2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</row>
    <row r="1155" spans="1:60" x14ac:dyDescent="0.25">
      <c r="A1155" s="14"/>
      <c r="B1155" s="14"/>
      <c r="C1155" s="14"/>
      <c r="D1155" s="14"/>
      <c r="E1155" s="14"/>
      <c r="F1155" s="14"/>
      <c r="T1155"/>
      <c r="AK1155" s="12"/>
      <c r="AL1155" s="1"/>
      <c r="AM1155" s="1"/>
      <c r="AN1155" s="1"/>
      <c r="AO1155" s="2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</row>
    <row r="1156" spans="1:60" x14ac:dyDescent="0.25">
      <c r="A1156" s="14"/>
      <c r="B1156" s="14"/>
      <c r="C1156" s="14"/>
      <c r="D1156" s="14"/>
      <c r="E1156" s="14"/>
      <c r="F1156" s="14"/>
      <c r="T1156"/>
      <c r="AK1156" s="12"/>
      <c r="AL1156" s="1"/>
      <c r="AM1156" s="1"/>
      <c r="AN1156" s="1"/>
      <c r="AO1156" s="2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</row>
    <row r="1157" spans="1:60" x14ac:dyDescent="0.25">
      <c r="A1157" s="14"/>
      <c r="B1157" s="14"/>
      <c r="C1157" s="14"/>
      <c r="D1157" s="14"/>
      <c r="E1157" s="14"/>
      <c r="F1157" s="14"/>
      <c r="T1157"/>
      <c r="AK1157" s="12"/>
      <c r="AL1157" s="1"/>
      <c r="AM1157" s="1"/>
      <c r="AN1157" s="1"/>
      <c r="AO1157" s="2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</row>
    <row r="1158" spans="1:60" x14ac:dyDescent="0.25">
      <c r="A1158" s="14"/>
      <c r="B1158" s="14"/>
      <c r="C1158" s="14"/>
      <c r="D1158" s="14"/>
      <c r="E1158" s="14"/>
      <c r="F1158" s="14"/>
      <c r="T1158"/>
      <c r="AK1158" s="12"/>
      <c r="AL1158" s="1"/>
      <c r="AM1158" s="1"/>
      <c r="AN1158" s="1"/>
      <c r="AO1158" s="2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</row>
    <row r="1159" spans="1:60" x14ac:dyDescent="0.25">
      <c r="A1159" s="14"/>
      <c r="B1159" s="14"/>
      <c r="C1159" s="14"/>
      <c r="D1159" s="14"/>
      <c r="E1159" s="14"/>
      <c r="F1159" s="14"/>
      <c r="T1159"/>
      <c r="AK1159" s="12"/>
      <c r="AL1159" s="1"/>
      <c r="AM1159" s="1"/>
      <c r="AN1159" s="1"/>
      <c r="AO1159" s="2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</row>
    <row r="1160" spans="1:60" x14ac:dyDescent="0.25">
      <c r="A1160" s="14"/>
      <c r="B1160" s="14"/>
      <c r="C1160" s="14"/>
      <c r="D1160" s="14"/>
      <c r="E1160" s="14"/>
      <c r="F1160" s="14"/>
      <c r="T1160"/>
      <c r="AK1160" s="12"/>
      <c r="AL1160" s="1"/>
      <c r="AM1160" s="1"/>
      <c r="AN1160" s="1"/>
      <c r="AO1160" s="2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</row>
    <row r="1161" spans="1:60" x14ac:dyDescent="0.25">
      <c r="A1161" s="14"/>
      <c r="B1161" s="14"/>
      <c r="C1161" s="14"/>
      <c r="D1161" s="14"/>
      <c r="E1161" s="14"/>
      <c r="F1161" s="14"/>
      <c r="T1161"/>
      <c r="AK1161" s="12"/>
      <c r="AL1161" s="1"/>
      <c r="AM1161" s="1"/>
      <c r="AN1161" s="1"/>
      <c r="AO1161" s="2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</row>
    <row r="1162" spans="1:60" x14ac:dyDescent="0.25">
      <c r="A1162" s="14"/>
      <c r="B1162" s="14"/>
      <c r="C1162" s="14"/>
      <c r="D1162" s="14"/>
      <c r="E1162" s="14"/>
      <c r="F1162" s="14"/>
      <c r="T1162"/>
      <c r="AK1162" s="12"/>
      <c r="AL1162" s="1"/>
      <c r="AM1162" s="1"/>
      <c r="AN1162" s="1"/>
      <c r="AO1162" s="2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</row>
    <row r="1163" spans="1:60" x14ac:dyDescent="0.25">
      <c r="A1163" s="14"/>
      <c r="B1163" s="14"/>
      <c r="C1163" s="14"/>
      <c r="D1163" s="14"/>
      <c r="E1163" s="14"/>
      <c r="F1163" s="14"/>
      <c r="T1163"/>
      <c r="AK1163" s="12"/>
      <c r="AL1163" s="1"/>
      <c r="AM1163" s="1"/>
      <c r="AN1163" s="1"/>
      <c r="AO1163" s="2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</row>
    <row r="1164" spans="1:60" x14ac:dyDescent="0.25">
      <c r="A1164" s="14"/>
      <c r="B1164" s="14"/>
      <c r="C1164" s="14"/>
      <c r="D1164" s="14"/>
      <c r="E1164" s="14"/>
      <c r="F1164" s="14"/>
      <c r="T1164"/>
      <c r="AK1164" s="12"/>
      <c r="AL1164" s="1"/>
      <c r="AM1164" s="1"/>
      <c r="AN1164" s="1"/>
      <c r="AO1164" s="2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</row>
    <row r="1165" spans="1:60" x14ac:dyDescent="0.25">
      <c r="A1165" s="14"/>
      <c r="B1165" s="14"/>
      <c r="C1165" s="14"/>
      <c r="D1165" s="14"/>
      <c r="E1165" s="14"/>
      <c r="F1165" s="14"/>
      <c r="T1165"/>
      <c r="AK1165" s="12"/>
      <c r="AL1165" s="1"/>
      <c r="AM1165" s="1"/>
      <c r="AN1165" s="1"/>
      <c r="AO1165" s="2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</row>
    <row r="1166" spans="1:60" x14ac:dyDescent="0.25">
      <c r="A1166" s="14"/>
      <c r="B1166" s="14"/>
      <c r="C1166" s="14"/>
      <c r="D1166" s="14"/>
      <c r="E1166" s="14"/>
      <c r="F1166" s="14"/>
      <c r="T1166"/>
      <c r="AK1166" s="12"/>
      <c r="AL1166" s="1"/>
      <c r="AM1166" s="1"/>
      <c r="AN1166" s="1"/>
      <c r="AO1166" s="2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</row>
    <row r="1167" spans="1:60" x14ac:dyDescent="0.25">
      <c r="A1167" s="14"/>
      <c r="B1167" s="14"/>
      <c r="C1167" s="14"/>
      <c r="D1167" s="14"/>
      <c r="E1167" s="14"/>
      <c r="F1167" s="14"/>
      <c r="T1167"/>
      <c r="AK1167" s="12"/>
      <c r="AL1167" s="1"/>
      <c r="AM1167" s="1"/>
      <c r="AN1167" s="1"/>
      <c r="AO1167" s="2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</row>
    <row r="1168" spans="1:60" x14ac:dyDescent="0.25">
      <c r="A1168" s="14"/>
      <c r="B1168" s="14"/>
      <c r="C1168" s="14"/>
      <c r="D1168" s="14"/>
      <c r="E1168" s="14"/>
      <c r="F1168" s="14"/>
      <c r="T1168"/>
      <c r="AK1168" s="12"/>
      <c r="AL1168" s="1"/>
      <c r="AM1168" s="1"/>
      <c r="AN1168" s="1"/>
      <c r="AO1168" s="2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</row>
    <row r="1169" spans="1:60" x14ac:dyDescent="0.25">
      <c r="A1169" s="14"/>
      <c r="B1169" s="14"/>
      <c r="C1169" s="14"/>
      <c r="D1169" s="14"/>
      <c r="E1169" s="14"/>
      <c r="F1169" s="14"/>
      <c r="T1169"/>
      <c r="AK1169" s="12"/>
      <c r="AL1169" s="1"/>
      <c r="AM1169" s="1"/>
      <c r="AN1169" s="1"/>
      <c r="AO1169" s="2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</row>
    <row r="1170" spans="1:60" x14ac:dyDescent="0.25">
      <c r="A1170" s="14"/>
      <c r="B1170" s="14"/>
      <c r="C1170" s="14"/>
      <c r="D1170" s="14"/>
      <c r="E1170" s="14"/>
      <c r="F1170" s="14"/>
      <c r="T1170"/>
      <c r="AK1170" s="12"/>
      <c r="AL1170" s="1"/>
      <c r="AM1170" s="1"/>
      <c r="AN1170" s="1"/>
      <c r="AO1170" s="2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</row>
    <row r="1171" spans="1:60" x14ac:dyDescent="0.25">
      <c r="A1171" s="14"/>
      <c r="B1171" s="14"/>
      <c r="C1171" s="14"/>
      <c r="D1171" s="14"/>
      <c r="E1171" s="14"/>
      <c r="F1171" s="14"/>
      <c r="T1171"/>
      <c r="AK1171" s="12"/>
      <c r="AL1171" s="1"/>
      <c r="AM1171" s="1"/>
      <c r="AN1171" s="1"/>
      <c r="AO1171" s="2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</row>
    <row r="1172" spans="1:60" x14ac:dyDescent="0.25">
      <c r="A1172" s="14"/>
      <c r="B1172" s="14"/>
      <c r="C1172" s="14"/>
      <c r="D1172" s="14"/>
      <c r="E1172" s="14"/>
      <c r="F1172" s="14"/>
      <c r="T1172"/>
      <c r="AK1172" s="12"/>
      <c r="AL1172" s="1"/>
      <c r="AM1172" s="1"/>
      <c r="AN1172" s="1"/>
      <c r="AO1172" s="2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</row>
    <row r="1173" spans="1:60" x14ac:dyDescent="0.25">
      <c r="A1173" s="14"/>
      <c r="B1173" s="14"/>
      <c r="C1173" s="14"/>
      <c r="D1173" s="14"/>
      <c r="E1173" s="14"/>
      <c r="F1173" s="14"/>
      <c r="T1173"/>
      <c r="AK1173" s="12"/>
      <c r="AL1173" s="1"/>
      <c r="AM1173" s="1"/>
      <c r="AN1173" s="1"/>
      <c r="AO1173" s="2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</row>
    <row r="1174" spans="1:60" x14ac:dyDescent="0.25">
      <c r="A1174" s="14"/>
      <c r="B1174" s="14"/>
      <c r="C1174" s="14"/>
      <c r="D1174" s="14"/>
      <c r="E1174" s="14"/>
      <c r="F1174" s="14"/>
      <c r="T1174"/>
      <c r="AK1174" s="12"/>
      <c r="AL1174" s="1"/>
      <c r="AM1174" s="1"/>
      <c r="AN1174" s="1"/>
      <c r="AO1174" s="2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</row>
    <row r="1175" spans="1:60" x14ac:dyDescent="0.25">
      <c r="A1175" s="14"/>
      <c r="B1175" s="14"/>
      <c r="C1175" s="14"/>
      <c r="D1175" s="14"/>
      <c r="E1175" s="14"/>
      <c r="F1175" s="14"/>
      <c r="T1175"/>
      <c r="AK1175" s="12"/>
      <c r="AL1175" s="1"/>
      <c r="AM1175" s="1"/>
      <c r="AN1175" s="1"/>
      <c r="AO1175" s="2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</row>
    <row r="1176" spans="1:60" x14ac:dyDescent="0.25">
      <c r="A1176" s="14"/>
      <c r="B1176" s="14"/>
      <c r="C1176" s="14"/>
      <c r="D1176" s="14"/>
      <c r="E1176" s="14"/>
      <c r="F1176" s="14"/>
      <c r="T1176"/>
      <c r="AK1176" s="12"/>
      <c r="AL1176" s="1"/>
      <c r="AM1176" s="1"/>
      <c r="AN1176" s="1"/>
      <c r="AO1176" s="2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</row>
    <row r="1177" spans="1:60" x14ac:dyDescent="0.25">
      <c r="A1177" s="14"/>
      <c r="B1177" s="14"/>
      <c r="C1177" s="14"/>
      <c r="D1177" s="14"/>
      <c r="E1177" s="14"/>
      <c r="F1177" s="14"/>
      <c r="T1177"/>
      <c r="AK1177" s="12"/>
      <c r="AL1177" s="1"/>
      <c r="AM1177" s="1"/>
      <c r="AN1177" s="1"/>
      <c r="AO1177" s="2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</row>
    <row r="1178" spans="1:60" x14ac:dyDescent="0.25">
      <c r="A1178" s="14"/>
      <c r="B1178" s="14"/>
      <c r="C1178" s="14"/>
      <c r="D1178" s="14"/>
      <c r="E1178" s="14"/>
      <c r="F1178" s="14"/>
      <c r="T1178"/>
      <c r="AK1178" s="12"/>
      <c r="AL1178" s="1"/>
      <c r="AM1178" s="1"/>
      <c r="AN1178" s="1"/>
      <c r="AO1178" s="2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</row>
    <row r="1179" spans="1:60" x14ac:dyDescent="0.25">
      <c r="A1179" s="14"/>
      <c r="B1179" s="14"/>
      <c r="C1179" s="14"/>
      <c r="D1179" s="14"/>
      <c r="E1179" s="14"/>
      <c r="F1179" s="14"/>
      <c r="T1179"/>
      <c r="AK1179" s="12"/>
      <c r="AL1179" s="1"/>
      <c r="AM1179" s="1"/>
      <c r="AN1179" s="1"/>
      <c r="AO1179" s="2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</row>
    <row r="1180" spans="1:60" x14ac:dyDescent="0.25">
      <c r="A1180" s="14"/>
      <c r="B1180" s="14"/>
      <c r="C1180" s="14"/>
      <c r="D1180" s="14"/>
      <c r="E1180" s="14"/>
      <c r="F1180" s="14"/>
      <c r="T1180"/>
      <c r="AK1180" s="12"/>
      <c r="AL1180" s="1"/>
      <c r="AM1180" s="1"/>
      <c r="AN1180" s="1"/>
      <c r="AO1180" s="2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</row>
    <row r="1181" spans="1:60" x14ac:dyDescent="0.25">
      <c r="A1181" s="14"/>
      <c r="B1181" s="14"/>
      <c r="C1181" s="14"/>
      <c r="D1181" s="14"/>
      <c r="E1181" s="14"/>
      <c r="F1181" s="14"/>
      <c r="T1181"/>
      <c r="AK1181" s="12"/>
      <c r="AL1181" s="1"/>
      <c r="AM1181" s="1"/>
      <c r="AN1181" s="1"/>
      <c r="AO1181" s="2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</row>
    <row r="1182" spans="1:60" x14ac:dyDescent="0.25">
      <c r="A1182" s="14"/>
      <c r="B1182" s="14"/>
      <c r="C1182" s="14"/>
      <c r="D1182" s="14"/>
      <c r="E1182" s="14"/>
      <c r="F1182" s="14"/>
      <c r="T1182"/>
      <c r="AK1182" s="12"/>
      <c r="AL1182" s="1"/>
      <c r="AM1182" s="1"/>
      <c r="AN1182" s="1"/>
      <c r="AO1182" s="2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</row>
    <row r="1183" spans="1:60" x14ac:dyDescent="0.25">
      <c r="A1183" s="14"/>
      <c r="B1183" s="14"/>
      <c r="C1183" s="14"/>
      <c r="D1183" s="14"/>
      <c r="E1183" s="14"/>
      <c r="F1183" s="14"/>
      <c r="T1183"/>
      <c r="AK1183" s="12"/>
      <c r="AL1183" s="1"/>
      <c r="AM1183" s="1"/>
      <c r="AN1183" s="1"/>
      <c r="AO1183" s="2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</row>
    <row r="1184" spans="1:60" x14ac:dyDescent="0.25">
      <c r="A1184" s="14"/>
      <c r="B1184" s="14"/>
      <c r="C1184" s="14"/>
      <c r="D1184" s="14"/>
      <c r="E1184" s="14"/>
      <c r="F1184" s="14"/>
      <c r="T1184"/>
      <c r="AK1184" s="12"/>
      <c r="AL1184" s="1"/>
      <c r="AM1184" s="1"/>
      <c r="AN1184" s="1"/>
      <c r="AO1184" s="2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</row>
    <row r="1185" spans="1:60" x14ac:dyDescent="0.25">
      <c r="A1185" s="14"/>
      <c r="B1185" s="14"/>
      <c r="C1185" s="14"/>
      <c r="D1185" s="14"/>
      <c r="E1185" s="14"/>
      <c r="F1185" s="14"/>
      <c r="T1185"/>
      <c r="AK1185" s="12"/>
      <c r="AL1185" s="1"/>
      <c r="AM1185" s="1"/>
      <c r="AN1185" s="1"/>
      <c r="AO1185" s="2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</row>
    <row r="1186" spans="1:60" x14ac:dyDescent="0.25">
      <c r="A1186" s="14"/>
      <c r="B1186" s="14"/>
      <c r="C1186" s="14"/>
      <c r="D1186" s="14"/>
      <c r="E1186" s="14"/>
      <c r="F1186" s="14"/>
      <c r="T1186"/>
      <c r="AK1186" s="12"/>
      <c r="AL1186" s="1"/>
      <c r="AM1186" s="1"/>
      <c r="AN1186" s="1"/>
      <c r="AO1186" s="2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</row>
    <row r="1187" spans="1:60" x14ac:dyDescent="0.25">
      <c r="A1187" s="14"/>
      <c r="B1187" s="14"/>
      <c r="C1187" s="14"/>
      <c r="D1187" s="14"/>
      <c r="E1187" s="14"/>
      <c r="F1187" s="14"/>
      <c r="T1187"/>
      <c r="AK1187" s="12"/>
      <c r="AL1187" s="1"/>
      <c r="AM1187" s="1"/>
      <c r="AN1187" s="1"/>
      <c r="AO1187" s="2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</row>
    <row r="1188" spans="1:60" x14ac:dyDescent="0.25">
      <c r="A1188" s="14"/>
      <c r="B1188" s="14"/>
      <c r="C1188" s="14"/>
      <c r="D1188" s="14"/>
      <c r="E1188" s="14"/>
      <c r="F1188" s="14"/>
      <c r="T1188"/>
      <c r="AK1188" s="12"/>
      <c r="AL1188" s="1"/>
      <c r="AM1188" s="1"/>
      <c r="AN1188" s="1"/>
      <c r="AO1188" s="2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</row>
    <row r="1189" spans="1:60" x14ac:dyDescent="0.25">
      <c r="A1189" s="14"/>
      <c r="B1189" s="14"/>
      <c r="C1189" s="14"/>
      <c r="D1189" s="14"/>
      <c r="E1189" s="14"/>
      <c r="F1189" s="14"/>
      <c r="T1189"/>
      <c r="AK1189" s="12"/>
      <c r="AL1189" s="1"/>
      <c r="AM1189" s="1"/>
      <c r="AN1189" s="1"/>
      <c r="AO1189" s="2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</row>
    <row r="1190" spans="1:60" x14ac:dyDescent="0.25">
      <c r="A1190" s="14"/>
      <c r="B1190" s="14"/>
      <c r="C1190" s="14"/>
      <c r="D1190" s="14"/>
      <c r="E1190" s="14"/>
      <c r="F1190" s="14"/>
      <c r="T1190"/>
      <c r="AK1190" s="12"/>
      <c r="AL1190" s="1"/>
      <c r="AM1190" s="1"/>
      <c r="AN1190" s="1"/>
      <c r="AO1190" s="2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</row>
    <row r="1191" spans="1:60" x14ac:dyDescent="0.25">
      <c r="A1191" s="14"/>
      <c r="B1191" s="14"/>
      <c r="C1191" s="14"/>
      <c r="D1191" s="14"/>
      <c r="E1191" s="14"/>
      <c r="F1191" s="14"/>
      <c r="T1191"/>
      <c r="AK1191" s="12"/>
      <c r="AL1191" s="1"/>
      <c r="AM1191" s="1"/>
      <c r="AN1191" s="1"/>
      <c r="AO1191" s="2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</row>
    <row r="1192" spans="1:60" x14ac:dyDescent="0.25">
      <c r="A1192" s="14"/>
      <c r="B1192" s="14"/>
      <c r="C1192" s="14"/>
      <c r="D1192" s="14"/>
      <c r="E1192" s="14"/>
      <c r="F1192" s="14"/>
      <c r="T1192"/>
      <c r="AK1192" s="12"/>
      <c r="AL1192" s="1"/>
      <c r="AM1192" s="1"/>
      <c r="AN1192" s="1"/>
      <c r="AO1192" s="2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</row>
    <row r="1193" spans="1:60" x14ac:dyDescent="0.25">
      <c r="A1193" s="14"/>
      <c r="B1193" s="14"/>
      <c r="C1193" s="14"/>
      <c r="D1193" s="14"/>
      <c r="E1193" s="14"/>
      <c r="F1193" s="14"/>
      <c r="T1193"/>
      <c r="AK1193" s="12"/>
      <c r="AL1193" s="1"/>
      <c r="AM1193" s="1"/>
      <c r="AN1193" s="1"/>
      <c r="AO1193" s="2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</row>
    <row r="1194" spans="1:60" x14ac:dyDescent="0.25">
      <c r="A1194" s="14"/>
      <c r="B1194" s="14"/>
      <c r="C1194" s="14"/>
      <c r="D1194" s="14"/>
      <c r="E1194" s="14"/>
      <c r="F1194" s="14"/>
      <c r="T1194"/>
      <c r="AK1194" s="12"/>
      <c r="AL1194" s="1"/>
      <c r="AM1194" s="1"/>
      <c r="AN1194" s="1"/>
      <c r="AO1194" s="2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</row>
    <row r="1195" spans="1:60" x14ac:dyDescent="0.25">
      <c r="A1195" s="14"/>
      <c r="B1195" s="14"/>
      <c r="C1195" s="14"/>
      <c r="D1195" s="14"/>
      <c r="E1195" s="14"/>
      <c r="F1195" s="14"/>
      <c r="T1195"/>
      <c r="AK1195" s="12"/>
      <c r="AL1195" s="1"/>
      <c r="AM1195" s="1"/>
      <c r="AN1195" s="1"/>
      <c r="AO1195" s="2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</row>
    <row r="1196" spans="1:60" x14ac:dyDescent="0.25">
      <c r="A1196" s="14"/>
      <c r="B1196" s="14"/>
      <c r="C1196" s="14"/>
      <c r="D1196" s="14"/>
      <c r="E1196" s="14"/>
      <c r="F1196" s="14"/>
      <c r="T1196"/>
      <c r="AK1196" s="12"/>
      <c r="AL1196" s="1"/>
      <c r="AM1196" s="1"/>
      <c r="AN1196" s="1"/>
      <c r="AO1196" s="2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</row>
    <row r="1197" spans="1:60" x14ac:dyDescent="0.25">
      <c r="A1197" s="14"/>
      <c r="B1197" s="14"/>
      <c r="C1197" s="14"/>
      <c r="D1197" s="14"/>
      <c r="E1197" s="14"/>
      <c r="F1197" s="14"/>
      <c r="T1197"/>
      <c r="AK1197" s="12"/>
      <c r="AL1197" s="1"/>
      <c r="AM1197" s="1"/>
      <c r="AN1197" s="1"/>
      <c r="AO1197" s="2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</row>
    <row r="1198" spans="1:60" x14ac:dyDescent="0.25">
      <c r="A1198" s="14"/>
      <c r="B1198" s="14"/>
      <c r="C1198" s="14"/>
      <c r="D1198" s="14"/>
      <c r="E1198" s="14"/>
      <c r="F1198" s="14"/>
      <c r="T1198"/>
      <c r="AK1198" s="12"/>
      <c r="AL1198" s="1"/>
      <c r="AM1198" s="1"/>
      <c r="AN1198" s="1"/>
      <c r="AO1198" s="2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</row>
    <row r="1199" spans="1:60" x14ac:dyDescent="0.25">
      <c r="A1199" s="14"/>
      <c r="B1199" s="14"/>
      <c r="C1199" s="14"/>
      <c r="D1199" s="14"/>
      <c r="E1199" s="14"/>
      <c r="F1199" s="14"/>
      <c r="T1199"/>
      <c r="AK1199" s="12"/>
      <c r="AL1199" s="1"/>
      <c r="AM1199" s="1"/>
      <c r="AN1199" s="1"/>
      <c r="AO1199" s="2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</row>
    <row r="1200" spans="1:60" x14ac:dyDescent="0.25">
      <c r="A1200" s="14"/>
      <c r="B1200" s="14"/>
      <c r="C1200" s="14"/>
      <c r="D1200" s="14"/>
      <c r="E1200" s="14"/>
      <c r="F1200" s="14"/>
      <c r="T1200"/>
      <c r="AK1200" s="12"/>
      <c r="AL1200" s="1"/>
      <c r="AM1200" s="1"/>
      <c r="AN1200" s="1"/>
      <c r="AO1200" s="2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</row>
    <row r="1201" spans="1:60" x14ac:dyDescent="0.25">
      <c r="A1201" s="14"/>
      <c r="B1201" s="14"/>
      <c r="C1201" s="14"/>
      <c r="D1201" s="14"/>
      <c r="E1201" s="14"/>
      <c r="F1201" s="14"/>
      <c r="T1201"/>
      <c r="AK1201" s="12"/>
      <c r="AL1201" s="1"/>
      <c r="AM1201" s="1"/>
      <c r="AN1201" s="1"/>
      <c r="AO1201" s="2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</row>
    <row r="1202" spans="1:60" x14ac:dyDescent="0.25">
      <c r="A1202" s="14"/>
      <c r="B1202" s="14"/>
      <c r="C1202" s="14"/>
      <c r="D1202" s="14"/>
      <c r="E1202" s="14"/>
      <c r="F1202" s="14"/>
      <c r="T1202"/>
      <c r="AK1202" s="12"/>
      <c r="AL1202" s="1"/>
      <c r="AM1202" s="1"/>
      <c r="AN1202" s="1"/>
      <c r="AO1202" s="2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</row>
    <row r="1203" spans="1:60" x14ac:dyDescent="0.25">
      <c r="A1203" s="14"/>
      <c r="B1203" s="14"/>
      <c r="C1203" s="14"/>
      <c r="D1203" s="14"/>
      <c r="E1203" s="14"/>
      <c r="F1203" s="14"/>
      <c r="T1203"/>
      <c r="AK1203" s="12"/>
      <c r="AL1203" s="1"/>
      <c r="AM1203" s="1"/>
      <c r="AN1203" s="1"/>
      <c r="AO1203" s="2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</row>
    <row r="1204" spans="1:60" x14ac:dyDescent="0.25">
      <c r="A1204" s="14"/>
      <c r="B1204" s="14"/>
      <c r="C1204" s="14"/>
      <c r="D1204" s="14"/>
      <c r="E1204" s="14"/>
      <c r="F1204" s="14"/>
      <c r="T1204"/>
      <c r="AK1204" s="12"/>
      <c r="AL1204" s="1"/>
      <c r="AM1204" s="1"/>
      <c r="AN1204" s="1"/>
      <c r="AO1204" s="2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</row>
    <row r="1205" spans="1:60" x14ac:dyDescent="0.25">
      <c r="A1205" s="14"/>
      <c r="B1205" s="14"/>
      <c r="C1205" s="14"/>
      <c r="D1205" s="14"/>
      <c r="E1205" s="14"/>
      <c r="F1205" s="14"/>
      <c r="T1205"/>
      <c r="AK1205" s="12"/>
      <c r="AL1205" s="1"/>
      <c r="AM1205" s="1"/>
      <c r="AN1205" s="1"/>
      <c r="AO1205" s="2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</row>
    <row r="1206" spans="1:60" x14ac:dyDescent="0.25">
      <c r="A1206" s="14"/>
      <c r="B1206" s="14"/>
      <c r="C1206" s="14"/>
      <c r="D1206" s="14"/>
      <c r="E1206" s="14"/>
      <c r="F1206" s="14"/>
      <c r="T1206"/>
      <c r="AK1206" s="12"/>
      <c r="AL1206" s="1"/>
      <c r="AM1206" s="1"/>
      <c r="AN1206" s="1"/>
      <c r="AO1206" s="2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</row>
    <row r="1207" spans="1:60" x14ac:dyDescent="0.25">
      <c r="A1207" s="14"/>
      <c r="B1207" s="14"/>
      <c r="C1207" s="14"/>
      <c r="D1207" s="14"/>
      <c r="E1207" s="14"/>
      <c r="F1207" s="14"/>
      <c r="T1207"/>
      <c r="AK1207" s="12"/>
      <c r="AL1207" s="1"/>
      <c r="AM1207" s="1"/>
      <c r="AN1207" s="1"/>
      <c r="AO1207" s="2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</row>
    <row r="1208" spans="1:60" x14ac:dyDescent="0.25">
      <c r="A1208" s="14"/>
      <c r="B1208" s="14"/>
      <c r="C1208" s="14"/>
      <c r="D1208" s="14"/>
      <c r="E1208" s="14"/>
      <c r="F1208" s="14"/>
      <c r="T1208"/>
      <c r="AK1208" s="12"/>
      <c r="AL1208" s="1"/>
      <c r="AM1208" s="1"/>
      <c r="AN1208" s="1"/>
      <c r="AO1208" s="2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</row>
    <row r="1209" spans="1:60" x14ac:dyDescent="0.25">
      <c r="A1209" s="14"/>
      <c r="B1209" s="14"/>
      <c r="C1209" s="14"/>
      <c r="D1209" s="14"/>
      <c r="E1209" s="14"/>
      <c r="F1209" s="14"/>
      <c r="T1209"/>
      <c r="AK1209" s="12"/>
      <c r="AL1209" s="1"/>
      <c r="AM1209" s="1"/>
      <c r="AN1209" s="1"/>
      <c r="AO1209" s="2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</row>
    <row r="1210" spans="1:60" x14ac:dyDescent="0.25">
      <c r="A1210" s="14"/>
      <c r="B1210" s="14"/>
      <c r="C1210" s="14"/>
      <c r="D1210" s="14"/>
      <c r="E1210" s="14"/>
      <c r="F1210" s="14"/>
      <c r="T1210"/>
      <c r="AK1210" s="12"/>
      <c r="AL1210" s="1"/>
      <c r="AM1210" s="1"/>
      <c r="AN1210" s="1"/>
      <c r="AO1210" s="2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</row>
    <row r="1211" spans="1:60" x14ac:dyDescent="0.25">
      <c r="A1211" s="14"/>
      <c r="B1211" s="14"/>
      <c r="C1211" s="14"/>
      <c r="D1211" s="14"/>
      <c r="E1211" s="14"/>
      <c r="F1211" s="14"/>
      <c r="T1211"/>
      <c r="AK1211" s="12"/>
      <c r="AL1211" s="1"/>
      <c r="AM1211" s="1"/>
      <c r="AN1211" s="1"/>
      <c r="AO1211" s="2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</row>
    <row r="1212" spans="1:60" x14ac:dyDescent="0.25">
      <c r="A1212" s="14"/>
      <c r="B1212" s="14"/>
      <c r="C1212" s="14"/>
      <c r="D1212" s="14"/>
      <c r="E1212" s="14"/>
      <c r="F1212" s="14"/>
      <c r="T1212"/>
      <c r="AK1212" s="12"/>
      <c r="AL1212" s="1"/>
      <c r="AM1212" s="1"/>
      <c r="AN1212" s="1"/>
      <c r="AO1212" s="2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</row>
    <row r="1213" spans="1:60" x14ac:dyDescent="0.25">
      <c r="A1213" s="14"/>
      <c r="B1213" s="14"/>
      <c r="C1213" s="14"/>
      <c r="D1213" s="14"/>
      <c r="E1213" s="14"/>
      <c r="F1213" s="14"/>
      <c r="T1213"/>
      <c r="AK1213" s="12"/>
      <c r="AL1213" s="1"/>
      <c r="AM1213" s="1"/>
      <c r="AN1213" s="1"/>
      <c r="AO1213" s="2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</row>
    <row r="1214" spans="1:60" x14ac:dyDescent="0.25">
      <c r="A1214" s="14"/>
      <c r="B1214" s="14"/>
      <c r="C1214" s="14"/>
      <c r="D1214" s="14"/>
      <c r="E1214" s="14"/>
      <c r="F1214" s="14"/>
      <c r="T1214"/>
      <c r="AK1214" s="12"/>
      <c r="AL1214" s="1"/>
      <c r="AM1214" s="1"/>
      <c r="AN1214" s="1"/>
      <c r="AO1214" s="2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</row>
    <row r="1215" spans="1:60" x14ac:dyDescent="0.25">
      <c r="A1215" s="14"/>
      <c r="B1215" s="14"/>
      <c r="C1215" s="14"/>
      <c r="D1215" s="14"/>
      <c r="E1215" s="14"/>
      <c r="F1215" s="14"/>
      <c r="T1215"/>
      <c r="AK1215" s="12"/>
      <c r="AL1215" s="1"/>
      <c r="AM1215" s="1"/>
      <c r="AN1215" s="1"/>
      <c r="AO1215" s="2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</row>
    <row r="1216" spans="1:60" x14ac:dyDescent="0.25">
      <c r="A1216" s="14"/>
      <c r="B1216" s="14"/>
      <c r="C1216" s="14"/>
      <c r="D1216" s="14"/>
      <c r="E1216" s="14"/>
      <c r="F1216" s="14"/>
      <c r="T1216"/>
      <c r="AK1216" s="12"/>
      <c r="AL1216" s="1"/>
      <c r="AM1216" s="1"/>
      <c r="AN1216" s="1"/>
      <c r="AO1216" s="2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</row>
    <row r="1217" spans="1:60" x14ac:dyDescent="0.25">
      <c r="A1217" s="14"/>
      <c r="B1217" s="14"/>
      <c r="C1217" s="14"/>
      <c r="D1217" s="14"/>
      <c r="E1217" s="14"/>
      <c r="F1217" s="14"/>
      <c r="T1217"/>
      <c r="AK1217" s="12"/>
      <c r="AL1217" s="1"/>
      <c r="AM1217" s="1"/>
      <c r="AN1217" s="1"/>
      <c r="AO1217" s="2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</row>
    <row r="1218" spans="1:60" x14ac:dyDescent="0.25">
      <c r="A1218" s="14"/>
      <c r="B1218" s="14"/>
      <c r="C1218" s="14"/>
      <c r="D1218" s="14"/>
      <c r="E1218" s="14"/>
      <c r="F1218" s="14"/>
      <c r="T1218"/>
      <c r="AK1218" s="12"/>
      <c r="AL1218" s="1"/>
      <c r="AM1218" s="1"/>
      <c r="AN1218" s="1"/>
      <c r="AO1218" s="2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</row>
    <row r="1219" spans="1:60" x14ac:dyDescent="0.25">
      <c r="A1219" s="14"/>
      <c r="B1219" s="14"/>
      <c r="C1219" s="14"/>
      <c r="D1219" s="14"/>
      <c r="E1219" s="14"/>
      <c r="F1219" s="14"/>
      <c r="T1219"/>
      <c r="AK1219" s="12"/>
      <c r="AL1219" s="1"/>
      <c r="AM1219" s="1"/>
      <c r="AN1219" s="1"/>
      <c r="AO1219" s="2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</row>
    <row r="1220" spans="1:60" x14ac:dyDescent="0.25">
      <c r="A1220" s="14"/>
      <c r="B1220" s="14"/>
      <c r="C1220" s="14"/>
      <c r="D1220" s="14"/>
      <c r="E1220" s="14"/>
      <c r="F1220" s="14"/>
      <c r="T1220"/>
      <c r="AK1220" s="12"/>
      <c r="AL1220" s="1"/>
      <c r="AM1220" s="1"/>
      <c r="AN1220" s="1"/>
      <c r="AO1220" s="2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</row>
    <row r="1221" spans="1:60" x14ac:dyDescent="0.25">
      <c r="A1221" s="14"/>
      <c r="B1221" s="14"/>
      <c r="C1221" s="14"/>
      <c r="D1221" s="14"/>
      <c r="E1221" s="14"/>
      <c r="F1221" s="14"/>
      <c r="T1221"/>
      <c r="AK1221" s="12"/>
      <c r="AL1221" s="1"/>
      <c r="AM1221" s="1"/>
      <c r="AN1221" s="1"/>
      <c r="AO1221" s="2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</row>
    <row r="1222" spans="1:60" x14ac:dyDescent="0.25">
      <c r="A1222" s="14"/>
      <c r="B1222" s="14"/>
      <c r="C1222" s="14"/>
      <c r="D1222" s="14"/>
      <c r="E1222" s="14"/>
      <c r="F1222" s="14"/>
      <c r="T1222"/>
      <c r="AK1222" s="12"/>
      <c r="AL1222" s="1"/>
      <c r="AM1222" s="1"/>
      <c r="AN1222" s="1"/>
      <c r="AO1222" s="2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</row>
    <row r="1223" spans="1:60" x14ac:dyDescent="0.25">
      <c r="A1223" s="14"/>
      <c r="B1223" s="14"/>
      <c r="C1223" s="14"/>
      <c r="D1223" s="14"/>
      <c r="E1223" s="14"/>
      <c r="F1223" s="14"/>
      <c r="T1223"/>
      <c r="AK1223" s="12"/>
      <c r="AL1223" s="1"/>
      <c r="AM1223" s="1"/>
      <c r="AN1223" s="1"/>
      <c r="AO1223" s="2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</row>
    <row r="1224" spans="1:60" x14ac:dyDescent="0.25">
      <c r="A1224" s="14"/>
      <c r="B1224" s="14"/>
      <c r="C1224" s="14"/>
      <c r="D1224" s="14"/>
      <c r="E1224" s="14"/>
      <c r="F1224" s="14"/>
      <c r="T1224"/>
      <c r="AK1224" s="12"/>
      <c r="AL1224" s="1"/>
      <c r="AM1224" s="1"/>
      <c r="AN1224" s="1"/>
      <c r="AO1224" s="2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</row>
    <row r="1225" spans="1:60" x14ac:dyDescent="0.25">
      <c r="A1225" s="14"/>
      <c r="B1225" s="14"/>
      <c r="C1225" s="14"/>
      <c r="D1225" s="14"/>
      <c r="E1225" s="14"/>
      <c r="F1225" s="14"/>
      <c r="T1225"/>
      <c r="AK1225" s="12"/>
      <c r="AL1225" s="1"/>
      <c r="AM1225" s="1"/>
      <c r="AN1225" s="1"/>
      <c r="AO1225" s="2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</row>
    <row r="1226" spans="1:60" x14ac:dyDescent="0.25">
      <c r="A1226" s="14"/>
      <c r="B1226" s="14"/>
      <c r="C1226" s="14"/>
      <c r="D1226" s="14"/>
      <c r="E1226" s="14"/>
      <c r="F1226" s="14"/>
      <c r="T1226"/>
      <c r="AK1226" s="12"/>
      <c r="AL1226" s="1"/>
      <c r="AM1226" s="1"/>
      <c r="AN1226" s="1"/>
      <c r="AO1226" s="2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</row>
    <row r="1227" spans="1:60" x14ac:dyDescent="0.25">
      <c r="A1227" s="14"/>
      <c r="B1227" s="14"/>
      <c r="C1227" s="14"/>
      <c r="D1227" s="14"/>
      <c r="E1227" s="14"/>
      <c r="F1227" s="14"/>
      <c r="T1227"/>
      <c r="AK1227" s="12"/>
      <c r="AL1227" s="1"/>
      <c r="AM1227" s="1"/>
      <c r="AN1227" s="1"/>
      <c r="AO1227" s="2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</row>
    <row r="1228" spans="1:60" x14ac:dyDescent="0.25">
      <c r="A1228" s="14"/>
      <c r="B1228" s="14"/>
      <c r="C1228" s="14"/>
      <c r="D1228" s="14"/>
      <c r="E1228" s="14"/>
      <c r="F1228" s="14"/>
      <c r="T1228"/>
      <c r="AK1228" s="12"/>
      <c r="AL1228" s="1"/>
      <c r="AM1228" s="1"/>
      <c r="AN1228" s="1"/>
      <c r="AO1228" s="2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</row>
    <row r="1229" spans="1:60" x14ac:dyDescent="0.25">
      <c r="A1229" s="14"/>
      <c r="B1229" s="14"/>
      <c r="C1229" s="14"/>
      <c r="D1229" s="14"/>
      <c r="E1229" s="14"/>
      <c r="F1229" s="14"/>
      <c r="T1229"/>
      <c r="AK1229" s="12"/>
      <c r="AL1229" s="1"/>
      <c r="AM1229" s="1"/>
      <c r="AN1229" s="1"/>
      <c r="AO1229" s="2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</row>
    <row r="1230" spans="1:60" x14ac:dyDescent="0.25">
      <c r="A1230" s="14"/>
      <c r="B1230" s="14"/>
      <c r="C1230" s="14"/>
      <c r="D1230" s="14"/>
      <c r="E1230" s="14"/>
      <c r="F1230" s="14"/>
      <c r="T1230"/>
      <c r="AK1230" s="12"/>
      <c r="AL1230" s="1"/>
      <c r="AM1230" s="1"/>
      <c r="AN1230" s="1"/>
      <c r="AO1230" s="2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</row>
    <row r="1231" spans="1:60" x14ac:dyDescent="0.25">
      <c r="A1231" s="14"/>
      <c r="B1231" s="14"/>
      <c r="C1231" s="14"/>
      <c r="D1231" s="14"/>
      <c r="E1231" s="14"/>
      <c r="F1231" s="14"/>
      <c r="T1231"/>
      <c r="AK1231" s="12"/>
      <c r="AL1231" s="1"/>
      <c r="AM1231" s="1"/>
      <c r="AN1231" s="1"/>
      <c r="AO1231" s="2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</row>
    <row r="1232" spans="1:60" x14ac:dyDescent="0.25">
      <c r="A1232" s="14"/>
      <c r="B1232" s="14"/>
      <c r="C1232" s="14"/>
      <c r="D1232" s="14"/>
      <c r="E1232" s="14"/>
      <c r="F1232" s="14"/>
      <c r="T1232"/>
      <c r="AK1232" s="12"/>
      <c r="AL1232" s="1"/>
      <c r="AM1232" s="1"/>
      <c r="AN1232" s="1"/>
      <c r="AO1232" s="2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</row>
    <row r="1233" spans="1:60" x14ac:dyDescent="0.25">
      <c r="A1233" s="14"/>
      <c r="B1233" s="14"/>
      <c r="C1233" s="14"/>
      <c r="D1233" s="14"/>
      <c r="E1233" s="14"/>
      <c r="F1233" s="14"/>
      <c r="T1233"/>
      <c r="AK1233" s="12"/>
      <c r="AL1233" s="1"/>
      <c r="AM1233" s="1"/>
      <c r="AN1233" s="1"/>
      <c r="AO1233" s="2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</row>
    <row r="1234" spans="1:60" x14ac:dyDescent="0.25">
      <c r="A1234" s="14"/>
      <c r="B1234" s="14"/>
      <c r="C1234" s="14"/>
      <c r="D1234" s="14"/>
      <c r="E1234" s="14"/>
      <c r="F1234" s="14"/>
      <c r="T1234"/>
      <c r="AK1234" s="12"/>
      <c r="AL1234" s="1"/>
      <c r="AM1234" s="1"/>
      <c r="AN1234" s="1"/>
      <c r="AO1234" s="2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</row>
    <row r="1235" spans="1:60" x14ac:dyDescent="0.25">
      <c r="A1235" s="14"/>
      <c r="B1235" s="14"/>
      <c r="C1235" s="14"/>
      <c r="D1235" s="14"/>
      <c r="E1235" s="14"/>
      <c r="F1235" s="14"/>
      <c r="T1235"/>
      <c r="AK1235" s="12"/>
      <c r="AL1235" s="1"/>
      <c r="AM1235" s="1"/>
      <c r="AN1235" s="1"/>
      <c r="AO1235" s="2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</row>
    <row r="1236" spans="1:60" x14ac:dyDescent="0.25">
      <c r="A1236" s="14"/>
      <c r="B1236" s="14"/>
      <c r="C1236" s="14"/>
      <c r="D1236" s="14"/>
      <c r="E1236" s="14"/>
      <c r="F1236" s="14"/>
      <c r="T1236"/>
      <c r="AK1236" s="12"/>
      <c r="AL1236" s="1"/>
      <c r="AM1236" s="1"/>
      <c r="AN1236" s="1"/>
      <c r="AO1236" s="2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</row>
    <row r="1237" spans="1:60" x14ac:dyDescent="0.25">
      <c r="A1237" s="14"/>
      <c r="B1237" s="14"/>
      <c r="C1237" s="14"/>
      <c r="D1237" s="14"/>
      <c r="E1237" s="14"/>
      <c r="F1237" s="14"/>
      <c r="T1237"/>
      <c r="AK1237" s="12"/>
      <c r="AL1237" s="1"/>
      <c r="AM1237" s="1"/>
      <c r="AN1237" s="1"/>
      <c r="AO1237" s="2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</row>
    <row r="1238" spans="1:60" x14ac:dyDescent="0.25">
      <c r="A1238" s="14"/>
      <c r="B1238" s="14"/>
      <c r="C1238" s="14"/>
      <c r="D1238" s="14"/>
      <c r="E1238" s="14"/>
      <c r="F1238" s="14"/>
      <c r="T1238"/>
      <c r="AK1238" s="12"/>
      <c r="AL1238" s="1"/>
      <c r="AM1238" s="1"/>
      <c r="AN1238" s="1"/>
      <c r="AO1238" s="2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</row>
    <row r="1239" spans="1:60" x14ac:dyDescent="0.25">
      <c r="A1239" s="14"/>
      <c r="B1239" s="14"/>
      <c r="C1239" s="14"/>
      <c r="D1239" s="14"/>
      <c r="E1239" s="14"/>
      <c r="F1239" s="14"/>
      <c r="T1239"/>
      <c r="AK1239" s="12"/>
      <c r="AL1239" s="1"/>
      <c r="AM1239" s="1"/>
      <c r="AN1239" s="1"/>
      <c r="AO1239" s="2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</row>
    <row r="1240" spans="1:60" x14ac:dyDescent="0.25">
      <c r="A1240" s="14"/>
      <c r="B1240" s="14"/>
      <c r="C1240" s="14"/>
      <c r="D1240" s="14"/>
      <c r="E1240" s="14"/>
      <c r="F1240" s="14"/>
      <c r="T1240"/>
      <c r="AK1240" s="12"/>
      <c r="AL1240" s="1"/>
      <c r="AM1240" s="1"/>
      <c r="AN1240" s="1"/>
      <c r="AO1240" s="2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</row>
    <row r="1241" spans="1:60" x14ac:dyDescent="0.25">
      <c r="A1241" s="14"/>
      <c r="B1241" s="14"/>
      <c r="C1241" s="14"/>
      <c r="D1241" s="14"/>
      <c r="E1241" s="14"/>
      <c r="F1241" s="14"/>
      <c r="T1241"/>
      <c r="AK1241" s="12"/>
      <c r="AL1241" s="1"/>
      <c r="AM1241" s="1"/>
      <c r="AN1241" s="1"/>
      <c r="AO1241" s="2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</row>
    <row r="1242" spans="1:60" x14ac:dyDescent="0.25">
      <c r="A1242" s="14"/>
      <c r="B1242" s="14"/>
      <c r="C1242" s="14"/>
      <c r="D1242" s="14"/>
      <c r="E1242" s="14"/>
      <c r="F1242" s="14"/>
      <c r="T1242"/>
      <c r="AK1242" s="12"/>
      <c r="AL1242" s="1"/>
      <c r="AM1242" s="1"/>
      <c r="AN1242" s="1"/>
      <c r="AO1242" s="2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</row>
    <row r="1243" spans="1:60" x14ac:dyDescent="0.25">
      <c r="A1243" s="14"/>
      <c r="B1243" s="14"/>
      <c r="C1243" s="14"/>
      <c r="D1243" s="14"/>
      <c r="E1243" s="14"/>
      <c r="F1243" s="14"/>
      <c r="T1243"/>
      <c r="AK1243" s="12"/>
      <c r="AL1243" s="1"/>
      <c r="AM1243" s="1"/>
      <c r="AN1243" s="1"/>
      <c r="AO1243" s="2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</row>
    <row r="1244" spans="1:60" x14ac:dyDescent="0.25">
      <c r="A1244" s="14"/>
      <c r="B1244" s="14"/>
      <c r="C1244" s="14"/>
      <c r="D1244" s="14"/>
      <c r="E1244" s="14"/>
      <c r="F1244" s="14"/>
      <c r="T1244"/>
      <c r="AK1244" s="12"/>
      <c r="AL1244" s="1"/>
      <c r="AM1244" s="1"/>
      <c r="AN1244" s="1"/>
      <c r="AO1244" s="2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</row>
    <row r="1245" spans="1:60" x14ac:dyDescent="0.25">
      <c r="A1245" s="14"/>
      <c r="B1245" s="14"/>
      <c r="C1245" s="14"/>
      <c r="D1245" s="14"/>
      <c r="E1245" s="14"/>
      <c r="F1245" s="14"/>
      <c r="T1245"/>
      <c r="AK1245" s="12"/>
      <c r="AL1245" s="1"/>
      <c r="AM1245" s="1"/>
      <c r="AN1245" s="1"/>
      <c r="AO1245" s="2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</row>
    <row r="1246" spans="1:60" x14ac:dyDescent="0.25">
      <c r="A1246" s="14"/>
      <c r="B1246" s="14"/>
      <c r="C1246" s="14"/>
      <c r="D1246" s="14"/>
      <c r="E1246" s="14"/>
      <c r="F1246" s="14"/>
      <c r="T1246"/>
      <c r="AK1246" s="12"/>
      <c r="AL1246" s="1"/>
      <c r="AM1246" s="1"/>
      <c r="AN1246" s="1"/>
      <c r="AO1246" s="2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</row>
    <row r="1247" spans="1:60" x14ac:dyDescent="0.25">
      <c r="A1247" s="14"/>
      <c r="B1247" s="14"/>
      <c r="C1247" s="14"/>
      <c r="D1247" s="14"/>
      <c r="E1247" s="14"/>
      <c r="F1247" s="14"/>
      <c r="T1247"/>
      <c r="AK1247" s="12"/>
      <c r="AL1247" s="1"/>
      <c r="AM1247" s="1"/>
      <c r="AN1247" s="1"/>
      <c r="AO1247" s="2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</row>
    <row r="1248" spans="1:60" x14ac:dyDescent="0.25">
      <c r="A1248" s="14"/>
      <c r="B1248" s="14"/>
      <c r="C1248" s="14"/>
      <c r="D1248" s="14"/>
      <c r="E1248" s="14"/>
      <c r="F1248" s="14"/>
      <c r="T1248"/>
      <c r="AK1248" s="12"/>
      <c r="AL1248" s="1"/>
      <c r="AM1248" s="1"/>
      <c r="AN1248" s="1"/>
      <c r="AO1248" s="2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</row>
    <row r="1249" spans="1:60" x14ac:dyDescent="0.25">
      <c r="A1249" s="14"/>
      <c r="B1249" s="14"/>
      <c r="C1249" s="14"/>
      <c r="D1249" s="14"/>
      <c r="E1249" s="14"/>
      <c r="F1249" s="14"/>
      <c r="T1249"/>
      <c r="AK1249" s="12"/>
      <c r="AL1249" s="1"/>
      <c r="AM1249" s="1"/>
      <c r="AN1249" s="1"/>
      <c r="AO1249" s="2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</row>
    <row r="1250" spans="1:60" x14ac:dyDescent="0.25">
      <c r="A1250" s="14"/>
      <c r="B1250" s="14"/>
      <c r="C1250" s="14"/>
      <c r="D1250" s="14"/>
      <c r="E1250" s="14"/>
      <c r="F1250" s="14"/>
      <c r="T1250"/>
      <c r="AK1250" s="12"/>
      <c r="AL1250" s="1"/>
      <c r="AM1250" s="1"/>
      <c r="AN1250" s="1"/>
      <c r="AO1250" s="2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</row>
    <row r="1251" spans="1:60" x14ac:dyDescent="0.25">
      <c r="A1251" s="14"/>
      <c r="B1251" s="14"/>
      <c r="C1251" s="14"/>
      <c r="D1251" s="14"/>
      <c r="E1251" s="14"/>
      <c r="F1251" s="14"/>
      <c r="T1251"/>
      <c r="AK1251" s="12"/>
      <c r="AL1251" s="1"/>
      <c r="AM1251" s="1"/>
      <c r="AN1251" s="1"/>
      <c r="AO1251" s="2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</row>
    <row r="1252" spans="1:60" x14ac:dyDescent="0.25">
      <c r="A1252" s="14"/>
      <c r="B1252" s="14"/>
      <c r="C1252" s="14"/>
      <c r="D1252" s="14"/>
      <c r="E1252" s="14"/>
      <c r="F1252" s="14"/>
      <c r="T1252"/>
      <c r="AK1252" s="12"/>
      <c r="AL1252" s="1"/>
      <c r="AM1252" s="1"/>
      <c r="AN1252" s="1"/>
      <c r="AO1252" s="2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</row>
    <row r="1253" spans="1:60" x14ac:dyDescent="0.25">
      <c r="A1253" s="14"/>
      <c r="B1253" s="14"/>
      <c r="C1253" s="14"/>
      <c r="D1253" s="14"/>
      <c r="E1253" s="14"/>
      <c r="F1253" s="14"/>
      <c r="T1253"/>
      <c r="AK1253" s="12"/>
      <c r="AL1253" s="1"/>
      <c r="AM1253" s="1"/>
      <c r="AN1253" s="1"/>
      <c r="AO1253" s="2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</row>
    <row r="1254" spans="1:60" x14ac:dyDescent="0.25">
      <c r="A1254" s="14"/>
      <c r="B1254" s="14"/>
      <c r="C1254" s="14"/>
      <c r="D1254" s="14"/>
      <c r="E1254" s="14"/>
      <c r="F1254" s="14"/>
      <c r="T1254"/>
      <c r="AK1254" s="12"/>
      <c r="AL1254" s="1"/>
      <c r="AM1254" s="1"/>
      <c r="AN1254" s="1"/>
      <c r="AO1254" s="2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</row>
    <row r="1255" spans="1:60" x14ac:dyDescent="0.25">
      <c r="A1255" s="14"/>
      <c r="B1255" s="14"/>
      <c r="C1255" s="14"/>
      <c r="D1255" s="14"/>
      <c r="E1255" s="14"/>
      <c r="F1255" s="14"/>
      <c r="T1255"/>
      <c r="AK1255" s="12"/>
      <c r="AL1255" s="1"/>
      <c r="AM1255" s="1"/>
      <c r="AN1255" s="1"/>
      <c r="AO1255" s="2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</row>
    <row r="1256" spans="1:60" x14ac:dyDescent="0.25">
      <c r="A1256" s="14"/>
      <c r="B1256" s="14"/>
      <c r="C1256" s="14"/>
      <c r="D1256" s="14"/>
      <c r="E1256" s="14"/>
      <c r="F1256" s="14"/>
      <c r="T1256"/>
      <c r="AK1256" s="12"/>
      <c r="AL1256" s="1"/>
      <c r="AM1256" s="1"/>
      <c r="AN1256" s="1"/>
      <c r="AO1256" s="2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</row>
    <row r="1257" spans="1:60" x14ac:dyDescent="0.25">
      <c r="A1257" s="14"/>
      <c r="B1257" s="14"/>
      <c r="C1257" s="14"/>
      <c r="D1257" s="14"/>
      <c r="E1257" s="14"/>
      <c r="F1257" s="14"/>
      <c r="T1257"/>
      <c r="AK1257" s="12"/>
      <c r="AL1257" s="1"/>
      <c r="AM1257" s="1"/>
      <c r="AN1257" s="1"/>
      <c r="AO1257" s="2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</row>
    <row r="1258" spans="1:60" x14ac:dyDescent="0.25">
      <c r="A1258" s="14"/>
      <c r="B1258" s="14"/>
      <c r="C1258" s="14"/>
      <c r="D1258" s="14"/>
      <c r="E1258" s="14"/>
      <c r="F1258" s="14"/>
      <c r="T1258"/>
      <c r="AK1258" s="12"/>
      <c r="AL1258" s="1"/>
      <c r="AM1258" s="1"/>
      <c r="AN1258" s="1"/>
      <c r="AO1258" s="2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</row>
    <row r="1259" spans="1:60" x14ac:dyDescent="0.25">
      <c r="A1259" s="14"/>
      <c r="B1259" s="14"/>
      <c r="C1259" s="14"/>
      <c r="D1259" s="14"/>
      <c r="E1259" s="14"/>
      <c r="F1259" s="14"/>
      <c r="T1259"/>
      <c r="AK1259" s="12"/>
      <c r="AL1259" s="1"/>
      <c r="AM1259" s="1"/>
      <c r="AN1259" s="1"/>
      <c r="AO1259" s="2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</row>
    <row r="1260" spans="1:60" x14ac:dyDescent="0.25">
      <c r="A1260" s="14"/>
      <c r="B1260" s="14"/>
      <c r="C1260" s="14"/>
      <c r="D1260" s="14"/>
      <c r="E1260" s="14"/>
      <c r="F1260" s="14"/>
      <c r="T1260"/>
      <c r="AK1260" s="12"/>
      <c r="AL1260" s="1"/>
      <c r="AM1260" s="1"/>
      <c r="AN1260" s="1"/>
      <c r="AO1260" s="2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</row>
    <row r="1261" spans="1:60" x14ac:dyDescent="0.25">
      <c r="A1261" s="14"/>
      <c r="B1261" s="14"/>
      <c r="C1261" s="14"/>
      <c r="D1261" s="14"/>
      <c r="E1261" s="14"/>
      <c r="F1261" s="14"/>
      <c r="T1261"/>
      <c r="AK1261" s="12"/>
      <c r="AL1261" s="1"/>
      <c r="AM1261" s="1"/>
      <c r="AN1261" s="1"/>
      <c r="AO1261" s="2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</row>
    <row r="1262" spans="1:60" x14ac:dyDescent="0.25">
      <c r="A1262" s="14"/>
      <c r="B1262" s="14"/>
      <c r="C1262" s="14"/>
      <c r="D1262" s="14"/>
      <c r="E1262" s="14"/>
      <c r="F1262" s="14"/>
      <c r="T1262"/>
      <c r="AK1262" s="12"/>
      <c r="AL1262" s="1"/>
      <c r="AM1262" s="1"/>
      <c r="AN1262" s="1"/>
      <c r="AO1262" s="2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</row>
    <row r="1263" spans="1:60" x14ac:dyDescent="0.25">
      <c r="A1263" s="14"/>
      <c r="B1263" s="14"/>
      <c r="C1263" s="14"/>
      <c r="D1263" s="14"/>
      <c r="E1263" s="14"/>
      <c r="F1263" s="14"/>
      <c r="T1263"/>
      <c r="AK1263" s="12"/>
      <c r="AL1263" s="1"/>
      <c r="AM1263" s="1"/>
      <c r="AN1263" s="1"/>
      <c r="AO1263" s="2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</row>
    <row r="1264" spans="1:60" x14ac:dyDescent="0.25">
      <c r="A1264" s="14"/>
      <c r="B1264" s="14"/>
      <c r="C1264" s="14"/>
      <c r="D1264" s="14"/>
      <c r="E1264" s="14"/>
      <c r="F1264" s="14"/>
      <c r="T1264"/>
      <c r="AK1264" s="12"/>
      <c r="AL1264" s="1"/>
      <c r="AM1264" s="1"/>
      <c r="AN1264" s="1"/>
      <c r="AO1264" s="2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</row>
    <row r="1265" spans="1:60" x14ac:dyDescent="0.25">
      <c r="A1265" s="14"/>
      <c r="B1265" s="14"/>
      <c r="C1265" s="14"/>
      <c r="D1265" s="14"/>
      <c r="E1265" s="14"/>
      <c r="F1265" s="14"/>
      <c r="T1265"/>
      <c r="AK1265" s="12"/>
      <c r="AL1265" s="1"/>
      <c r="AM1265" s="1"/>
      <c r="AN1265" s="1"/>
      <c r="AO1265" s="2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</row>
    <row r="1266" spans="1:60" x14ac:dyDescent="0.25">
      <c r="A1266" s="14"/>
      <c r="B1266" s="14"/>
      <c r="C1266" s="14"/>
      <c r="D1266" s="14"/>
      <c r="E1266" s="14"/>
      <c r="F1266" s="14"/>
      <c r="T1266"/>
      <c r="AK1266" s="12"/>
      <c r="AL1266" s="1"/>
      <c r="AM1266" s="1"/>
      <c r="AN1266" s="1"/>
      <c r="AO1266" s="2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</row>
    <row r="1267" spans="1:60" x14ac:dyDescent="0.25">
      <c r="A1267" s="14"/>
      <c r="B1267" s="14"/>
      <c r="C1267" s="14"/>
      <c r="D1267" s="14"/>
      <c r="E1267" s="14"/>
      <c r="F1267" s="14"/>
      <c r="T1267"/>
      <c r="AK1267" s="12"/>
      <c r="AL1267" s="1"/>
      <c r="AM1267" s="1"/>
      <c r="AN1267" s="1"/>
      <c r="AO1267" s="2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</row>
    <row r="1268" spans="1:60" x14ac:dyDescent="0.25">
      <c r="A1268" s="14"/>
      <c r="B1268" s="14"/>
      <c r="C1268" s="14"/>
      <c r="D1268" s="14"/>
      <c r="E1268" s="14"/>
      <c r="F1268" s="14"/>
      <c r="T1268"/>
      <c r="AK1268" s="12"/>
      <c r="AL1268" s="1"/>
      <c r="AM1268" s="1"/>
      <c r="AN1268" s="1"/>
      <c r="AO1268" s="2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</row>
    <row r="1269" spans="1:60" x14ac:dyDescent="0.25">
      <c r="A1269" s="14"/>
      <c r="B1269" s="14"/>
      <c r="C1269" s="14"/>
      <c r="D1269" s="14"/>
      <c r="E1269" s="14"/>
      <c r="F1269" s="14"/>
      <c r="T1269"/>
      <c r="AK1269" s="12"/>
      <c r="AL1269" s="1"/>
      <c r="AM1269" s="1"/>
      <c r="AN1269" s="1"/>
      <c r="AO1269" s="2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</row>
    <row r="1270" spans="1:60" x14ac:dyDescent="0.25">
      <c r="A1270" s="14"/>
      <c r="B1270" s="14"/>
      <c r="C1270" s="14"/>
      <c r="D1270" s="14"/>
      <c r="E1270" s="14"/>
      <c r="F1270" s="14"/>
      <c r="T1270"/>
      <c r="AK1270" s="12"/>
      <c r="AL1270" s="1"/>
      <c r="AM1270" s="1"/>
      <c r="AN1270" s="1"/>
      <c r="AO1270" s="2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</row>
    <row r="1271" spans="1:60" x14ac:dyDescent="0.25">
      <c r="A1271" s="14"/>
      <c r="B1271" s="14"/>
      <c r="C1271" s="14"/>
      <c r="D1271" s="14"/>
      <c r="E1271" s="14"/>
      <c r="F1271" s="14"/>
      <c r="T1271"/>
      <c r="AK1271" s="12"/>
      <c r="AL1271" s="1"/>
      <c r="AM1271" s="1"/>
      <c r="AN1271" s="1"/>
      <c r="AO1271" s="2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</row>
    <row r="1272" spans="1:60" x14ac:dyDescent="0.25">
      <c r="A1272" s="14"/>
      <c r="B1272" s="14"/>
      <c r="C1272" s="14"/>
      <c r="D1272" s="14"/>
      <c r="E1272" s="14"/>
      <c r="F1272" s="14"/>
      <c r="T1272"/>
      <c r="AK1272" s="12"/>
      <c r="AL1272" s="1"/>
      <c r="AM1272" s="1"/>
      <c r="AN1272" s="1"/>
      <c r="AO1272" s="2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</row>
    <row r="1273" spans="1:60" x14ac:dyDescent="0.25">
      <c r="A1273" s="14"/>
      <c r="B1273" s="14"/>
      <c r="C1273" s="14"/>
      <c r="D1273" s="14"/>
      <c r="E1273" s="14"/>
      <c r="F1273" s="14"/>
      <c r="T1273"/>
      <c r="AK1273" s="12"/>
      <c r="AL1273" s="1"/>
      <c r="AM1273" s="1"/>
      <c r="AN1273" s="1"/>
      <c r="AO1273" s="2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</row>
    <row r="1274" spans="1:60" x14ac:dyDescent="0.25">
      <c r="A1274" s="14"/>
      <c r="B1274" s="14"/>
      <c r="C1274" s="14"/>
      <c r="D1274" s="14"/>
      <c r="E1274" s="14"/>
      <c r="F1274" s="14"/>
      <c r="T1274"/>
      <c r="AK1274" s="12"/>
      <c r="AL1274" s="1"/>
      <c r="AM1274" s="1"/>
      <c r="AN1274" s="1"/>
      <c r="AO1274" s="2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</row>
    <row r="1275" spans="1:60" x14ac:dyDescent="0.25">
      <c r="A1275" s="14"/>
      <c r="B1275" s="14"/>
      <c r="C1275" s="14"/>
      <c r="D1275" s="14"/>
      <c r="E1275" s="14"/>
      <c r="F1275" s="14"/>
      <c r="T1275"/>
      <c r="AK1275" s="12"/>
      <c r="AL1275" s="1"/>
      <c r="AM1275" s="1"/>
      <c r="AN1275" s="1"/>
      <c r="AO1275" s="2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</row>
    <row r="1276" spans="1:60" x14ac:dyDescent="0.25">
      <c r="A1276" s="14"/>
      <c r="B1276" s="14"/>
      <c r="C1276" s="14"/>
      <c r="D1276" s="14"/>
      <c r="E1276" s="14"/>
      <c r="F1276" s="14"/>
      <c r="T1276"/>
      <c r="AK1276" s="12"/>
      <c r="AL1276" s="1"/>
      <c r="AM1276" s="1"/>
      <c r="AN1276" s="1"/>
      <c r="AO1276" s="2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</row>
    <row r="1277" spans="1:60" x14ac:dyDescent="0.25">
      <c r="A1277" s="14"/>
      <c r="B1277" s="14"/>
      <c r="C1277" s="14"/>
      <c r="D1277" s="14"/>
      <c r="E1277" s="14"/>
      <c r="F1277" s="14"/>
      <c r="T1277"/>
      <c r="AK1277" s="12"/>
      <c r="AL1277" s="1"/>
      <c r="AM1277" s="1"/>
      <c r="AN1277" s="1"/>
      <c r="AO1277" s="2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</row>
    <row r="1278" spans="1:60" x14ac:dyDescent="0.25">
      <c r="A1278" s="14"/>
      <c r="B1278" s="14"/>
      <c r="C1278" s="14"/>
      <c r="D1278" s="14"/>
      <c r="E1278" s="14"/>
      <c r="F1278" s="14"/>
      <c r="T1278"/>
      <c r="AK1278" s="12"/>
      <c r="AL1278" s="1"/>
      <c r="AM1278" s="1"/>
      <c r="AN1278" s="1"/>
      <c r="AO1278" s="2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</row>
    <row r="1279" spans="1:60" x14ac:dyDescent="0.25">
      <c r="A1279" s="14"/>
      <c r="B1279" s="14"/>
      <c r="C1279" s="14"/>
      <c r="D1279" s="14"/>
      <c r="E1279" s="14"/>
      <c r="F1279" s="14"/>
      <c r="T1279"/>
      <c r="AK1279" s="12"/>
      <c r="AL1279" s="1"/>
      <c r="AM1279" s="1"/>
      <c r="AN1279" s="1"/>
      <c r="AO1279" s="2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</row>
    <row r="1280" spans="1:60" x14ac:dyDescent="0.25">
      <c r="A1280" s="14"/>
      <c r="B1280" s="14"/>
      <c r="C1280" s="14"/>
      <c r="D1280" s="14"/>
      <c r="E1280" s="14"/>
      <c r="F1280" s="14"/>
      <c r="T1280"/>
      <c r="AK1280" s="12"/>
      <c r="AL1280" s="1"/>
      <c r="AM1280" s="1"/>
      <c r="AN1280" s="1"/>
      <c r="AO1280" s="2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</row>
    <row r="1281" spans="1:60" x14ac:dyDescent="0.25">
      <c r="A1281" s="14"/>
      <c r="B1281" s="14"/>
      <c r="C1281" s="14"/>
      <c r="D1281" s="14"/>
      <c r="E1281" s="14"/>
      <c r="F1281" s="14"/>
      <c r="T1281"/>
      <c r="AK1281" s="12"/>
      <c r="AL1281" s="1"/>
      <c r="AM1281" s="1"/>
      <c r="AN1281" s="1"/>
      <c r="AO1281" s="2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</row>
    <row r="1282" spans="1:60" x14ac:dyDescent="0.25">
      <c r="A1282" s="14"/>
      <c r="B1282" s="14"/>
      <c r="C1282" s="14"/>
      <c r="D1282" s="14"/>
      <c r="E1282" s="14"/>
      <c r="F1282" s="14"/>
      <c r="T1282"/>
      <c r="AK1282" s="12"/>
      <c r="AL1282" s="1"/>
      <c r="AM1282" s="1"/>
      <c r="AN1282" s="1"/>
      <c r="AO1282" s="2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</row>
    <row r="1283" spans="1:60" x14ac:dyDescent="0.25">
      <c r="A1283" s="14"/>
      <c r="B1283" s="14"/>
      <c r="C1283" s="14"/>
      <c r="D1283" s="14"/>
      <c r="E1283" s="14"/>
      <c r="F1283" s="14"/>
      <c r="T1283"/>
      <c r="AK1283" s="12"/>
      <c r="AL1283" s="1"/>
      <c r="AM1283" s="1"/>
      <c r="AN1283" s="1"/>
      <c r="AO1283" s="2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</row>
    <row r="1284" spans="1:60" x14ac:dyDescent="0.25">
      <c r="A1284" s="14"/>
      <c r="B1284" s="14"/>
      <c r="C1284" s="14"/>
      <c r="D1284" s="14"/>
      <c r="E1284" s="14"/>
      <c r="F1284" s="14"/>
      <c r="T1284"/>
      <c r="AK1284" s="12"/>
      <c r="AL1284" s="1"/>
      <c r="AM1284" s="1"/>
      <c r="AN1284" s="1"/>
      <c r="AO1284" s="2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</row>
    <row r="1285" spans="1:60" x14ac:dyDescent="0.25">
      <c r="A1285" s="14"/>
      <c r="B1285" s="14"/>
      <c r="C1285" s="14"/>
      <c r="D1285" s="14"/>
      <c r="E1285" s="14"/>
      <c r="F1285" s="14"/>
      <c r="T1285"/>
      <c r="AK1285" s="12"/>
      <c r="AL1285" s="1"/>
      <c r="AM1285" s="1"/>
      <c r="AN1285" s="1"/>
      <c r="AO1285" s="2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</row>
    <row r="1286" spans="1:60" x14ac:dyDescent="0.25">
      <c r="A1286" s="14"/>
      <c r="B1286" s="14"/>
      <c r="C1286" s="14"/>
      <c r="D1286" s="14"/>
      <c r="E1286" s="14"/>
      <c r="F1286" s="14"/>
      <c r="T1286"/>
      <c r="AK1286" s="12"/>
      <c r="AL1286" s="1"/>
      <c r="AM1286" s="1"/>
      <c r="AN1286" s="1"/>
      <c r="AO1286" s="2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</row>
    <row r="1287" spans="1:60" x14ac:dyDescent="0.25">
      <c r="A1287" s="14"/>
      <c r="B1287" s="14"/>
      <c r="C1287" s="14"/>
      <c r="D1287" s="14"/>
      <c r="E1287" s="14"/>
      <c r="F1287" s="14"/>
      <c r="T1287"/>
      <c r="AK1287" s="12"/>
      <c r="AL1287" s="1"/>
      <c r="AM1287" s="1"/>
      <c r="AN1287" s="1"/>
      <c r="AO1287" s="2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</row>
    <row r="1288" spans="1:60" x14ac:dyDescent="0.25">
      <c r="A1288" s="14"/>
      <c r="B1288" s="14"/>
      <c r="C1288" s="14"/>
      <c r="D1288" s="14"/>
      <c r="E1288" s="14"/>
      <c r="F1288" s="14"/>
      <c r="T1288"/>
      <c r="AK1288" s="12"/>
      <c r="AL1288" s="1"/>
      <c r="AM1288" s="1"/>
      <c r="AN1288" s="1"/>
      <c r="AO1288" s="2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</row>
    <row r="1289" spans="1:60" x14ac:dyDescent="0.25">
      <c r="A1289" s="14"/>
      <c r="B1289" s="14"/>
      <c r="C1289" s="14"/>
      <c r="D1289" s="14"/>
      <c r="E1289" s="14"/>
      <c r="F1289" s="14"/>
      <c r="T1289"/>
      <c r="AK1289" s="12"/>
      <c r="AL1289" s="1"/>
      <c r="AM1289" s="1"/>
      <c r="AN1289" s="1"/>
      <c r="AO1289" s="2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</row>
    <row r="1290" spans="1:60" x14ac:dyDescent="0.25">
      <c r="A1290" s="14"/>
      <c r="B1290" s="14"/>
      <c r="C1290" s="14"/>
      <c r="D1290" s="14"/>
      <c r="E1290" s="14"/>
      <c r="F1290" s="14"/>
      <c r="T1290"/>
      <c r="AK1290" s="12"/>
      <c r="AL1290" s="1"/>
      <c r="AM1290" s="1"/>
      <c r="AN1290" s="1"/>
      <c r="AO1290" s="2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</row>
    <row r="1291" spans="1:60" x14ac:dyDescent="0.25">
      <c r="A1291" s="14"/>
      <c r="B1291" s="14"/>
      <c r="C1291" s="14"/>
      <c r="D1291" s="14"/>
      <c r="E1291" s="14"/>
      <c r="F1291" s="14"/>
      <c r="T1291"/>
      <c r="AK1291" s="12"/>
      <c r="AL1291" s="1"/>
      <c r="AM1291" s="1"/>
      <c r="AN1291" s="1"/>
      <c r="AO1291" s="2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</row>
    <row r="1292" spans="1:60" x14ac:dyDescent="0.25">
      <c r="A1292" s="14"/>
      <c r="B1292" s="14"/>
      <c r="C1292" s="14"/>
      <c r="D1292" s="14"/>
      <c r="E1292" s="14"/>
      <c r="F1292" s="14"/>
      <c r="T1292"/>
      <c r="AK1292" s="12"/>
      <c r="AL1292" s="1"/>
      <c r="AM1292" s="1"/>
      <c r="AN1292" s="1"/>
      <c r="AO1292" s="2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</row>
    <row r="1293" spans="1:60" x14ac:dyDescent="0.25">
      <c r="A1293" s="14"/>
      <c r="B1293" s="14"/>
      <c r="C1293" s="14"/>
      <c r="D1293" s="14"/>
      <c r="E1293" s="14"/>
      <c r="F1293" s="14"/>
      <c r="T1293"/>
      <c r="AK1293" s="12"/>
      <c r="AL1293" s="1"/>
      <c r="AM1293" s="1"/>
      <c r="AN1293" s="1"/>
      <c r="AO1293" s="2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</row>
    <row r="1294" spans="1:60" x14ac:dyDescent="0.25">
      <c r="A1294" s="14"/>
      <c r="B1294" s="14"/>
      <c r="C1294" s="14"/>
      <c r="D1294" s="14"/>
      <c r="E1294" s="14"/>
      <c r="F1294" s="14"/>
      <c r="T1294"/>
      <c r="AK1294" s="12"/>
      <c r="AL1294" s="1"/>
      <c r="AM1294" s="1"/>
      <c r="AN1294" s="1"/>
      <c r="AO1294" s="2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</row>
    <row r="1295" spans="1:60" x14ac:dyDescent="0.25">
      <c r="A1295" s="14"/>
      <c r="B1295" s="14"/>
      <c r="C1295" s="14"/>
      <c r="D1295" s="14"/>
      <c r="E1295" s="14"/>
      <c r="F1295" s="14"/>
      <c r="T1295"/>
      <c r="AK1295" s="12"/>
      <c r="AL1295" s="1"/>
      <c r="AM1295" s="1"/>
      <c r="AN1295" s="1"/>
      <c r="AO1295" s="2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</row>
    <row r="1296" spans="1:60" x14ac:dyDescent="0.25">
      <c r="A1296" s="14"/>
      <c r="B1296" s="14"/>
      <c r="C1296" s="14"/>
      <c r="D1296" s="14"/>
      <c r="E1296" s="14"/>
      <c r="F1296" s="14"/>
      <c r="T1296"/>
      <c r="AK1296" s="12"/>
      <c r="AL1296" s="1"/>
      <c r="AM1296" s="1"/>
      <c r="AN1296" s="1"/>
      <c r="AO1296" s="2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</row>
    <row r="1297" spans="1:60" x14ac:dyDescent="0.25">
      <c r="A1297" s="14"/>
      <c r="B1297" s="14"/>
      <c r="C1297" s="14"/>
      <c r="D1297" s="14"/>
      <c r="E1297" s="14"/>
      <c r="F1297" s="14"/>
      <c r="T1297"/>
      <c r="AK1297" s="12"/>
      <c r="AL1297" s="1"/>
      <c r="AM1297" s="1"/>
      <c r="AN1297" s="1"/>
      <c r="AO1297" s="2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</row>
    <row r="1298" spans="1:60" x14ac:dyDescent="0.25">
      <c r="A1298" s="14"/>
      <c r="B1298" s="14"/>
      <c r="C1298" s="14"/>
      <c r="D1298" s="14"/>
      <c r="E1298" s="14"/>
      <c r="F1298" s="14"/>
      <c r="T1298"/>
      <c r="AK1298" s="12"/>
      <c r="AL1298" s="1"/>
      <c r="AM1298" s="1"/>
      <c r="AN1298" s="1"/>
      <c r="AO1298" s="2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</row>
    <row r="1299" spans="1:60" x14ac:dyDescent="0.25">
      <c r="A1299" s="14"/>
      <c r="B1299" s="14"/>
      <c r="C1299" s="14"/>
      <c r="D1299" s="14"/>
      <c r="E1299" s="14"/>
      <c r="F1299" s="14"/>
      <c r="T1299"/>
      <c r="AK1299" s="12"/>
      <c r="AL1299" s="1"/>
      <c r="AM1299" s="1"/>
      <c r="AN1299" s="1"/>
      <c r="AO1299" s="2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</row>
    <row r="1300" spans="1:60" x14ac:dyDescent="0.25">
      <c r="A1300" s="14"/>
      <c r="B1300" s="14"/>
      <c r="C1300" s="14"/>
      <c r="D1300" s="14"/>
      <c r="E1300" s="14"/>
      <c r="F1300" s="14"/>
      <c r="T1300"/>
      <c r="AK1300" s="12"/>
      <c r="AL1300" s="1"/>
      <c r="AM1300" s="1"/>
      <c r="AN1300" s="1"/>
      <c r="AO1300" s="2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</row>
    <row r="1301" spans="1:60" x14ac:dyDescent="0.25">
      <c r="A1301" s="14"/>
      <c r="B1301" s="14"/>
      <c r="C1301" s="14"/>
      <c r="D1301" s="14"/>
      <c r="E1301" s="14"/>
      <c r="F1301" s="14"/>
      <c r="T1301"/>
      <c r="AK1301" s="12"/>
      <c r="AL1301" s="1"/>
      <c r="AM1301" s="1"/>
      <c r="AN1301" s="1"/>
      <c r="AO1301" s="2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</row>
    <row r="1302" spans="1:60" x14ac:dyDescent="0.25">
      <c r="A1302" s="14"/>
      <c r="B1302" s="14"/>
      <c r="C1302" s="14"/>
      <c r="D1302" s="14"/>
      <c r="E1302" s="14"/>
      <c r="F1302" s="14"/>
      <c r="T1302"/>
      <c r="AK1302" s="12"/>
      <c r="AL1302" s="1"/>
      <c r="AM1302" s="1"/>
      <c r="AN1302" s="1"/>
      <c r="AO1302" s="2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</row>
    <row r="1303" spans="1:60" x14ac:dyDescent="0.25">
      <c r="A1303" s="14"/>
      <c r="B1303" s="14"/>
      <c r="C1303" s="14"/>
      <c r="D1303" s="14"/>
      <c r="E1303" s="14"/>
      <c r="F1303" s="14"/>
      <c r="T1303"/>
      <c r="AK1303" s="12"/>
      <c r="AL1303" s="1"/>
      <c r="AM1303" s="1"/>
      <c r="AN1303" s="1"/>
      <c r="AO1303" s="2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</row>
    <row r="1304" spans="1:60" x14ac:dyDescent="0.25">
      <c r="A1304" s="14"/>
      <c r="B1304" s="14"/>
      <c r="C1304" s="14"/>
      <c r="D1304" s="14"/>
      <c r="E1304" s="14"/>
      <c r="F1304" s="14"/>
      <c r="T1304"/>
      <c r="AK1304" s="12"/>
      <c r="AL1304" s="1"/>
      <c r="AM1304" s="1"/>
      <c r="AN1304" s="1"/>
      <c r="AO1304" s="2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</row>
    <row r="1305" spans="1:60" x14ac:dyDescent="0.25">
      <c r="A1305" s="14"/>
      <c r="B1305" s="14"/>
      <c r="C1305" s="14"/>
      <c r="D1305" s="14"/>
      <c r="E1305" s="14"/>
      <c r="F1305" s="14"/>
      <c r="T1305"/>
      <c r="AK1305" s="12"/>
      <c r="AL1305" s="1"/>
      <c r="AM1305" s="1"/>
      <c r="AN1305" s="1"/>
      <c r="AO1305" s="2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</row>
    <row r="1306" spans="1:60" x14ac:dyDescent="0.25">
      <c r="A1306" s="14"/>
      <c r="B1306" s="14"/>
      <c r="C1306" s="14"/>
      <c r="D1306" s="14"/>
      <c r="E1306" s="14"/>
      <c r="F1306" s="14"/>
      <c r="T1306"/>
      <c r="AK1306" s="12"/>
      <c r="AL1306" s="1"/>
      <c r="AM1306" s="1"/>
      <c r="AN1306" s="1"/>
      <c r="AO1306" s="2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</row>
    <row r="1307" spans="1:60" x14ac:dyDescent="0.25">
      <c r="A1307" s="14"/>
      <c r="B1307" s="14"/>
      <c r="C1307" s="14"/>
      <c r="D1307" s="14"/>
      <c r="E1307" s="14"/>
      <c r="F1307" s="14"/>
      <c r="T1307"/>
      <c r="AK1307" s="12"/>
      <c r="AL1307" s="1"/>
      <c r="AM1307" s="1"/>
      <c r="AN1307" s="1"/>
      <c r="AO1307" s="2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</row>
    <row r="1308" spans="1:60" x14ac:dyDescent="0.25">
      <c r="A1308" s="14"/>
      <c r="B1308" s="14"/>
      <c r="C1308" s="14"/>
      <c r="D1308" s="14"/>
      <c r="E1308" s="14"/>
      <c r="F1308" s="14"/>
      <c r="T1308"/>
      <c r="AK1308" s="12"/>
      <c r="AL1308" s="1"/>
      <c r="AM1308" s="1"/>
      <c r="AN1308" s="1"/>
      <c r="AO1308" s="2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</row>
    <row r="1309" spans="1:60" x14ac:dyDescent="0.25">
      <c r="A1309" s="14"/>
      <c r="B1309" s="14"/>
      <c r="C1309" s="14"/>
      <c r="D1309" s="14"/>
      <c r="E1309" s="14"/>
      <c r="F1309" s="14"/>
      <c r="T1309"/>
      <c r="AK1309" s="12"/>
      <c r="AL1309" s="1"/>
      <c r="AM1309" s="1"/>
      <c r="AN1309" s="1"/>
      <c r="AO1309" s="2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</row>
    <row r="1310" spans="1:60" x14ac:dyDescent="0.25">
      <c r="A1310" s="14"/>
      <c r="B1310" s="14"/>
      <c r="C1310" s="14"/>
      <c r="D1310" s="14"/>
      <c r="E1310" s="14"/>
      <c r="F1310" s="14"/>
      <c r="T1310"/>
      <c r="AK1310" s="12"/>
      <c r="AL1310" s="1"/>
      <c r="AM1310" s="1"/>
      <c r="AN1310" s="1"/>
      <c r="AO1310" s="2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</row>
    <row r="1311" spans="1:60" x14ac:dyDescent="0.25">
      <c r="A1311" s="14"/>
      <c r="B1311" s="14"/>
      <c r="C1311" s="14"/>
      <c r="D1311" s="14"/>
      <c r="E1311" s="14"/>
      <c r="F1311" s="14"/>
      <c r="T1311"/>
      <c r="AK1311" s="12"/>
      <c r="AL1311" s="1"/>
      <c r="AM1311" s="1"/>
      <c r="AN1311" s="1"/>
      <c r="AO1311" s="2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</row>
    <row r="1312" spans="1:60" x14ac:dyDescent="0.25">
      <c r="A1312" s="14"/>
      <c r="B1312" s="14"/>
      <c r="C1312" s="14"/>
      <c r="D1312" s="14"/>
      <c r="E1312" s="14"/>
      <c r="F1312" s="14"/>
      <c r="T1312"/>
      <c r="AK1312" s="12"/>
      <c r="AL1312" s="1"/>
      <c r="AM1312" s="1"/>
      <c r="AN1312" s="1"/>
      <c r="AO1312" s="2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</row>
    <row r="1313" spans="1:60" x14ac:dyDescent="0.25">
      <c r="A1313" s="14"/>
      <c r="B1313" s="14"/>
      <c r="C1313" s="14"/>
      <c r="D1313" s="14"/>
      <c r="E1313" s="14"/>
      <c r="F1313" s="14"/>
      <c r="T1313"/>
      <c r="AK1313" s="12"/>
      <c r="AL1313" s="1"/>
      <c r="AM1313" s="1"/>
      <c r="AN1313" s="1"/>
      <c r="AO1313" s="2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</row>
    <row r="1314" spans="1:60" x14ac:dyDescent="0.25">
      <c r="A1314" s="14"/>
      <c r="B1314" s="14"/>
      <c r="C1314" s="14"/>
      <c r="D1314" s="14"/>
      <c r="E1314" s="14"/>
      <c r="F1314" s="14"/>
      <c r="T1314"/>
      <c r="AK1314" s="12"/>
      <c r="AL1314" s="1"/>
      <c r="AM1314" s="1"/>
      <c r="AN1314" s="1"/>
      <c r="AO1314" s="2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</row>
    <row r="1315" spans="1:60" x14ac:dyDescent="0.25">
      <c r="A1315" s="14"/>
      <c r="B1315" s="14"/>
      <c r="C1315" s="14"/>
      <c r="D1315" s="14"/>
      <c r="E1315" s="14"/>
      <c r="F1315" s="14"/>
      <c r="T1315"/>
      <c r="AK1315" s="12"/>
      <c r="AL1315" s="1"/>
      <c r="AM1315" s="1"/>
      <c r="AN1315" s="1"/>
      <c r="AO1315" s="2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</row>
    <row r="1316" spans="1:60" x14ac:dyDescent="0.25">
      <c r="A1316" s="14"/>
      <c r="B1316" s="14"/>
      <c r="C1316" s="14"/>
      <c r="D1316" s="14"/>
      <c r="E1316" s="14"/>
      <c r="F1316" s="14"/>
      <c r="T1316"/>
      <c r="AK1316" s="12"/>
      <c r="AL1316" s="1"/>
      <c r="AM1316" s="1"/>
      <c r="AN1316" s="1"/>
      <c r="AO1316" s="2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</row>
    <row r="1317" spans="1:60" x14ac:dyDescent="0.25">
      <c r="A1317" s="14"/>
      <c r="B1317" s="14"/>
      <c r="C1317" s="14"/>
      <c r="D1317" s="14"/>
      <c r="E1317" s="14"/>
      <c r="F1317" s="14"/>
      <c r="T1317"/>
      <c r="AK1317" s="12"/>
      <c r="AL1317" s="1"/>
      <c r="AM1317" s="1"/>
      <c r="AN1317" s="1"/>
      <c r="AO1317" s="2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</row>
    <row r="1318" spans="1:60" x14ac:dyDescent="0.25">
      <c r="A1318" s="14"/>
      <c r="B1318" s="14"/>
      <c r="C1318" s="14"/>
      <c r="D1318" s="14"/>
      <c r="E1318" s="14"/>
      <c r="F1318" s="14"/>
      <c r="T1318"/>
      <c r="AK1318" s="12"/>
      <c r="AL1318" s="1"/>
      <c r="AM1318" s="1"/>
      <c r="AN1318" s="1"/>
      <c r="AO1318" s="2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</row>
    <row r="1319" spans="1:60" x14ac:dyDescent="0.25">
      <c r="A1319" s="14"/>
      <c r="B1319" s="14"/>
      <c r="C1319" s="14"/>
      <c r="D1319" s="14"/>
      <c r="E1319" s="14"/>
      <c r="F1319" s="14"/>
      <c r="T1319"/>
      <c r="AK1319" s="12"/>
      <c r="AL1319" s="1"/>
      <c r="AM1319" s="1"/>
      <c r="AN1319" s="1"/>
      <c r="AO1319" s="2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</row>
    <row r="1320" spans="1:60" x14ac:dyDescent="0.25">
      <c r="A1320" s="14"/>
      <c r="B1320" s="14"/>
      <c r="C1320" s="14"/>
      <c r="D1320" s="14"/>
      <c r="E1320" s="14"/>
      <c r="F1320" s="14"/>
      <c r="T1320"/>
      <c r="AK1320" s="12"/>
      <c r="AL1320" s="1"/>
      <c r="AM1320" s="1"/>
      <c r="AN1320" s="1"/>
      <c r="AO1320" s="2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</row>
    <row r="1321" spans="1:60" x14ac:dyDescent="0.25">
      <c r="A1321" s="14"/>
      <c r="B1321" s="14"/>
      <c r="C1321" s="14"/>
      <c r="D1321" s="14"/>
      <c r="E1321" s="14"/>
      <c r="F1321" s="14"/>
      <c r="T1321"/>
      <c r="AK1321" s="12"/>
      <c r="AL1321" s="1"/>
      <c r="AM1321" s="1"/>
      <c r="AN1321" s="1"/>
      <c r="AO1321" s="2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</row>
    <row r="1322" spans="1:60" x14ac:dyDescent="0.25">
      <c r="A1322" s="14"/>
      <c r="B1322" s="14"/>
      <c r="C1322" s="14"/>
      <c r="D1322" s="14"/>
      <c r="E1322" s="14"/>
      <c r="F1322" s="14"/>
      <c r="T1322"/>
      <c r="AK1322" s="12"/>
      <c r="AL1322" s="1"/>
      <c r="AM1322" s="1"/>
      <c r="AN1322" s="1"/>
      <c r="AO1322" s="2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</row>
    <row r="1323" spans="1:60" x14ac:dyDescent="0.25">
      <c r="A1323" s="14"/>
      <c r="B1323" s="14"/>
      <c r="C1323" s="14"/>
      <c r="D1323" s="14"/>
      <c r="E1323" s="14"/>
      <c r="F1323" s="14"/>
      <c r="T1323"/>
      <c r="AK1323" s="12"/>
      <c r="AL1323" s="1"/>
      <c r="AM1323" s="1"/>
      <c r="AN1323" s="1"/>
      <c r="AO1323" s="2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</row>
    <row r="1324" spans="1:60" x14ac:dyDescent="0.25">
      <c r="A1324" s="14"/>
      <c r="B1324" s="14"/>
      <c r="C1324" s="14"/>
      <c r="D1324" s="14"/>
      <c r="E1324" s="14"/>
      <c r="F1324" s="14"/>
      <c r="T1324"/>
      <c r="AK1324" s="12"/>
      <c r="AL1324" s="1"/>
      <c r="AM1324" s="1"/>
      <c r="AN1324" s="1"/>
      <c r="AO1324" s="2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</row>
    <row r="1325" spans="1:60" x14ac:dyDescent="0.25">
      <c r="A1325" s="14"/>
      <c r="B1325" s="14"/>
      <c r="C1325" s="14"/>
      <c r="D1325" s="14"/>
      <c r="E1325" s="14"/>
      <c r="F1325" s="14"/>
      <c r="T1325"/>
      <c r="AK1325" s="12"/>
      <c r="AL1325" s="1"/>
      <c r="AM1325" s="1"/>
      <c r="AN1325" s="1"/>
      <c r="AO1325" s="2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</row>
    <row r="1326" spans="1:60" x14ac:dyDescent="0.25">
      <c r="A1326" s="14"/>
      <c r="B1326" s="14"/>
      <c r="C1326" s="14"/>
      <c r="D1326" s="14"/>
      <c r="E1326" s="14"/>
      <c r="F1326" s="14"/>
      <c r="T1326"/>
      <c r="AK1326" s="12"/>
      <c r="AL1326" s="1"/>
      <c r="AM1326" s="1"/>
      <c r="AN1326" s="1"/>
      <c r="AO1326" s="2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</row>
    <row r="1327" spans="1:60" x14ac:dyDescent="0.25">
      <c r="A1327" s="14"/>
      <c r="B1327" s="14"/>
      <c r="C1327" s="14"/>
      <c r="D1327" s="14"/>
      <c r="E1327" s="14"/>
      <c r="F1327" s="14"/>
      <c r="T1327"/>
      <c r="AK1327" s="12"/>
      <c r="AL1327" s="1"/>
      <c r="AM1327" s="1"/>
      <c r="AN1327" s="1"/>
      <c r="AO1327" s="2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</row>
    <row r="1328" spans="1:60" x14ac:dyDescent="0.25">
      <c r="A1328" s="14"/>
      <c r="B1328" s="14"/>
      <c r="C1328" s="14"/>
      <c r="D1328" s="14"/>
      <c r="E1328" s="14"/>
      <c r="F1328" s="14"/>
      <c r="T1328"/>
      <c r="AK1328" s="12"/>
      <c r="AL1328" s="1"/>
      <c r="AM1328" s="1"/>
      <c r="AN1328" s="1"/>
      <c r="AO1328" s="2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</row>
    <row r="1329" spans="1:60" x14ac:dyDescent="0.25">
      <c r="A1329" s="14"/>
      <c r="B1329" s="14"/>
      <c r="C1329" s="14"/>
      <c r="D1329" s="14"/>
      <c r="E1329" s="14"/>
      <c r="F1329" s="14"/>
      <c r="T1329"/>
      <c r="AK1329" s="12"/>
      <c r="AL1329" s="1"/>
      <c r="AM1329" s="1"/>
      <c r="AN1329" s="1"/>
      <c r="AO1329" s="2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</row>
    <row r="1330" spans="1:60" x14ac:dyDescent="0.25">
      <c r="A1330" s="14"/>
      <c r="B1330" s="14"/>
      <c r="C1330" s="14"/>
      <c r="D1330" s="14"/>
      <c r="E1330" s="14"/>
      <c r="F1330" s="14"/>
      <c r="T1330"/>
      <c r="AK1330" s="12"/>
      <c r="AL1330" s="1"/>
      <c r="AM1330" s="1"/>
      <c r="AN1330" s="1"/>
      <c r="AO1330" s="2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</row>
    <row r="1331" spans="1:60" x14ac:dyDescent="0.25">
      <c r="A1331" s="14"/>
      <c r="B1331" s="14"/>
      <c r="C1331" s="14"/>
      <c r="D1331" s="14"/>
      <c r="E1331" s="14"/>
      <c r="F1331" s="14"/>
      <c r="T1331"/>
      <c r="AK1331" s="12"/>
      <c r="AL1331" s="1"/>
      <c r="AM1331" s="1"/>
      <c r="AN1331" s="1"/>
      <c r="AO1331" s="2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</row>
    <row r="1332" spans="1:60" x14ac:dyDescent="0.25">
      <c r="A1332" s="14"/>
      <c r="B1332" s="14"/>
      <c r="C1332" s="14"/>
      <c r="D1332" s="14"/>
      <c r="E1332" s="14"/>
      <c r="F1332" s="14"/>
      <c r="T1332"/>
      <c r="AK1332" s="12"/>
      <c r="AL1332" s="1"/>
      <c r="AM1332" s="1"/>
      <c r="AN1332" s="1"/>
      <c r="AO1332" s="2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</row>
    <row r="1333" spans="1:60" x14ac:dyDescent="0.25">
      <c r="A1333" s="14"/>
      <c r="B1333" s="14"/>
      <c r="C1333" s="14"/>
      <c r="D1333" s="14"/>
      <c r="E1333" s="14"/>
      <c r="F1333" s="14"/>
      <c r="T1333"/>
      <c r="AK1333" s="12"/>
      <c r="AL1333" s="1"/>
      <c r="AM1333" s="1"/>
      <c r="AN1333" s="1"/>
      <c r="AO1333" s="2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</row>
    <row r="1334" spans="1:60" x14ac:dyDescent="0.25">
      <c r="A1334" s="14"/>
      <c r="B1334" s="14"/>
      <c r="C1334" s="14"/>
      <c r="D1334" s="14"/>
      <c r="E1334" s="14"/>
      <c r="F1334" s="14"/>
      <c r="T1334"/>
      <c r="AK1334" s="12"/>
      <c r="AL1334" s="1"/>
      <c r="AM1334" s="1"/>
      <c r="AN1334" s="1"/>
      <c r="AO1334" s="2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</row>
    <row r="1335" spans="1:60" x14ac:dyDescent="0.25">
      <c r="A1335" s="14"/>
      <c r="B1335" s="14"/>
      <c r="C1335" s="14"/>
      <c r="D1335" s="14"/>
      <c r="E1335" s="14"/>
      <c r="F1335" s="14"/>
      <c r="T1335"/>
      <c r="AK1335" s="12"/>
      <c r="AL1335" s="1"/>
      <c r="AM1335" s="1"/>
      <c r="AN1335" s="1"/>
      <c r="AO1335" s="2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</row>
    <row r="1336" spans="1:60" x14ac:dyDescent="0.25">
      <c r="A1336" s="14"/>
      <c r="B1336" s="14"/>
      <c r="C1336" s="14"/>
      <c r="D1336" s="14"/>
      <c r="E1336" s="14"/>
      <c r="F1336" s="14"/>
      <c r="T1336"/>
      <c r="AK1336" s="12"/>
      <c r="AL1336" s="1"/>
      <c r="AM1336" s="1"/>
      <c r="AN1336" s="1"/>
      <c r="AO1336" s="2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</row>
    <row r="1337" spans="1:60" x14ac:dyDescent="0.25">
      <c r="A1337" s="14"/>
      <c r="B1337" s="14"/>
      <c r="C1337" s="14"/>
      <c r="D1337" s="14"/>
      <c r="E1337" s="14"/>
      <c r="F1337" s="14"/>
      <c r="T1337"/>
      <c r="AK1337" s="12"/>
      <c r="AL1337" s="1"/>
      <c r="AM1337" s="1"/>
      <c r="AN1337" s="1"/>
      <c r="AO1337" s="2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</row>
    <row r="1338" spans="1:60" x14ac:dyDescent="0.25">
      <c r="A1338" s="14"/>
      <c r="B1338" s="14"/>
      <c r="C1338" s="14"/>
      <c r="D1338" s="14"/>
      <c r="E1338" s="14"/>
      <c r="F1338" s="14"/>
      <c r="T1338"/>
      <c r="AK1338" s="12"/>
      <c r="AL1338" s="1"/>
      <c r="AM1338" s="1"/>
      <c r="AN1338" s="1"/>
      <c r="AO1338" s="2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</row>
    <row r="1339" spans="1:60" x14ac:dyDescent="0.25">
      <c r="A1339" s="14"/>
      <c r="B1339" s="14"/>
      <c r="C1339" s="14"/>
      <c r="D1339" s="14"/>
      <c r="E1339" s="14"/>
      <c r="F1339" s="14"/>
      <c r="T1339"/>
      <c r="AK1339" s="12"/>
      <c r="AL1339" s="1"/>
      <c r="AM1339" s="1"/>
      <c r="AN1339" s="1"/>
      <c r="AO1339" s="2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</row>
    <row r="1340" spans="1:60" x14ac:dyDescent="0.25">
      <c r="A1340" s="14"/>
      <c r="B1340" s="14"/>
      <c r="C1340" s="14"/>
      <c r="D1340" s="14"/>
      <c r="E1340" s="14"/>
      <c r="F1340" s="14"/>
      <c r="T1340"/>
      <c r="AK1340" s="12"/>
      <c r="AL1340" s="1"/>
      <c r="AM1340" s="1"/>
      <c r="AN1340" s="1"/>
      <c r="AO1340" s="2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</row>
    <row r="1341" spans="1:60" x14ac:dyDescent="0.25">
      <c r="A1341" s="14"/>
      <c r="B1341" s="14"/>
      <c r="C1341" s="14"/>
      <c r="D1341" s="14"/>
      <c r="E1341" s="14"/>
      <c r="F1341" s="14"/>
      <c r="T1341"/>
      <c r="AK1341" s="12"/>
      <c r="AL1341" s="1"/>
      <c r="AM1341" s="1"/>
      <c r="AN1341" s="1"/>
      <c r="AO1341" s="2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</row>
    <row r="1342" spans="1:60" x14ac:dyDescent="0.25">
      <c r="A1342" s="14"/>
      <c r="B1342" s="14"/>
      <c r="C1342" s="14"/>
      <c r="D1342" s="14"/>
      <c r="E1342" s="14"/>
      <c r="F1342" s="14"/>
      <c r="T1342"/>
      <c r="AK1342" s="12"/>
      <c r="AL1342" s="1"/>
      <c r="AM1342" s="1"/>
      <c r="AN1342" s="1"/>
      <c r="AO1342" s="2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</row>
    <row r="1343" spans="1:60" x14ac:dyDescent="0.25">
      <c r="A1343" s="14"/>
      <c r="B1343" s="14"/>
      <c r="C1343" s="14"/>
      <c r="D1343" s="14"/>
      <c r="E1343" s="14"/>
      <c r="F1343" s="14"/>
      <c r="T1343"/>
      <c r="AK1343" s="12"/>
      <c r="AL1343" s="1"/>
      <c r="AM1343" s="1"/>
      <c r="AN1343" s="1"/>
      <c r="AO1343" s="2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</row>
    <row r="1344" spans="1:60" x14ac:dyDescent="0.25">
      <c r="A1344" s="14"/>
      <c r="B1344" s="14"/>
      <c r="C1344" s="14"/>
      <c r="D1344" s="14"/>
      <c r="E1344" s="14"/>
      <c r="F1344" s="14"/>
      <c r="T1344"/>
      <c r="AK1344" s="12"/>
      <c r="AL1344" s="1"/>
      <c r="AM1344" s="1"/>
      <c r="AN1344" s="1"/>
      <c r="AO1344" s="2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</row>
    <row r="1345" spans="1:60" x14ac:dyDescent="0.25">
      <c r="A1345" s="14"/>
      <c r="B1345" s="14"/>
      <c r="C1345" s="14"/>
      <c r="D1345" s="14"/>
      <c r="E1345" s="14"/>
      <c r="F1345" s="14"/>
      <c r="T1345"/>
      <c r="AK1345" s="12"/>
      <c r="AL1345" s="1"/>
      <c r="AM1345" s="1"/>
      <c r="AN1345" s="1"/>
      <c r="AO1345" s="2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</row>
    <row r="1346" spans="1:60" x14ac:dyDescent="0.25">
      <c r="A1346" s="14"/>
      <c r="B1346" s="14"/>
      <c r="C1346" s="14"/>
      <c r="D1346" s="14"/>
      <c r="E1346" s="14"/>
      <c r="F1346" s="14"/>
      <c r="T1346"/>
      <c r="AK1346" s="12"/>
      <c r="AL1346" s="1"/>
      <c r="AM1346" s="1"/>
      <c r="AN1346" s="1"/>
      <c r="AO1346" s="2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</row>
    <row r="1347" spans="1:60" x14ac:dyDescent="0.25">
      <c r="A1347" s="14"/>
      <c r="B1347" s="14"/>
      <c r="C1347" s="14"/>
      <c r="D1347" s="14"/>
      <c r="E1347" s="14"/>
      <c r="F1347" s="14"/>
      <c r="T1347"/>
      <c r="AK1347" s="12"/>
      <c r="AL1347" s="1"/>
      <c r="AM1347" s="1"/>
      <c r="AN1347" s="1"/>
      <c r="AO1347" s="2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</row>
    <row r="1348" spans="1:60" x14ac:dyDescent="0.25">
      <c r="A1348" s="14"/>
      <c r="B1348" s="14"/>
      <c r="C1348" s="14"/>
      <c r="D1348" s="14"/>
      <c r="E1348" s="14"/>
      <c r="F1348" s="14"/>
      <c r="T1348"/>
      <c r="AK1348" s="12"/>
      <c r="AL1348" s="1"/>
      <c r="AM1348" s="1"/>
      <c r="AN1348" s="1"/>
      <c r="AO1348" s="2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</row>
    <row r="1349" spans="1:60" x14ac:dyDescent="0.25">
      <c r="A1349" s="14"/>
      <c r="B1349" s="14"/>
      <c r="C1349" s="14"/>
      <c r="D1349" s="14"/>
      <c r="E1349" s="14"/>
      <c r="F1349" s="14"/>
      <c r="T1349"/>
      <c r="AK1349" s="12"/>
      <c r="AL1349" s="1"/>
      <c r="AM1349" s="1"/>
      <c r="AN1349" s="1"/>
      <c r="AO1349" s="2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</row>
    <row r="1350" spans="1:60" x14ac:dyDescent="0.25">
      <c r="A1350" s="14"/>
      <c r="B1350" s="14"/>
      <c r="C1350" s="14"/>
      <c r="D1350" s="14"/>
      <c r="E1350" s="14"/>
      <c r="F1350" s="14"/>
      <c r="T1350"/>
      <c r="AK1350" s="12"/>
      <c r="AL1350" s="1"/>
      <c r="AM1350" s="1"/>
      <c r="AN1350" s="1"/>
      <c r="AO1350" s="2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</row>
    <row r="1351" spans="1:60" x14ac:dyDescent="0.25">
      <c r="A1351" s="14"/>
      <c r="B1351" s="14"/>
      <c r="C1351" s="14"/>
      <c r="D1351" s="14"/>
      <c r="E1351" s="14"/>
      <c r="F1351" s="14"/>
      <c r="T1351"/>
      <c r="AK1351" s="12"/>
      <c r="AL1351" s="1"/>
      <c r="AM1351" s="1"/>
      <c r="AN1351" s="1"/>
      <c r="AO1351" s="2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</row>
    <row r="1352" spans="1:60" x14ac:dyDescent="0.25">
      <c r="A1352" s="14"/>
      <c r="B1352" s="14"/>
      <c r="C1352" s="14"/>
      <c r="D1352" s="14"/>
      <c r="E1352" s="14"/>
      <c r="F1352" s="14"/>
      <c r="T1352"/>
      <c r="AK1352" s="12"/>
      <c r="AL1352" s="1"/>
      <c r="AM1352" s="1"/>
      <c r="AN1352" s="1"/>
      <c r="AO1352" s="2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</row>
    <row r="1353" spans="1:60" x14ac:dyDescent="0.25">
      <c r="A1353" s="14"/>
      <c r="B1353" s="14"/>
      <c r="C1353" s="14"/>
      <c r="D1353" s="14"/>
      <c r="E1353" s="14"/>
      <c r="F1353" s="14"/>
      <c r="T1353"/>
      <c r="AK1353" s="12"/>
      <c r="AL1353" s="1"/>
      <c r="AM1353" s="1"/>
      <c r="AN1353" s="1"/>
      <c r="AO1353" s="2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</row>
    <row r="1354" spans="1:60" x14ac:dyDescent="0.25">
      <c r="A1354" s="14"/>
      <c r="B1354" s="14"/>
      <c r="C1354" s="14"/>
      <c r="D1354" s="14"/>
      <c r="E1354" s="14"/>
      <c r="F1354" s="14"/>
      <c r="T1354"/>
      <c r="AK1354" s="12"/>
      <c r="AL1354" s="1"/>
      <c r="AM1354" s="1"/>
      <c r="AN1354" s="1"/>
      <c r="AO1354" s="2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</row>
    <row r="1355" spans="1:60" x14ac:dyDescent="0.25">
      <c r="A1355" s="14"/>
      <c r="B1355" s="14"/>
      <c r="C1355" s="14"/>
      <c r="D1355" s="14"/>
      <c r="E1355" s="14"/>
      <c r="F1355" s="14"/>
      <c r="T1355"/>
      <c r="AK1355" s="12"/>
      <c r="AL1355" s="1"/>
      <c r="AM1355" s="1"/>
      <c r="AN1355" s="1"/>
      <c r="AO1355" s="2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</row>
    <row r="1356" spans="1:60" x14ac:dyDescent="0.25">
      <c r="A1356" s="14"/>
      <c r="B1356" s="14"/>
      <c r="C1356" s="14"/>
      <c r="D1356" s="14"/>
      <c r="E1356" s="14"/>
      <c r="F1356" s="14"/>
      <c r="T1356"/>
      <c r="AK1356" s="12"/>
      <c r="AL1356" s="1"/>
      <c r="AM1356" s="1"/>
      <c r="AN1356" s="1"/>
      <c r="AO1356" s="2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</row>
    <row r="1357" spans="1:60" x14ac:dyDescent="0.25">
      <c r="A1357" s="14"/>
      <c r="B1357" s="14"/>
      <c r="C1357" s="14"/>
      <c r="D1357" s="14"/>
      <c r="E1357" s="14"/>
      <c r="F1357" s="14"/>
      <c r="T1357"/>
      <c r="AK1357" s="12"/>
      <c r="AL1357" s="1"/>
      <c r="AM1357" s="1"/>
      <c r="AN1357" s="1"/>
      <c r="AO1357" s="2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</row>
    <row r="1358" spans="1:60" x14ac:dyDescent="0.25">
      <c r="A1358" s="14"/>
      <c r="B1358" s="14"/>
      <c r="C1358" s="14"/>
      <c r="D1358" s="14"/>
      <c r="E1358" s="14"/>
      <c r="F1358" s="14"/>
      <c r="T1358"/>
      <c r="AK1358" s="12"/>
      <c r="AL1358" s="1"/>
      <c r="AM1358" s="1"/>
      <c r="AN1358" s="1"/>
      <c r="AO1358" s="2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</row>
    <row r="1359" spans="1:60" x14ac:dyDescent="0.25">
      <c r="A1359" s="14"/>
      <c r="B1359" s="14"/>
      <c r="C1359" s="14"/>
      <c r="D1359" s="14"/>
      <c r="E1359" s="14"/>
      <c r="F1359" s="14"/>
      <c r="T1359"/>
      <c r="AK1359" s="12"/>
      <c r="AL1359" s="1"/>
      <c r="AM1359" s="1"/>
      <c r="AN1359" s="1"/>
      <c r="AO1359" s="2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</row>
    <row r="1360" spans="1:60" x14ac:dyDescent="0.25">
      <c r="A1360" s="14"/>
      <c r="B1360" s="14"/>
      <c r="C1360" s="14"/>
      <c r="D1360" s="14"/>
      <c r="E1360" s="14"/>
      <c r="F1360" s="14"/>
      <c r="T1360"/>
      <c r="AK1360" s="12"/>
      <c r="AL1360" s="1"/>
      <c r="AM1360" s="1"/>
      <c r="AN1360" s="1"/>
      <c r="AO1360" s="2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</row>
    <row r="1361" spans="1:60" x14ac:dyDescent="0.25">
      <c r="A1361" s="14"/>
      <c r="B1361" s="14"/>
      <c r="C1361" s="14"/>
      <c r="D1361" s="14"/>
      <c r="E1361" s="14"/>
      <c r="F1361" s="14"/>
      <c r="T1361"/>
      <c r="AK1361" s="12"/>
      <c r="AL1361" s="1"/>
      <c r="AM1361" s="1"/>
      <c r="AN1361" s="1"/>
      <c r="AO1361" s="2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</row>
    <row r="1362" spans="1:60" x14ac:dyDescent="0.25">
      <c r="A1362" s="14"/>
      <c r="B1362" s="14"/>
      <c r="C1362" s="14"/>
      <c r="D1362" s="14"/>
      <c r="E1362" s="14"/>
      <c r="F1362" s="14"/>
      <c r="T1362"/>
      <c r="AK1362" s="12"/>
      <c r="AL1362" s="1"/>
      <c r="AM1362" s="1"/>
      <c r="AN1362" s="1"/>
      <c r="AO1362" s="2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</row>
    <row r="1363" spans="1:60" x14ac:dyDescent="0.25">
      <c r="A1363" s="14"/>
      <c r="B1363" s="14"/>
      <c r="C1363" s="14"/>
      <c r="D1363" s="14"/>
      <c r="E1363" s="14"/>
      <c r="F1363" s="14"/>
      <c r="T1363"/>
      <c r="AK1363" s="12"/>
      <c r="AL1363" s="1"/>
      <c r="AM1363" s="1"/>
      <c r="AN1363" s="1"/>
      <c r="AO1363" s="2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</row>
    <row r="1364" spans="1:60" x14ac:dyDescent="0.25">
      <c r="A1364" s="14"/>
      <c r="B1364" s="14"/>
      <c r="C1364" s="14"/>
      <c r="D1364" s="14"/>
      <c r="E1364" s="14"/>
      <c r="F1364" s="14"/>
      <c r="T1364"/>
      <c r="AK1364" s="12"/>
      <c r="AL1364" s="1"/>
      <c r="AM1364" s="1"/>
      <c r="AN1364" s="1"/>
      <c r="AO1364" s="2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</row>
    <row r="1365" spans="1:60" x14ac:dyDescent="0.25">
      <c r="A1365" s="14"/>
      <c r="B1365" s="14"/>
      <c r="C1365" s="14"/>
      <c r="D1365" s="14"/>
      <c r="E1365" s="14"/>
      <c r="F1365" s="14"/>
      <c r="T1365"/>
      <c r="AK1365" s="12"/>
      <c r="AL1365" s="1"/>
      <c r="AM1365" s="1"/>
      <c r="AN1365" s="1"/>
      <c r="AO1365" s="2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</row>
    <row r="1366" spans="1:60" x14ac:dyDescent="0.25">
      <c r="A1366" s="14"/>
      <c r="B1366" s="14"/>
      <c r="C1366" s="14"/>
      <c r="D1366" s="14"/>
      <c r="E1366" s="14"/>
      <c r="F1366" s="14"/>
      <c r="T1366"/>
      <c r="AK1366" s="12"/>
      <c r="AL1366" s="1"/>
      <c r="AM1366" s="1"/>
      <c r="AN1366" s="1"/>
      <c r="AO1366" s="2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</row>
    <row r="1367" spans="1:60" x14ac:dyDescent="0.25">
      <c r="A1367" s="14"/>
      <c r="B1367" s="14"/>
      <c r="C1367" s="14"/>
      <c r="D1367" s="14"/>
      <c r="E1367" s="14"/>
      <c r="F1367" s="14"/>
      <c r="T1367"/>
      <c r="AK1367" s="12"/>
      <c r="AL1367" s="1"/>
      <c r="AM1367" s="1"/>
      <c r="AN1367" s="1"/>
      <c r="AO1367" s="2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</row>
    <row r="1368" spans="1:60" x14ac:dyDescent="0.25">
      <c r="A1368" s="14"/>
      <c r="B1368" s="14"/>
      <c r="C1368" s="14"/>
      <c r="D1368" s="14"/>
      <c r="E1368" s="14"/>
      <c r="F1368" s="14"/>
      <c r="T1368"/>
      <c r="AK1368" s="12"/>
      <c r="AL1368" s="1"/>
      <c r="AM1368" s="1"/>
      <c r="AN1368" s="1"/>
      <c r="AO1368" s="2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</row>
    <row r="1369" spans="1:60" x14ac:dyDescent="0.25">
      <c r="A1369" s="14"/>
      <c r="B1369" s="14"/>
      <c r="C1369" s="14"/>
      <c r="D1369" s="14"/>
      <c r="E1369" s="14"/>
      <c r="F1369" s="14"/>
      <c r="T1369"/>
      <c r="AK1369" s="12"/>
      <c r="AL1369" s="1"/>
      <c r="AM1369" s="1"/>
      <c r="AN1369" s="1"/>
      <c r="AO1369" s="2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</row>
    <row r="1370" spans="1:60" x14ac:dyDescent="0.25">
      <c r="A1370" s="14"/>
      <c r="B1370" s="14"/>
      <c r="C1370" s="14"/>
      <c r="D1370" s="14"/>
      <c r="E1370" s="14"/>
      <c r="F1370" s="14"/>
      <c r="T1370"/>
      <c r="AK1370" s="12"/>
      <c r="AL1370" s="1"/>
      <c r="AM1370" s="1"/>
      <c r="AN1370" s="1"/>
      <c r="AO1370" s="2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</row>
    <row r="1371" spans="1:60" x14ac:dyDescent="0.25">
      <c r="A1371" s="14"/>
      <c r="B1371" s="14"/>
      <c r="C1371" s="14"/>
      <c r="D1371" s="14"/>
      <c r="E1371" s="14"/>
      <c r="F1371" s="14"/>
      <c r="T1371"/>
      <c r="AK1371" s="12"/>
      <c r="AL1371" s="1"/>
      <c r="AM1371" s="1"/>
      <c r="AN1371" s="1"/>
      <c r="AO1371" s="2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</row>
    <row r="1372" spans="1:60" x14ac:dyDescent="0.25">
      <c r="A1372" s="14"/>
      <c r="B1372" s="14"/>
      <c r="C1372" s="14"/>
      <c r="D1372" s="14"/>
      <c r="E1372" s="14"/>
      <c r="F1372" s="14"/>
      <c r="T1372"/>
      <c r="AK1372" s="12"/>
      <c r="AL1372" s="1"/>
      <c r="AM1372" s="1"/>
      <c r="AN1372" s="1"/>
      <c r="AO1372" s="2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</row>
    <row r="1373" spans="1:60" x14ac:dyDescent="0.25">
      <c r="A1373" s="14"/>
      <c r="B1373" s="14"/>
      <c r="C1373" s="14"/>
      <c r="D1373" s="14"/>
      <c r="E1373" s="14"/>
      <c r="F1373" s="14"/>
      <c r="T1373"/>
      <c r="AK1373" s="12"/>
      <c r="AL1373" s="1"/>
      <c r="AM1373" s="1"/>
      <c r="AN1373" s="1"/>
      <c r="AO1373" s="2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</row>
    <row r="1374" spans="1:60" x14ac:dyDescent="0.25">
      <c r="A1374" s="14"/>
      <c r="B1374" s="14"/>
      <c r="C1374" s="14"/>
      <c r="D1374" s="14"/>
      <c r="E1374" s="14"/>
      <c r="F1374" s="14"/>
      <c r="T1374"/>
      <c r="AK1374" s="12"/>
      <c r="AL1374" s="1"/>
      <c r="AM1374" s="1"/>
      <c r="AN1374" s="1"/>
      <c r="AO1374" s="2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</row>
    <row r="1375" spans="1:60" x14ac:dyDescent="0.25">
      <c r="A1375" s="14"/>
      <c r="B1375" s="14"/>
      <c r="C1375" s="14"/>
      <c r="D1375" s="14"/>
      <c r="E1375" s="14"/>
      <c r="F1375" s="14"/>
      <c r="T1375"/>
      <c r="AK1375" s="12"/>
      <c r="AL1375" s="1"/>
      <c r="AM1375" s="1"/>
      <c r="AN1375" s="1"/>
      <c r="AO1375" s="2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</row>
    <row r="1376" spans="1:60" x14ac:dyDescent="0.25">
      <c r="A1376" s="14"/>
      <c r="B1376" s="14"/>
      <c r="C1376" s="14"/>
      <c r="D1376" s="14"/>
      <c r="E1376" s="14"/>
      <c r="F1376" s="14"/>
      <c r="T1376"/>
      <c r="AK1376" s="12"/>
      <c r="AL1376" s="1"/>
      <c r="AM1376" s="1"/>
      <c r="AN1376" s="1"/>
      <c r="AO1376" s="2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</row>
    <row r="1377" spans="1:60" x14ac:dyDescent="0.25">
      <c r="A1377" s="14"/>
      <c r="B1377" s="14"/>
      <c r="C1377" s="14"/>
      <c r="D1377" s="14"/>
      <c r="E1377" s="14"/>
      <c r="F1377" s="14"/>
      <c r="T1377"/>
      <c r="AK1377" s="12"/>
      <c r="AL1377" s="1"/>
      <c r="AM1377" s="1"/>
      <c r="AN1377" s="1"/>
      <c r="AO1377" s="2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</row>
    <row r="1378" spans="1:60" x14ac:dyDescent="0.25">
      <c r="A1378" s="14"/>
      <c r="B1378" s="14"/>
      <c r="C1378" s="14"/>
      <c r="D1378" s="14"/>
      <c r="E1378" s="14"/>
      <c r="F1378" s="14"/>
      <c r="T1378"/>
      <c r="AK1378" s="12"/>
      <c r="AL1378" s="1"/>
      <c r="AM1378" s="1"/>
      <c r="AN1378" s="1"/>
      <c r="AO1378" s="2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</row>
    <row r="1379" spans="1:60" x14ac:dyDescent="0.25">
      <c r="A1379" s="14"/>
      <c r="B1379" s="14"/>
      <c r="C1379" s="14"/>
      <c r="D1379" s="14"/>
      <c r="E1379" s="14"/>
      <c r="F1379" s="14"/>
      <c r="T1379"/>
      <c r="AK1379" s="12"/>
      <c r="AL1379" s="1"/>
      <c r="AM1379" s="1"/>
      <c r="AN1379" s="1"/>
      <c r="AO1379" s="2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</row>
    <row r="1380" spans="1:60" x14ac:dyDescent="0.25">
      <c r="A1380" s="14"/>
      <c r="B1380" s="14"/>
      <c r="C1380" s="14"/>
      <c r="D1380" s="14"/>
      <c r="E1380" s="14"/>
      <c r="F1380" s="14"/>
      <c r="T1380"/>
      <c r="AK1380" s="12"/>
      <c r="AL1380" s="1"/>
      <c r="AM1380" s="1"/>
      <c r="AN1380" s="1"/>
      <c r="AO1380" s="2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</row>
    <row r="1381" spans="1:60" x14ac:dyDescent="0.25">
      <c r="A1381" s="14"/>
      <c r="B1381" s="14"/>
      <c r="C1381" s="14"/>
      <c r="D1381" s="14"/>
      <c r="E1381" s="14"/>
      <c r="F1381" s="14"/>
      <c r="T1381"/>
      <c r="AK1381" s="12"/>
      <c r="AL1381" s="1"/>
      <c r="AM1381" s="1"/>
      <c r="AN1381" s="1"/>
      <c r="AO1381" s="2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</row>
    <row r="1382" spans="1:60" x14ac:dyDescent="0.25">
      <c r="A1382" s="14"/>
      <c r="B1382" s="14"/>
      <c r="C1382" s="14"/>
      <c r="D1382" s="14"/>
      <c r="E1382" s="14"/>
      <c r="F1382" s="14"/>
      <c r="T1382"/>
      <c r="AK1382" s="12"/>
      <c r="AL1382" s="1"/>
      <c r="AM1382" s="1"/>
      <c r="AN1382" s="1"/>
      <c r="AO1382" s="2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</row>
    <row r="1383" spans="1:60" x14ac:dyDescent="0.25">
      <c r="A1383" s="14"/>
      <c r="B1383" s="14"/>
      <c r="C1383" s="14"/>
      <c r="D1383" s="14"/>
      <c r="E1383" s="14"/>
      <c r="F1383" s="14"/>
      <c r="T1383"/>
      <c r="AK1383" s="12"/>
      <c r="AL1383" s="1"/>
      <c r="AM1383" s="1"/>
      <c r="AN1383" s="1"/>
      <c r="AO1383" s="2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</row>
    <row r="1384" spans="1:60" x14ac:dyDescent="0.25">
      <c r="A1384" s="14"/>
      <c r="B1384" s="14"/>
      <c r="C1384" s="14"/>
      <c r="D1384" s="14"/>
      <c r="E1384" s="14"/>
      <c r="F1384" s="14"/>
      <c r="T1384"/>
      <c r="AK1384" s="12"/>
      <c r="AL1384" s="1"/>
      <c r="AM1384" s="1"/>
      <c r="AN1384" s="1"/>
      <c r="AO1384" s="2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</row>
    <row r="1385" spans="1:60" x14ac:dyDescent="0.25">
      <c r="A1385" s="14"/>
      <c r="B1385" s="14"/>
      <c r="C1385" s="14"/>
      <c r="D1385" s="14"/>
      <c r="E1385" s="14"/>
      <c r="F1385" s="14"/>
      <c r="T1385"/>
      <c r="AK1385" s="12"/>
      <c r="AL1385" s="1"/>
      <c r="AM1385" s="1"/>
      <c r="AN1385" s="1"/>
      <c r="AO1385" s="2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</row>
    <row r="1386" spans="1:60" x14ac:dyDescent="0.25">
      <c r="A1386" s="14"/>
      <c r="B1386" s="14"/>
      <c r="C1386" s="14"/>
      <c r="D1386" s="14"/>
      <c r="E1386" s="14"/>
      <c r="F1386" s="14"/>
      <c r="T1386"/>
      <c r="AK1386" s="12"/>
      <c r="AL1386" s="1"/>
      <c r="AM1386" s="1"/>
      <c r="AN1386" s="1"/>
      <c r="AO1386" s="2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</row>
    <row r="1387" spans="1:60" x14ac:dyDescent="0.25">
      <c r="A1387" s="14"/>
      <c r="B1387" s="14"/>
      <c r="C1387" s="14"/>
      <c r="D1387" s="14"/>
      <c r="E1387" s="14"/>
      <c r="F1387" s="14"/>
      <c r="T1387"/>
      <c r="AK1387" s="12"/>
      <c r="AL1387" s="1"/>
      <c r="AM1387" s="1"/>
      <c r="AN1387" s="1"/>
      <c r="AO1387" s="2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</row>
    <row r="1388" spans="1:60" x14ac:dyDescent="0.25">
      <c r="A1388" s="14"/>
      <c r="B1388" s="14"/>
      <c r="C1388" s="14"/>
      <c r="D1388" s="14"/>
      <c r="E1388" s="14"/>
      <c r="F1388" s="14"/>
      <c r="T1388"/>
      <c r="AK1388" s="12"/>
      <c r="AL1388" s="1"/>
      <c r="AM1388" s="1"/>
      <c r="AN1388" s="1"/>
      <c r="AO1388" s="2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</row>
    <row r="1389" spans="1:60" x14ac:dyDescent="0.25">
      <c r="A1389" s="14"/>
      <c r="B1389" s="14"/>
      <c r="C1389" s="14"/>
      <c r="D1389" s="14"/>
      <c r="E1389" s="14"/>
      <c r="F1389" s="14"/>
      <c r="T1389"/>
      <c r="AK1389" s="12"/>
      <c r="AL1389" s="1"/>
      <c r="AM1389" s="1"/>
      <c r="AN1389" s="1"/>
      <c r="AO1389" s="2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</row>
    <row r="1390" spans="1:60" x14ac:dyDescent="0.25">
      <c r="A1390" s="14"/>
      <c r="B1390" s="14"/>
      <c r="C1390" s="14"/>
      <c r="D1390" s="14"/>
      <c r="E1390" s="14"/>
      <c r="F1390" s="14"/>
      <c r="T1390"/>
      <c r="AK1390" s="12"/>
      <c r="AL1390" s="1"/>
      <c r="AM1390" s="1"/>
      <c r="AN1390" s="1"/>
      <c r="AO1390" s="2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</row>
    <row r="1391" spans="1:60" x14ac:dyDescent="0.25">
      <c r="A1391" s="14"/>
      <c r="B1391" s="14"/>
      <c r="C1391" s="14"/>
      <c r="D1391" s="14"/>
      <c r="E1391" s="14"/>
      <c r="F1391" s="14"/>
      <c r="T1391"/>
      <c r="AK1391" s="12"/>
      <c r="AL1391" s="1"/>
      <c r="AM1391" s="1"/>
      <c r="AN1391" s="1"/>
      <c r="AO1391" s="2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</row>
    <row r="1392" spans="1:60" x14ac:dyDescent="0.25">
      <c r="A1392" s="14"/>
      <c r="B1392" s="14"/>
      <c r="C1392" s="14"/>
      <c r="D1392" s="14"/>
      <c r="E1392" s="14"/>
      <c r="F1392" s="14"/>
      <c r="T1392"/>
      <c r="AK1392" s="12"/>
      <c r="AL1392" s="1"/>
      <c r="AM1392" s="1"/>
      <c r="AN1392" s="1"/>
      <c r="AO1392" s="2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</row>
    <row r="1393" spans="1:60" x14ac:dyDescent="0.25">
      <c r="A1393" s="14"/>
      <c r="B1393" s="14"/>
      <c r="C1393" s="14"/>
      <c r="D1393" s="14"/>
      <c r="E1393" s="14"/>
      <c r="F1393" s="14"/>
      <c r="T1393"/>
      <c r="AK1393" s="12"/>
      <c r="AL1393" s="1"/>
      <c r="AM1393" s="1"/>
      <c r="AN1393" s="1"/>
      <c r="AO1393" s="2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</row>
    <row r="1394" spans="1:60" x14ac:dyDescent="0.25">
      <c r="A1394" s="14"/>
      <c r="B1394" s="14"/>
      <c r="C1394" s="14"/>
      <c r="D1394" s="14"/>
      <c r="E1394" s="14"/>
      <c r="F1394" s="14"/>
      <c r="T1394"/>
      <c r="AK1394" s="12"/>
      <c r="AL1394" s="1"/>
      <c r="AM1394" s="1"/>
      <c r="AN1394" s="1"/>
      <c r="AO1394" s="2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</row>
    <row r="1395" spans="1:60" x14ac:dyDescent="0.25">
      <c r="A1395" s="14"/>
      <c r="B1395" s="14"/>
      <c r="C1395" s="14"/>
      <c r="D1395" s="14"/>
      <c r="E1395" s="14"/>
      <c r="F1395" s="14"/>
      <c r="T1395"/>
      <c r="AK1395" s="12"/>
      <c r="AL1395" s="1"/>
      <c r="AM1395" s="1"/>
      <c r="AN1395" s="1"/>
      <c r="AO1395" s="2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</row>
    <row r="1396" spans="1:60" x14ac:dyDescent="0.25">
      <c r="A1396" s="14"/>
      <c r="B1396" s="14"/>
      <c r="C1396" s="14"/>
      <c r="D1396" s="14"/>
      <c r="E1396" s="14"/>
      <c r="F1396" s="14"/>
      <c r="T1396"/>
      <c r="AK1396" s="12"/>
      <c r="AL1396" s="1"/>
      <c r="AM1396" s="1"/>
      <c r="AN1396" s="1"/>
      <c r="AO1396" s="2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</row>
    <row r="1397" spans="1:60" x14ac:dyDescent="0.25">
      <c r="A1397" s="14"/>
      <c r="B1397" s="14"/>
      <c r="C1397" s="14"/>
      <c r="D1397" s="14"/>
      <c r="E1397" s="14"/>
      <c r="F1397" s="14"/>
      <c r="T1397"/>
      <c r="AK1397" s="12"/>
      <c r="AL1397" s="1"/>
      <c r="AM1397" s="1"/>
      <c r="AN1397" s="1"/>
      <c r="AO1397" s="2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</row>
    <row r="1398" spans="1:60" x14ac:dyDescent="0.25">
      <c r="A1398" s="14"/>
      <c r="B1398" s="14"/>
      <c r="C1398" s="14"/>
      <c r="D1398" s="14"/>
      <c r="E1398" s="14"/>
      <c r="F1398" s="14"/>
      <c r="T1398"/>
      <c r="AK1398" s="12"/>
      <c r="AL1398" s="1"/>
      <c r="AM1398" s="1"/>
      <c r="AN1398" s="1"/>
      <c r="AO1398" s="2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</row>
    <row r="1399" spans="1:60" x14ac:dyDescent="0.25">
      <c r="A1399" s="14"/>
      <c r="B1399" s="14"/>
      <c r="C1399" s="14"/>
      <c r="D1399" s="14"/>
      <c r="E1399" s="14"/>
      <c r="F1399" s="14"/>
      <c r="T1399"/>
      <c r="AK1399" s="12"/>
      <c r="AL1399" s="1"/>
      <c r="AM1399" s="1"/>
      <c r="AN1399" s="1"/>
      <c r="AO1399" s="2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</row>
    <row r="1400" spans="1:60" x14ac:dyDescent="0.25">
      <c r="A1400" s="14"/>
      <c r="B1400" s="14"/>
      <c r="C1400" s="14"/>
      <c r="D1400" s="14"/>
      <c r="E1400" s="14"/>
      <c r="F1400" s="14"/>
      <c r="T1400"/>
      <c r="AK1400" s="12"/>
      <c r="AL1400" s="1"/>
      <c r="AM1400" s="1"/>
      <c r="AN1400" s="1"/>
      <c r="AO1400" s="2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</row>
    <row r="1401" spans="1:60" x14ac:dyDescent="0.25">
      <c r="A1401" s="14"/>
      <c r="B1401" s="14"/>
      <c r="C1401" s="14"/>
      <c r="D1401" s="14"/>
      <c r="E1401" s="14"/>
      <c r="F1401" s="14"/>
      <c r="T1401"/>
      <c r="AK1401" s="12"/>
      <c r="AL1401" s="1"/>
      <c r="AM1401" s="1"/>
      <c r="AN1401" s="1"/>
      <c r="AO1401" s="2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</row>
    <row r="1402" spans="1:60" x14ac:dyDescent="0.25">
      <c r="A1402" s="14"/>
      <c r="B1402" s="14"/>
      <c r="C1402" s="14"/>
      <c r="D1402" s="14"/>
      <c r="E1402" s="14"/>
      <c r="F1402" s="14"/>
      <c r="T1402"/>
      <c r="AK1402" s="12"/>
      <c r="AL1402" s="1"/>
      <c r="AM1402" s="1"/>
      <c r="AN1402" s="1"/>
      <c r="AO1402" s="2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</row>
    <row r="1403" spans="1:60" x14ac:dyDescent="0.25">
      <c r="A1403" s="14"/>
      <c r="B1403" s="14"/>
      <c r="C1403" s="14"/>
      <c r="D1403" s="14"/>
      <c r="E1403" s="14"/>
      <c r="F1403" s="14"/>
      <c r="T1403"/>
      <c r="AK1403" s="12"/>
      <c r="AL1403" s="1"/>
      <c r="AM1403" s="1"/>
      <c r="AN1403" s="1"/>
      <c r="AO1403" s="2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</row>
    <row r="1404" spans="1:60" x14ac:dyDescent="0.25">
      <c r="A1404" s="14"/>
      <c r="B1404" s="14"/>
      <c r="C1404" s="14"/>
      <c r="D1404" s="14"/>
      <c r="E1404" s="14"/>
      <c r="F1404" s="14"/>
      <c r="T1404"/>
      <c r="AK1404" s="12"/>
      <c r="AL1404" s="1"/>
      <c r="AM1404" s="1"/>
      <c r="AN1404" s="1"/>
      <c r="AO1404" s="2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</row>
    <row r="1405" spans="1:60" x14ac:dyDescent="0.25">
      <c r="A1405" s="14"/>
      <c r="B1405" s="14"/>
      <c r="C1405" s="14"/>
      <c r="D1405" s="14"/>
      <c r="E1405" s="14"/>
      <c r="F1405" s="14"/>
      <c r="T1405"/>
      <c r="AK1405" s="12"/>
      <c r="AL1405" s="1"/>
      <c r="AM1405" s="1"/>
      <c r="AN1405" s="1"/>
      <c r="AO1405" s="2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</row>
    <row r="1406" spans="1:60" x14ac:dyDescent="0.25">
      <c r="A1406" s="14"/>
      <c r="B1406" s="14"/>
      <c r="C1406" s="14"/>
      <c r="D1406" s="14"/>
      <c r="E1406" s="14"/>
      <c r="F1406" s="14"/>
      <c r="T1406"/>
      <c r="AK1406" s="12"/>
      <c r="AL1406" s="1"/>
      <c r="AM1406" s="1"/>
      <c r="AN1406" s="1"/>
      <c r="AO1406" s="2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</row>
    <row r="1407" spans="1:60" x14ac:dyDescent="0.25">
      <c r="A1407" s="14"/>
      <c r="B1407" s="14"/>
      <c r="C1407" s="14"/>
      <c r="D1407" s="14"/>
      <c r="E1407" s="14"/>
      <c r="F1407" s="14"/>
      <c r="T1407"/>
      <c r="AK1407" s="12"/>
      <c r="AL1407" s="1"/>
      <c r="AM1407" s="1"/>
      <c r="AN1407" s="1"/>
      <c r="AO1407" s="2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</row>
    <row r="1408" spans="1:60" x14ac:dyDescent="0.25">
      <c r="A1408" s="14"/>
      <c r="B1408" s="14"/>
      <c r="C1408" s="14"/>
      <c r="D1408" s="14"/>
      <c r="E1408" s="14"/>
      <c r="F1408" s="14"/>
      <c r="T1408"/>
      <c r="AK1408" s="12"/>
      <c r="AL1408" s="1"/>
      <c r="AM1408" s="1"/>
      <c r="AN1408" s="1"/>
      <c r="AO1408" s="2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</row>
    <row r="1409" spans="1:60" x14ac:dyDescent="0.25">
      <c r="A1409" s="14"/>
      <c r="B1409" s="14"/>
      <c r="C1409" s="14"/>
      <c r="D1409" s="14"/>
      <c r="E1409" s="14"/>
      <c r="F1409" s="14"/>
      <c r="T1409"/>
      <c r="AK1409" s="12"/>
      <c r="AL1409" s="1"/>
      <c r="AM1409" s="1"/>
      <c r="AN1409" s="1"/>
      <c r="AO1409" s="2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</row>
    <row r="1410" spans="1:60" x14ac:dyDescent="0.25">
      <c r="A1410" s="14"/>
      <c r="B1410" s="14"/>
      <c r="C1410" s="14"/>
      <c r="D1410" s="14"/>
      <c r="E1410" s="14"/>
      <c r="F1410" s="14"/>
      <c r="T1410"/>
      <c r="AK1410" s="12"/>
      <c r="AL1410" s="1"/>
      <c r="AM1410" s="1"/>
      <c r="AN1410" s="1"/>
      <c r="AO1410" s="2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</row>
    <row r="1411" spans="1:60" x14ac:dyDescent="0.25">
      <c r="A1411" s="14"/>
      <c r="B1411" s="14"/>
      <c r="C1411" s="14"/>
      <c r="D1411" s="14"/>
      <c r="E1411" s="14"/>
      <c r="F1411" s="14"/>
      <c r="T1411"/>
      <c r="AK1411" s="12"/>
      <c r="AL1411" s="1"/>
      <c r="AM1411" s="1"/>
      <c r="AN1411" s="1"/>
      <c r="AO1411" s="2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</row>
    <row r="1412" spans="1:60" x14ac:dyDescent="0.25">
      <c r="A1412" s="14"/>
      <c r="B1412" s="14"/>
      <c r="C1412" s="14"/>
      <c r="D1412" s="14"/>
      <c r="E1412" s="14"/>
      <c r="F1412" s="14"/>
      <c r="T1412"/>
      <c r="AK1412" s="12"/>
      <c r="AL1412" s="1"/>
      <c r="AM1412" s="1"/>
      <c r="AN1412" s="1"/>
      <c r="AO1412" s="2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</row>
    <row r="1413" spans="1:60" x14ac:dyDescent="0.25">
      <c r="A1413" s="14"/>
      <c r="B1413" s="14"/>
      <c r="C1413" s="14"/>
      <c r="D1413" s="14"/>
      <c r="E1413" s="14"/>
      <c r="F1413" s="14"/>
      <c r="T1413"/>
      <c r="AK1413" s="12"/>
      <c r="AL1413" s="1"/>
      <c r="AM1413" s="1"/>
      <c r="AN1413" s="1"/>
      <c r="AO1413" s="2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</row>
    <row r="1414" spans="1:60" x14ac:dyDescent="0.25">
      <c r="A1414" s="14"/>
      <c r="B1414" s="14"/>
      <c r="C1414" s="14"/>
      <c r="D1414" s="14"/>
      <c r="E1414" s="14"/>
      <c r="F1414" s="14"/>
      <c r="T1414"/>
      <c r="AK1414" s="12"/>
      <c r="AL1414" s="1"/>
      <c r="AM1414" s="1"/>
      <c r="AN1414" s="1"/>
      <c r="AO1414" s="2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</row>
    <row r="1415" spans="1:60" x14ac:dyDescent="0.25">
      <c r="A1415" s="14"/>
      <c r="B1415" s="14"/>
      <c r="C1415" s="14"/>
      <c r="D1415" s="14"/>
      <c r="E1415" s="14"/>
      <c r="F1415" s="14"/>
      <c r="T1415"/>
      <c r="AK1415" s="12"/>
      <c r="AL1415" s="1"/>
      <c r="AM1415" s="1"/>
      <c r="AN1415" s="1"/>
      <c r="AO1415" s="2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</row>
    <row r="1416" spans="1:60" x14ac:dyDescent="0.25">
      <c r="A1416" s="14"/>
      <c r="B1416" s="14"/>
      <c r="C1416" s="14"/>
      <c r="D1416" s="14"/>
      <c r="E1416" s="14"/>
      <c r="F1416" s="14"/>
      <c r="T1416"/>
      <c r="AK1416" s="12"/>
      <c r="AL1416" s="1"/>
      <c r="AM1416" s="1"/>
      <c r="AN1416" s="1"/>
      <c r="AO1416" s="2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</row>
    <row r="1417" spans="1:60" x14ac:dyDescent="0.25">
      <c r="A1417" s="14"/>
      <c r="B1417" s="14"/>
      <c r="C1417" s="14"/>
      <c r="D1417" s="14"/>
      <c r="E1417" s="14"/>
      <c r="F1417" s="14"/>
      <c r="T1417"/>
      <c r="AK1417" s="12"/>
      <c r="AL1417" s="1"/>
      <c r="AM1417" s="1"/>
      <c r="AN1417" s="1"/>
      <c r="AO1417" s="2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</row>
    <row r="1418" spans="1:60" x14ac:dyDescent="0.25">
      <c r="A1418" s="14"/>
      <c r="B1418" s="14"/>
      <c r="C1418" s="14"/>
      <c r="D1418" s="14"/>
      <c r="E1418" s="14"/>
      <c r="F1418" s="14"/>
      <c r="T1418"/>
      <c r="AK1418" s="12"/>
      <c r="AL1418" s="1"/>
      <c r="AM1418" s="1"/>
      <c r="AN1418" s="1"/>
      <c r="AO1418" s="2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</row>
    <row r="1419" spans="1:60" x14ac:dyDescent="0.25">
      <c r="A1419" s="14"/>
      <c r="B1419" s="14"/>
      <c r="C1419" s="14"/>
      <c r="D1419" s="14"/>
      <c r="E1419" s="14"/>
      <c r="F1419" s="14"/>
      <c r="T1419"/>
      <c r="AK1419" s="12"/>
      <c r="AL1419" s="1"/>
      <c r="AM1419" s="1"/>
      <c r="AN1419" s="1"/>
      <c r="AO1419" s="2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</row>
    <row r="1420" spans="1:60" x14ac:dyDescent="0.25">
      <c r="A1420" s="14"/>
      <c r="B1420" s="14"/>
      <c r="C1420" s="14"/>
      <c r="D1420" s="14"/>
      <c r="E1420" s="14"/>
      <c r="F1420" s="14"/>
      <c r="T1420"/>
      <c r="AK1420" s="12"/>
      <c r="AL1420" s="1"/>
      <c r="AM1420" s="1"/>
      <c r="AN1420" s="1"/>
      <c r="AO1420" s="2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</row>
    <row r="1421" spans="1:60" x14ac:dyDescent="0.25">
      <c r="A1421" s="14"/>
      <c r="B1421" s="14"/>
      <c r="C1421" s="14"/>
      <c r="D1421" s="14"/>
      <c r="E1421" s="14"/>
      <c r="F1421" s="14"/>
      <c r="T1421"/>
      <c r="AK1421" s="12"/>
      <c r="AL1421" s="1"/>
      <c r="AM1421" s="1"/>
      <c r="AN1421" s="1"/>
      <c r="AO1421" s="2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</row>
    <row r="1422" spans="1:60" x14ac:dyDescent="0.25">
      <c r="A1422" s="14"/>
      <c r="B1422" s="14"/>
      <c r="C1422" s="14"/>
      <c r="D1422" s="14"/>
      <c r="E1422" s="14"/>
      <c r="F1422" s="14"/>
      <c r="T1422"/>
      <c r="AK1422" s="12"/>
      <c r="AL1422" s="1"/>
      <c r="AM1422" s="1"/>
      <c r="AN1422" s="1"/>
      <c r="AO1422" s="2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</row>
    <row r="1423" spans="1:60" x14ac:dyDescent="0.25">
      <c r="A1423" s="14"/>
      <c r="B1423" s="14"/>
      <c r="C1423" s="14"/>
      <c r="D1423" s="14"/>
      <c r="E1423" s="14"/>
      <c r="F1423" s="14"/>
      <c r="T1423"/>
      <c r="AK1423" s="12"/>
      <c r="AL1423" s="1"/>
      <c r="AM1423" s="1"/>
      <c r="AN1423" s="1"/>
      <c r="AO1423" s="2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</row>
    <row r="1424" spans="1:60" x14ac:dyDescent="0.25">
      <c r="A1424" s="14"/>
      <c r="B1424" s="14"/>
      <c r="C1424" s="14"/>
      <c r="D1424" s="14"/>
      <c r="E1424" s="14"/>
      <c r="F1424" s="14"/>
      <c r="T1424"/>
      <c r="AK1424" s="12"/>
      <c r="AL1424" s="1"/>
      <c r="AM1424" s="1"/>
      <c r="AN1424" s="1"/>
      <c r="AO1424" s="2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</row>
    <row r="1425" spans="1:60" x14ac:dyDescent="0.25">
      <c r="A1425" s="14"/>
      <c r="B1425" s="14"/>
      <c r="C1425" s="14"/>
      <c r="D1425" s="14"/>
      <c r="E1425" s="14"/>
      <c r="F1425" s="14"/>
      <c r="T1425"/>
      <c r="AK1425" s="12"/>
      <c r="AL1425" s="1"/>
      <c r="AM1425" s="1"/>
      <c r="AN1425" s="1"/>
      <c r="AO1425" s="2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</row>
    <row r="1426" spans="1:60" x14ac:dyDescent="0.25">
      <c r="A1426" s="14"/>
      <c r="B1426" s="14"/>
      <c r="C1426" s="14"/>
      <c r="D1426" s="14"/>
      <c r="E1426" s="14"/>
      <c r="F1426" s="14"/>
      <c r="T1426"/>
      <c r="AK1426" s="12"/>
      <c r="AL1426" s="1"/>
      <c r="AM1426" s="1"/>
      <c r="AN1426" s="1"/>
      <c r="AO1426" s="2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</row>
    <row r="1427" spans="1:60" x14ac:dyDescent="0.25">
      <c r="A1427" s="14"/>
      <c r="B1427" s="14"/>
      <c r="C1427" s="14"/>
      <c r="D1427" s="14"/>
      <c r="E1427" s="14"/>
      <c r="F1427" s="14"/>
      <c r="T1427"/>
      <c r="AK1427" s="12"/>
      <c r="AL1427" s="1"/>
      <c r="AM1427" s="1"/>
      <c r="AN1427" s="1"/>
      <c r="AO1427" s="2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</row>
    <row r="1428" spans="1:60" x14ac:dyDescent="0.25">
      <c r="A1428" s="14"/>
      <c r="B1428" s="14"/>
      <c r="C1428" s="14"/>
      <c r="D1428" s="14"/>
      <c r="E1428" s="14"/>
      <c r="F1428" s="14"/>
      <c r="T1428"/>
      <c r="AK1428" s="12"/>
      <c r="AL1428" s="1"/>
      <c r="AM1428" s="1"/>
      <c r="AN1428" s="1"/>
      <c r="AO1428" s="2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</row>
    <row r="1429" spans="1:60" x14ac:dyDescent="0.25">
      <c r="A1429" s="14"/>
      <c r="B1429" s="14"/>
      <c r="C1429" s="14"/>
      <c r="D1429" s="14"/>
      <c r="E1429" s="14"/>
      <c r="F1429" s="14"/>
      <c r="T1429"/>
      <c r="AK1429" s="12"/>
      <c r="AL1429" s="1"/>
      <c r="AM1429" s="1"/>
      <c r="AN1429" s="1"/>
      <c r="AO1429" s="2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</row>
    <row r="1430" spans="1:60" x14ac:dyDescent="0.25">
      <c r="A1430" s="14"/>
      <c r="B1430" s="14"/>
      <c r="C1430" s="14"/>
      <c r="D1430" s="14"/>
      <c r="E1430" s="14"/>
      <c r="F1430" s="14"/>
      <c r="T1430"/>
      <c r="AK1430" s="12"/>
      <c r="AL1430" s="1"/>
      <c r="AM1430" s="1"/>
      <c r="AN1430" s="1"/>
      <c r="AO1430" s="2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</row>
    <row r="1431" spans="1:60" x14ac:dyDescent="0.25">
      <c r="A1431" s="14"/>
      <c r="B1431" s="14"/>
      <c r="C1431" s="14"/>
      <c r="D1431" s="14"/>
      <c r="E1431" s="14"/>
      <c r="F1431" s="14"/>
      <c r="T1431"/>
      <c r="AK1431" s="12"/>
      <c r="AL1431" s="1"/>
      <c r="AM1431" s="1"/>
      <c r="AN1431" s="1"/>
      <c r="AO1431" s="2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</row>
    <row r="1432" spans="1:60" x14ac:dyDescent="0.25">
      <c r="A1432" s="14"/>
      <c r="B1432" s="14"/>
      <c r="C1432" s="14"/>
      <c r="D1432" s="14"/>
      <c r="E1432" s="14"/>
      <c r="F1432" s="14"/>
      <c r="T1432"/>
      <c r="AK1432" s="12"/>
      <c r="AL1432" s="1"/>
      <c r="AM1432" s="1"/>
      <c r="AN1432" s="1"/>
      <c r="AO1432" s="2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</row>
    <row r="1433" spans="1:60" x14ac:dyDescent="0.25">
      <c r="A1433" s="14"/>
      <c r="B1433" s="14"/>
      <c r="C1433" s="14"/>
      <c r="D1433" s="14"/>
      <c r="E1433" s="14"/>
      <c r="F1433" s="14"/>
      <c r="T1433"/>
      <c r="AK1433" s="12"/>
      <c r="AL1433" s="1"/>
      <c r="AM1433" s="1"/>
      <c r="AN1433" s="1"/>
      <c r="AO1433" s="2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</row>
    <row r="1434" spans="1:60" x14ac:dyDescent="0.25">
      <c r="A1434" s="14"/>
      <c r="B1434" s="14"/>
      <c r="C1434" s="14"/>
      <c r="D1434" s="14"/>
      <c r="E1434" s="14"/>
      <c r="F1434" s="14"/>
      <c r="T1434"/>
      <c r="AK1434" s="12"/>
      <c r="AL1434" s="1"/>
      <c r="AM1434" s="1"/>
      <c r="AN1434" s="1"/>
      <c r="AO1434" s="2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</row>
    <row r="1435" spans="1:60" x14ac:dyDescent="0.25">
      <c r="A1435" s="14"/>
      <c r="B1435" s="14"/>
      <c r="C1435" s="14"/>
      <c r="D1435" s="14"/>
      <c r="E1435" s="14"/>
      <c r="F1435" s="14"/>
      <c r="T1435"/>
      <c r="AK1435" s="12"/>
      <c r="AL1435" s="1"/>
      <c r="AM1435" s="1"/>
      <c r="AN1435" s="1"/>
      <c r="AO1435" s="2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</row>
    <row r="1436" spans="1:60" x14ac:dyDescent="0.25">
      <c r="A1436" s="14"/>
      <c r="B1436" s="14"/>
      <c r="C1436" s="14"/>
      <c r="D1436" s="14"/>
      <c r="E1436" s="14"/>
      <c r="F1436" s="14"/>
      <c r="T1436"/>
      <c r="AK1436" s="12"/>
      <c r="AL1436" s="1"/>
      <c r="AM1436" s="1"/>
      <c r="AN1436" s="1"/>
      <c r="AO1436" s="2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</row>
    <row r="1437" spans="1:60" x14ac:dyDescent="0.25">
      <c r="A1437" s="14"/>
      <c r="B1437" s="14"/>
      <c r="C1437" s="14"/>
      <c r="D1437" s="14"/>
      <c r="E1437" s="14"/>
      <c r="F1437" s="14"/>
      <c r="T1437"/>
      <c r="AK1437" s="12"/>
      <c r="AL1437" s="1"/>
      <c r="AM1437" s="1"/>
      <c r="AN1437" s="1"/>
      <c r="AO1437" s="2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</row>
    <row r="1438" spans="1:60" x14ac:dyDescent="0.25">
      <c r="A1438" s="14"/>
      <c r="B1438" s="14"/>
      <c r="C1438" s="14"/>
      <c r="D1438" s="14"/>
      <c r="E1438" s="14"/>
      <c r="F1438" s="14"/>
      <c r="T1438"/>
      <c r="AK1438" s="12"/>
      <c r="AL1438" s="1"/>
      <c r="AM1438" s="1"/>
      <c r="AN1438" s="1"/>
      <c r="AO1438" s="2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</row>
    <row r="1439" spans="1:60" x14ac:dyDescent="0.25">
      <c r="A1439" s="14"/>
      <c r="B1439" s="14"/>
      <c r="C1439" s="14"/>
      <c r="D1439" s="14"/>
      <c r="E1439" s="14"/>
      <c r="F1439" s="14"/>
      <c r="T1439"/>
      <c r="AK1439" s="12"/>
      <c r="AL1439" s="1"/>
      <c r="AM1439" s="1"/>
      <c r="AN1439" s="1"/>
      <c r="AO1439" s="2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</row>
    <row r="1440" spans="1:60" x14ac:dyDescent="0.25">
      <c r="A1440" s="14"/>
      <c r="B1440" s="14"/>
      <c r="C1440" s="14"/>
      <c r="D1440" s="14"/>
      <c r="E1440" s="14"/>
      <c r="F1440" s="14"/>
      <c r="T1440"/>
      <c r="AK1440" s="12"/>
      <c r="AL1440" s="1"/>
      <c r="AM1440" s="1"/>
      <c r="AN1440" s="1"/>
      <c r="AO1440" s="2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</row>
    <row r="1441" spans="1:60" x14ac:dyDescent="0.25">
      <c r="A1441" s="14"/>
      <c r="B1441" s="14"/>
      <c r="C1441" s="14"/>
      <c r="D1441" s="14"/>
      <c r="E1441" s="14"/>
      <c r="F1441" s="14"/>
      <c r="T1441"/>
      <c r="AK1441" s="12"/>
      <c r="AL1441" s="1"/>
      <c r="AM1441" s="1"/>
      <c r="AN1441" s="1"/>
      <c r="AO1441" s="2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</row>
    <row r="1442" spans="1:60" x14ac:dyDescent="0.25">
      <c r="A1442" s="14"/>
      <c r="B1442" s="14"/>
      <c r="C1442" s="14"/>
      <c r="D1442" s="14"/>
      <c r="E1442" s="14"/>
      <c r="F1442" s="14"/>
      <c r="T1442"/>
      <c r="AK1442" s="12"/>
      <c r="AL1442" s="1"/>
      <c r="AM1442" s="1"/>
      <c r="AN1442" s="1"/>
      <c r="AO1442" s="2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</row>
    <row r="1443" spans="1:60" x14ac:dyDescent="0.25">
      <c r="A1443" s="14"/>
      <c r="B1443" s="14"/>
      <c r="C1443" s="14"/>
      <c r="D1443" s="14"/>
      <c r="E1443" s="14"/>
      <c r="F1443" s="14"/>
      <c r="T1443"/>
      <c r="AK1443" s="12"/>
      <c r="AL1443" s="1"/>
      <c r="AM1443" s="1"/>
      <c r="AN1443" s="1"/>
      <c r="AO1443" s="2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</row>
    <row r="1444" spans="1:60" x14ac:dyDescent="0.25">
      <c r="A1444" s="14"/>
      <c r="B1444" s="14"/>
      <c r="C1444" s="14"/>
      <c r="D1444" s="14"/>
      <c r="E1444" s="14"/>
      <c r="F1444" s="14"/>
      <c r="T1444"/>
      <c r="AK1444" s="12"/>
      <c r="AL1444" s="1"/>
      <c r="AM1444" s="1"/>
      <c r="AN1444" s="1"/>
      <c r="AO1444" s="2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</row>
    <row r="1445" spans="1:60" x14ac:dyDescent="0.25">
      <c r="A1445" s="14"/>
      <c r="B1445" s="14"/>
      <c r="C1445" s="14"/>
      <c r="D1445" s="14"/>
      <c r="E1445" s="14"/>
      <c r="F1445" s="14"/>
      <c r="T1445"/>
      <c r="AK1445" s="12"/>
      <c r="AL1445" s="1"/>
      <c r="AM1445" s="1"/>
      <c r="AN1445" s="1"/>
      <c r="AO1445" s="2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</row>
    <row r="1446" spans="1:60" x14ac:dyDescent="0.25">
      <c r="A1446" s="14"/>
      <c r="B1446" s="14"/>
      <c r="C1446" s="14"/>
      <c r="D1446" s="14"/>
      <c r="E1446" s="14"/>
      <c r="F1446" s="14"/>
      <c r="T1446"/>
      <c r="AK1446" s="12"/>
      <c r="AL1446" s="1"/>
      <c r="AM1446" s="1"/>
      <c r="AN1446" s="1"/>
      <c r="AO1446" s="2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</row>
    <row r="1447" spans="1:60" x14ac:dyDescent="0.25">
      <c r="A1447" s="14"/>
      <c r="B1447" s="14"/>
      <c r="C1447" s="14"/>
      <c r="D1447" s="14"/>
      <c r="E1447" s="14"/>
      <c r="F1447" s="14"/>
      <c r="T1447"/>
      <c r="AK1447" s="12"/>
      <c r="AL1447" s="1"/>
      <c r="AM1447" s="1"/>
      <c r="AN1447" s="1"/>
      <c r="AO1447" s="2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</row>
    <row r="1448" spans="1:60" x14ac:dyDescent="0.25">
      <c r="A1448" s="14"/>
      <c r="B1448" s="14"/>
      <c r="C1448" s="14"/>
      <c r="D1448" s="14"/>
      <c r="E1448" s="14"/>
      <c r="F1448" s="14"/>
      <c r="T1448"/>
      <c r="AK1448" s="12"/>
      <c r="AL1448" s="1"/>
      <c r="AM1448" s="1"/>
      <c r="AN1448" s="1"/>
      <c r="AO1448" s="2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</row>
    <row r="1449" spans="1:60" x14ac:dyDescent="0.25">
      <c r="A1449" s="14"/>
      <c r="B1449" s="14"/>
      <c r="C1449" s="14"/>
      <c r="D1449" s="14"/>
      <c r="E1449" s="14"/>
      <c r="F1449" s="14"/>
      <c r="T1449"/>
      <c r="AK1449" s="12"/>
      <c r="AL1449" s="1"/>
      <c r="AM1449" s="1"/>
      <c r="AN1449" s="1"/>
      <c r="AO1449" s="2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</row>
    <row r="1450" spans="1:60" x14ac:dyDescent="0.25">
      <c r="A1450" s="14"/>
      <c r="B1450" s="14"/>
      <c r="C1450" s="14"/>
      <c r="D1450" s="14"/>
      <c r="E1450" s="14"/>
      <c r="F1450" s="14"/>
      <c r="T1450"/>
      <c r="AK1450" s="12"/>
      <c r="AL1450" s="1"/>
      <c r="AM1450" s="1"/>
      <c r="AN1450" s="1"/>
      <c r="AO1450" s="2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</row>
    <row r="1451" spans="1:60" x14ac:dyDescent="0.25">
      <c r="A1451" s="14"/>
      <c r="B1451" s="14"/>
      <c r="C1451" s="14"/>
      <c r="D1451" s="14"/>
      <c r="E1451" s="14"/>
      <c r="F1451" s="14"/>
      <c r="T1451"/>
      <c r="AK1451" s="12"/>
      <c r="AL1451" s="1"/>
      <c r="AM1451" s="1"/>
      <c r="AN1451" s="1"/>
      <c r="AO1451" s="2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</row>
    <row r="1452" spans="1:60" x14ac:dyDescent="0.25">
      <c r="A1452" s="14"/>
      <c r="B1452" s="14"/>
      <c r="C1452" s="14"/>
      <c r="D1452" s="14"/>
      <c r="E1452" s="14"/>
      <c r="F1452" s="14"/>
      <c r="T1452"/>
      <c r="AK1452" s="12"/>
      <c r="AL1452" s="1"/>
      <c r="AM1452" s="1"/>
      <c r="AN1452" s="1"/>
      <c r="AO1452" s="2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</row>
    <row r="1453" spans="1:60" x14ac:dyDescent="0.25">
      <c r="A1453" s="14"/>
      <c r="B1453" s="14"/>
      <c r="C1453" s="14"/>
      <c r="D1453" s="14"/>
      <c r="E1453" s="14"/>
      <c r="F1453" s="14"/>
      <c r="T1453"/>
      <c r="AK1453" s="12"/>
      <c r="AL1453" s="1"/>
      <c r="AM1453" s="1"/>
      <c r="AN1453" s="1"/>
      <c r="AO1453" s="2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</row>
    <row r="1454" spans="1:60" x14ac:dyDescent="0.25">
      <c r="A1454" s="14"/>
      <c r="B1454" s="14"/>
      <c r="C1454" s="14"/>
      <c r="D1454" s="14"/>
      <c r="E1454" s="14"/>
      <c r="F1454" s="14"/>
      <c r="T1454"/>
      <c r="AK1454" s="12"/>
      <c r="AL1454" s="1"/>
      <c r="AM1454" s="1"/>
      <c r="AN1454" s="1"/>
      <c r="AO1454" s="2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</row>
    <row r="1455" spans="1:60" x14ac:dyDescent="0.25">
      <c r="A1455" s="14"/>
      <c r="B1455" s="14"/>
      <c r="C1455" s="14"/>
      <c r="D1455" s="14"/>
      <c r="E1455" s="14"/>
      <c r="F1455" s="14"/>
      <c r="T1455"/>
      <c r="AK1455" s="12"/>
      <c r="AL1455" s="1"/>
      <c r="AM1455" s="1"/>
      <c r="AN1455" s="1"/>
      <c r="AO1455" s="2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</row>
    <row r="1456" spans="1:60" x14ac:dyDescent="0.25">
      <c r="A1456" s="14"/>
      <c r="B1456" s="14"/>
      <c r="C1456" s="14"/>
      <c r="D1456" s="14"/>
      <c r="E1456" s="14"/>
      <c r="F1456" s="14"/>
      <c r="T1456"/>
      <c r="AK1456" s="12"/>
      <c r="AL1456" s="1"/>
      <c r="AM1456" s="1"/>
      <c r="AN1456" s="1"/>
      <c r="AO1456" s="2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</row>
    <row r="1457" spans="1:60" x14ac:dyDescent="0.25">
      <c r="A1457" s="14"/>
      <c r="B1457" s="14"/>
      <c r="C1457" s="14"/>
      <c r="D1457" s="14"/>
      <c r="E1457" s="14"/>
      <c r="F1457" s="14"/>
      <c r="T1457"/>
      <c r="AK1457" s="12"/>
      <c r="AL1457" s="1"/>
      <c r="AM1457" s="1"/>
      <c r="AN1457" s="1"/>
      <c r="AO1457" s="2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</row>
    <row r="1458" spans="1:60" x14ac:dyDescent="0.25">
      <c r="A1458" s="14"/>
      <c r="B1458" s="14"/>
      <c r="C1458" s="14"/>
      <c r="D1458" s="14"/>
      <c r="E1458" s="14"/>
      <c r="F1458" s="14"/>
      <c r="T1458"/>
      <c r="AK1458" s="12"/>
      <c r="AL1458" s="1"/>
      <c r="AM1458" s="1"/>
      <c r="AN1458" s="1"/>
      <c r="AO1458" s="2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</row>
    <row r="1459" spans="1:60" x14ac:dyDescent="0.25">
      <c r="A1459" s="14"/>
      <c r="B1459" s="14"/>
      <c r="C1459" s="14"/>
      <c r="D1459" s="14"/>
      <c r="E1459" s="14"/>
      <c r="F1459" s="14"/>
      <c r="T1459"/>
      <c r="AK1459" s="12"/>
      <c r="AL1459" s="1"/>
      <c r="AM1459" s="1"/>
      <c r="AN1459" s="1"/>
      <c r="AO1459" s="2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</row>
    <row r="1460" spans="1:60" x14ac:dyDescent="0.25">
      <c r="A1460" s="14"/>
      <c r="B1460" s="14"/>
      <c r="C1460" s="14"/>
      <c r="D1460" s="14"/>
      <c r="E1460" s="14"/>
      <c r="F1460" s="14"/>
      <c r="T1460"/>
      <c r="AK1460" s="12"/>
      <c r="AL1460" s="1"/>
      <c r="AM1460" s="1"/>
      <c r="AN1460" s="1"/>
      <c r="AO1460" s="2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</row>
    <row r="1461" spans="1:60" x14ac:dyDescent="0.25">
      <c r="A1461" s="14"/>
      <c r="B1461" s="14"/>
      <c r="C1461" s="14"/>
      <c r="D1461" s="14"/>
      <c r="E1461" s="14"/>
      <c r="F1461" s="14"/>
      <c r="T1461"/>
      <c r="AK1461" s="12"/>
      <c r="AL1461" s="1"/>
      <c r="AM1461" s="1"/>
      <c r="AN1461" s="1"/>
      <c r="AO1461" s="2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</row>
    <row r="1462" spans="1:60" x14ac:dyDescent="0.25">
      <c r="A1462" s="14"/>
      <c r="B1462" s="14"/>
      <c r="C1462" s="14"/>
      <c r="D1462" s="14"/>
      <c r="E1462" s="14"/>
      <c r="F1462" s="14"/>
      <c r="T1462"/>
      <c r="AK1462" s="12"/>
      <c r="AL1462" s="1"/>
      <c r="AM1462" s="1"/>
      <c r="AN1462" s="1"/>
      <c r="AO1462" s="2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</row>
    <row r="1463" spans="1:60" x14ac:dyDescent="0.25">
      <c r="A1463" s="14"/>
      <c r="B1463" s="14"/>
      <c r="C1463" s="14"/>
      <c r="D1463" s="14"/>
      <c r="E1463" s="14"/>
      <c r="F1463" s="14"/>
      <c r="T1463"/>
      <c r="AK1463" s="12"/>
      <c r="AL1463" s="1"/>
      <c r="AM1463" s="1"/>
      <c r="AN1463" s="1"/>
      <c r="AO1463" s="2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</row>
    <row r="1464" spans="1:60" x14ac:dyDescent="0.25">
      <c r="A1464" s="14"/>
      <c r="B1464" s="14"/>
      <c r="C1464" s="14"/>
      <c r="D1464" s="14"/>
      <c r="E1464" s="14"/>
      <c r="F1464" s="14"/>
      <c r="T1464"/>
      <c r="AK1464" s="12"/>
      <c r="AL1464" s="1"/>
      <c r="AM1464" s="1"/>
      <c r="AN1464" s="1"/>
      <c r="AO1464" s="2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</row>
    <row r="1465" spans="1:60" x14ac:dyDescent="0.25">
      <c r="A1465" s="14"/>
      <c r="B1465" s="14"/>
      <c r="C1465" s="14"/>
      <c r="D1465" s="14"/>
      <c r="E1465" s="14"/>
      <c r="F1465" s="14"/>
      <c r="T1465"/>
      <c r="AK1465" s="12"/>
      <c r="AL1465" s="1"/>
      <c r="AM1465" s="1"/>
      <c r="AN1465" s="1"/>
      <c r="AO1465" s="2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</row>
    <row r="1466" spans="1:60" x14ac:dyDescent="0.25">
      <c r="A1466" s="14"/>
      <c r="B1466" s="14"/>
      <c r="C1466" s="14"/>
      <c r="D1466" s="14"/>
      <c r="E1466" s="14"/>
      <c r="F1466" s="14"/>
      <c r="T1466"/>
      <c r="AK1466" s="12"/>
      <c r="AL1466" s="1"/>
      <c r="AM1466" s="1"/>
      <c r="AN1466" s="1"/>
      <c r="AO1466" s="2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</row>
    <row r="1467" spans="1:60" x14ac:dyDescent="0.25">
      <c r="A1467" s="14"/>
      <c r="B1467" s="14"/>
      <c r="C1467" s="14"/>
      <c r="D1467" s="14"/>
      <c r="E1467" s="14"/>
      <c r="F1467" s="14"/>
      <c r="T1467"/>
      <c r="AK1467" s="12"/>
      <c r="AL1467" s="1"/>
      <c r="AM1467" s="1"/>
      <c r="AN1467" s="1"/>
      <c r="AO1467" s="2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</row>
    <row r="1468" spans="1:60" x14ac:dyDescent="0.25">
      <c r="A1468" s="14"/>
      <c r="B1468" s="14"/>
      <c r="C1468" s="14"/>
      <c r="D1468" s="14"/>
      <c r="E1468" s="14"/>
      <c r="F1468" s="14"/>
      <c r="T1468"/>
      <c r="AK1468" s="12"/>
      <c r="AL1468" s="1"/>
      <c r="AM1468" s="1"/>
      <c r="AN1468" s="1"/>
      <c r="AO1468" s="2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</row>
    <row r="1469" spans="1:60" x14ac:dyDescent="0.25">
      <c r="A1469" s="14"/>
      <c r="B1469" s="14"/>
      <c r="C1469" s="14"/>
      <c r="D1469" s="14"/>
      <c r="E1469" s="14"/>
      <c r="F1469" s="14"/>
      <c r="T1469"/>
      <c r="AK1469" s="12"/>
      <c r="AL1469" s="1"/>
      <c r="AM1469" s="1"/>
      <c r="AN1469" s="1"/>
      <c r="AO1469" s="2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</row>
    <row r="1470" spans="1:60" x14ac:dyDescent="0.25">
      <c r="A1470" s="14"/>
      <c r="B1470" s="14"/>
      <c r="C1470" s="14"/>
      <c r="D1470" s="14"/>
      <c r="E1470" s="14"/>
      <c r="F1470" s="14"/>
      <c r="T1470"/>
      <c r="AK1470" s="12"/>
      <c r="AL1470" s="1"/>
      <c r="AM1470" s="1"/>
      <c r="AN1470" s="1"/>
      <c r="AO1470" s="2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</row>
    <row r="1471" spans="1:60" x14ac:dyDescent="0.25">
      <c r="A1471" s="14"/>
      <c r="B1471" s="14"/>
      <c r="C1471" s="14"/>
      <c r="D1471" s="14"/>
      <c r="E1471" s="14"/>
      <c r="F1471" s="14"/>
      <c r="T1471"/>
      <c r="AK1471" s="12"/>
      <c r="AL1471" s="1"/>
      <c r="AM1471" s="1"/>
      <c r="AN1471" s="1"/>
      <c r="AO1471" s="2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</row>
    <row r="1472" spans="1:60" x14ac:dyDescent="0.25">
      <c r="A1472" s="14"/>
      <c r="B1472" s="14"/>
      <c r="C1472" s="14"/>
      <c r="D1472" s="14"/>
      <c r="E1472" s="14"/>
      <c r="F1472" s="14"/>
      <c r="T1472"/>
      <c r="AK1472" s="12"/>
      <c r="AL1472" s="1"/>
      <c r="AM1472" s="1"/>
      <c r="AN1472" s="1"/>
      <c r="AO1472" s="2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</row>
    <row r="1473" spans="1:60" x14ac:dyDescent="0.25">
      <c r="A1473" s="14"/>
      <c r="B1473" s="14"/>
      <c r="C1473" s="14"/>
      <c r="D1473" s="14"/>
      <c r="E1473" s="14"/>
      <c r="F1473" s="14"/>
      <c r="T1473"/>
      <c r="AK1473" s="12"/>
      <c r="AL1473" s="1"/>
      <c r="AM1473" s="1"/>
      <c r="AN1473" s="1"/>
      <c r="AO1473" s="2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</row>
    <row r="1474" spans="1:60" x14ac:dyDescent="0.25">
      <c r="A1474" s="14"/>
      <c r="B1474" s="14"/>
      <c r="C1474" s="14"/>
      <c r="D1474" s="14"/>
      <c r="E1474" s="14"/>
      <c r="F1474" s="14"/>
      <c r="T1474"/>
      <c r="AK1474" s="12"/>
      <c r="AL1474" s="1"/>
      <c r="AM1474" s="1"/>
      <c r="AN1474" s="1"/>
      <c r="AO1474" s="2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</row>
    <row r="1475" spans="1:60" x14ac:dyDescent="0.25">
      <c r="A1475" s="14"/>
      <c r="B1475" s="14"/>
      <c r="C1475" s="14"/>
      <c r="D1475" s="14"/>
      <c r="E1475" s="14"/>
      <c r="F1475" s="14"/>
      <c r="T1475"/>
      <c r="AK1475" s="12"/>
      <c r="AL1475" s="1"/>
      <c r="AM1475" s="1"/>
      <c r="AN1475" s="1"/>
      <c r="AO1475" s="2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</row>
    <row r="1476" spans="1:60" x14ac:dyDescent="0.25">
      <c r="A1476" s="14"/>
      <c r="B1476" s="14"/>
      <c r="C1476" s="14"/>
      <c r="D1476" s="14"/>
      <c r="E1476" s="14"/>
      <c r="F1476" s="14"/>
      <c r="T1476"/>
      <c r="AK1476" s="12"/>
      <c r="AL1476" s="1"/>
      <c r="AM1476" s="1"/>
      <c r="AN1476" s="1"/>
      <c r="AO1476" s="2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</row>
    <row r="1477" spans="1:60" x14ac:dyDescent="0.25">
      <c r="A1477" s="14"/>
      <c r="B1477" s="14"/>
      <c r="C1477" s="14"/>
      <c r="D1477" s="14"/>
      <c r="E1477" s="14"/>
      <c r="F1477" s="14"/>
      <c r="T1477"/>
      <c r="AK1477" s="12"/>
      <c r="AL1477" s="1"/>
      <c r="AM1477" s="1"/>
      <c r="AN1477" s="1"/>
      <c r="AO1477" s="2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</row>
    <row r="1478" spans="1:60" x14ac:dyDescent="0.25">
      <c r="A1478" s="14"/>
      <c r="B1478" s="14"/>
      <c r="C1478" s="14"/>
      <c r="D1478" s="14"/>
      <c r="E1478" s="14"/>
      <c r="F1478" s="14"/>
      <c r="T1478"/>
      <c r="AK1478" s="12"/>
      <c r="AL1478" s="1"/>
      <c r="AM1478" s="1"/>
      <c r="AN1478" s="1"/>
      <c r="AO1478" s="2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</row>
    <row r="1479" spans="1:60" x14ac:dyDescent="0.25">
      <c r="A1479" s="14"/>
      <c r="B1479" s="14"/>
      <c r="C1479" s="14"/>
      <c r="D1479" s="14"/>
      <c r="E1479" s="14"/>
      <c r="F1479" s="14"/>
      <c r="T1479"/>
      <c r="AK1479" s="12"/>
      <c r="AL1479" s="1"/>
      <c r="AM1479" s="1"/>
      <c r="AN1479" s="1"/>
      <c r="AO1479" s="2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</row>
    <row r="1480" spans="1:60" x14ac:dyDescent="0.25">
      <c r="A1480" s="14"/>
      <c r="B1480" s="14"/>
      <c r="C1480" s="14"/>
      <c r="D1480" s="14"/>
      <c r="E1480" s="14"/>
      <c r="F1480" s="14"/>
      <c r="T1480"/>
      <c r="AK1480" s="12"/>
      <c r="AL1480" s="1"/>
      <c r="AM1480" s="1"/>
      <c r="AN1480" s="1"/>
      <c r="AO1480" s="2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</row>
    <row r="1481" spans="1:60" x14ac:dyDescent="0.25">
      <c r="A1481" s="14"/>
      <c r="B1481" s="14"/>
      <c r="C1481" s="14"/>
      <c r="D1481" s="14"/>
      <c r="E1481" s="14"/>
      <c r="F1481" s="14"/>
      <c r="T1481"/>
      <c r="AK1481" s="12"/>
      <c r="AL1481" s="1"/>
      <c r="AM1481" s="1"/>
      <c r="AN1481" s="1"/>
      <c r="AO1481" s="2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</row>
    <row r="1482" spans="1:60" x14ac:dyDescent="0.25">
      <c r="A1482" s="14"/>
      <c r="B1482" s="14"/>
      <c r="C1482" s="14"/>
      <c r="D1482" s="14"/>
      <c r="E1482" s="14"/>
      <c r="F1482" s="14"/>
      <c r="T1482"/>
      <c r="AK1482" s="12"/>
      <c r="AL1482" s="1"/>
      <c r="AM1482" s="1"/>
      <c r="AN1482" s="1"/>
      <c r="AO1482" s="2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</row>
    <row r="1483" spans="1:60" x14ac:dyDescent="0.25">
      <c r="A1483" s="14"/>
      <c r="B1483" s="14"/>
      <c r="C1483" s="14"/>
      <c r="D1483" s="14"/>
      <c r="E1483" s="14"/>
      <c r="F1483" s="14"/>
      <c r="T1483"/>
      <c r="AK1483" s="12"/>
      <c r="AL1483" s="1"/>
      <c r="AM1483" s="1"/>
      <c r="AN1483" s="1"/>
      <c r="AO1483" s="2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</row>
    <row r="1484" spans="1:60" x14ac:dyDescent="0.25">
      <c r="A1484" s="14"/>
      <c r="B1484" s="14"/>
      <c r="C1484" s="14"/>
      <c r="D1484" s="14"/>
      <c r="E1484" s="14"/>
      <c r="F1484" s="14"/>
      <c r="T1484"/>
      <c r="AK1484" s="12"/>
      <c r="AL1484" s="1"/>
      <c r="AM1484" s="1"/>
      <c r="AN1484" s="1"/>
      <c r="AO1484" s="2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</row>
    <row r="1485" spans="1:60" x14ac:dyDescent="0.25">
      <c r="A1485" s="14"/>
      <c r="B1485" s="14"/>
      <c r="C1485" s="14"/>
      <c r="D1485" s="14"/>
      <c r="E1485" s="14"/>
      <c r="F1485" s="14"/>
      <c r="T1485"/>
      <c r="AK1485" s="12"/>
      <c r="AL1485" s="1"/>
      <c r="AM1485" s="1"/>
      <c r="AN1485" s="1"/>
      <c r="AO1485" s="2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</row>
    <row r="1486" spans="1:60" x14ac:dyDescent="0.25">
      <c r="A1486" s="14"/>
      <c r="B1486" s="14"/>
      <c r="C1486" s="14"/>
      <c r="D1486" s="14"/>
      <c r="E1486" s="14"/>
      <c r="F1486" s="14"/>
      <c r="T1486"/>
      <c r="AK1486" s="12"/>
      <c r="AL1486" s="1"/>
      <c r="AM1486" s="1"/>
      <c r="AN1486" s="1"/>
      <c r="AO1486" s="2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</row>
    <row r="1487" spans="1:60" x14ac:dyDescent="0.25">
      <c r="A1487" s="14"/>
      <c r="B1487" s="14"/>
      <c r="C1487" s="14"/>
      <c r="D1487" s="14"/>
      <c r="E1487" s="14"/>
      <c r="F1487" s="14"/>
      <c r="T1487"/>
      <c r="AK1487" s="12"/>
      <c r="AL1487" s="1"/>
      <c r="AM1487" s="1"/>
      <c r="AN1487" s="1"/>
      <c r="AO1487" s="2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</row>
    <row r="1488" spans="1:60" x14ac:dyDescent="0.25">
      <c r="A1488" s="14"/>
      <c r="B1488" s="14"/>
      <c r="C1488" s="14"/>
      <c r="D1488" s="14"/>
      <c r="E1488" s="14"/>
      <c r="F1488" s="14"/>
      <c r="T1488"/>
      <c r="AK1488" s="12"/>
      <c r="AL1488" s="1"/>
      <c r="AM1488" s="1"/>
      <c r="AN1488" s="1"/>
      <c r="AO1488" s="2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</row>
    <row r="1489" spans="1:60" x14ac:dyDescent="0.25">
      <c r="A1489" s="14"/>
      <c r="B1489" s="14"/>
      <c r="C1489" s="14"/>
      <c r="D1489" s="14"/>
      <c r="E1489" s="14"/>
      <c r="F1489" s="14"/>
      <c r="T1489"/>
      <c r="AK1489" s="12"/>
      <c r="AL1489" s="1"/>
      <c r="AM1489" s="1"/>
      <c r="AN1489" s="1"/>
      <c r="AO1489" s="2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</row>
    <row r="1490" spans="1:60" x14ac:dyDescent="0.25">
      <c r="A1490" s="14"/>
      <c r="B1490" s="14"/>
      <c r="C1490" s="14"/>
      <c r="D1490" s="14"/>
      <c r="E1490" s="14"/>
      <c r="F1490" s="14"/>
      <c r="T1490"/>
      <c r="AK1490" s="12"/>
      <c r="AL1490" s="1"/>
      <c r="AM1490" s="1"/>
      <c r="AN1490" s="1"/>
      <c r="AO1490" s="2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</row>
    <row r="1491" spans="1:60" x14ac:dyDescent="0.25">
      <c r="A1491" s="14"/>
      <c r="B1491" s="14"/>
      <c r="C1491" s="14"/>
      <c r="D1491" s="14"/>
      <c r="E1491" s="14"/>
      <c r="F1491" s="14"/>
      <c r="T1491"/>
      <c r="AK1491" s="12"/>
      <c r="AL1491" s="1"/>
      <c r="AM1491" s="1"/>
      <c r="AN1491" s="1"/>
      <c r="AO1491" s="2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</row>
    <row r="1492" spans="1:60" x14ac:dyDescent="0.25">
      <c r="A1492" s="14"/>
      <c r="B1492" s="14"/>
      <c r="C1492" s="14"/>
      <c r="D1492" s="14"/>
      <c r="E1492" s="14"/>
      <c r="F1492" s="14"/>
      <c r="T1492"/>
      <c r="AK1492" s="12"/>
      <c r="AL1492" s="1"/>
      <c r="AM1492" s="1"/>
      <c r="AN1492" s="1"/>
      <c r="AO1492" s="2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</row>
    <row r="1493" spans="1:60" x14ac:dyDescent="0.25">
      <c r="A1493" s="14"/>
      <c r="B1493" s="14"/>
      <c r="C1493" s="14"/>
      <c r="D1493" s="14"/>
      <c r="E1493" s="14"/>
      <c r="F1493" s="14"/>
      <c r="T1493"/>
      <c r="AK1493" s="12"/>
      <c r="AL1493" s="1"/>
      <c r="AM1493" s="1"/>
      <c r="AN1493" s="1"/>
      <c r="AO1493" s="2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</row>
    <row r="1494" spans="1:60" x14ac:dyDescent="0.25">
      <c r="A1494" s="14"/>
      <c r="B1494" s="14"/>
      <c r="C1494" s="14"/>
      <c r="D1494" s="14"/>
      <c r="E1494" s="14"/>
      <c r="F1494" s="14"/>
      <c r="T1494"/>
      <c r="AK1494" s="12"/>
      <c r="AL1494" s="1"/>
      <c r="AM1494" s="1"/>
      <c r="AN1494" s="1"/>
      <c r="AO1494" s="2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</row>
    <row r="1495" spans="1:60" x14ac:dyDescent="0.25">
      <c r="A1495" s="14"/>
      <c r="B1495" s="14"/>
      <c r="C1495" s="14"/>
      <c r="D1495" s="14"/>
      <c r="E1495" s="14"/>
      <c r="F1495" s="14"/>
      <c r="T1495"/>
      <c r="AK1495" s="12"/>
      <c r="AL1495" s="1"/>
      <c r="AM1495" s="1"/>
      <c r="AN1495" s="1"/>
      <c r="AO1495" s="2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</row>
    <row r="1496" spans="1:60" x14ac:dyDescent="0.25">
      <c r="A1496" s="14"/>
      <c r="B1496" s="14"/>
      <c r="C1496" s="14"/>
      <c r="D1496" s="14"/>
      <c r="E1496" s="14"/>
      <c r="F1496" s="14"/>
      <c r="T1496"/>
      <c r="AK1496" s="12"/>
      <c r="AL1496" s="1"/>
      <c r="AM1496" s="1"/>
      <c r="AN1496" s="1"/>
      <c r="AO1496" s="2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</row>
    <row r="1497" spans="1:60" x14ac:dyDescent="0.25">
      <c r="A1497" s="14"/>
      <c r="B1497" s="14"/>
      <c r="C1497" s="14"/>
      <c r="D1497" s="14"/>
      <c r="E1497" s="14"/>
      <c r="F1497" s="14"/>
      <c r="T1497"/>
      <c r="AK1497" s="12"/>
      <c r="AL1497" s="1"/>
      <c r="AM1497" s="1"/>
      <c r="AN1497" s="1"/>
      <c r="AO1497" s="2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</row>
    <row r="1498" spans="1:60" x14ac:dyDescent="0.25">
      <c r="A1498" s="14"/>
      <c r="B1498" s="14"/>
      <c r="C1498" s="14"/>
      <c r="D1498" s="14"/>
      <c r="E1498" s="14"/>
      <c r="F1498" s="14"/>
      <c r="T1498"/>
      <c r="AK1498" s="12"/>
      <c r="AL1498" s="1"/>
      <c r="AM1498" s="1"/>
      <c r="AN1498" s="1"/>
      <c r="AO1498" s="2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</row>
    <row r="1499" spans="1:60" x14ac:dyDescent="0.25">
      <c r="A1499" s="14"/>
      <c r="B1499" s="14"/>
      <c r="C1499" s="14"/>
      <c r="D1499" s="14"/>
      <c r="E1499" s="14"/>
      <c r="F1499" s="14"/>
      <c r="T1499"/>
      <c r="AK1499" s="12"/>
      <c r="AL1499" s="1"/>
      <c r="AM1499" s="1"/>
      <c r="AN1499" s="1"/>
      <c r="AO1499" s="2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</row>
    <row r="1500" spans="1:60" x14ac:dyDescent="0.25">
      <c r="A1500" s="14"/>
      <c r="B1500" s="14"/>
      <c r="C1500" s="14"/>
      <c r="D1500" s="14"/>
      <c r="E1500" s="14"/>
      <c r="F1500" s="14"/>
      <c r="T1500"/>
      <c r="AK1500" s="12"/>
      <c r="AL1500" s="1"/>
      <c r="AM1500" s="1"/>
      <c r="AN1500" s="1"/>
      <c r="AO1500" s="2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</row>
    <row r="1501" spans="1:60" x14ac:dyDescent="0.25">
      <c r="A1501" s="14"/>
      <c r="B1501" s="14"/>
      <c r="C1501" s="14"/>
      <c r="D1501" s="14"/>
      <c r="E1501" s="14"/>
      <c r="F1501" s="14"/>
      <c r="T1501"/>
      <c r="AK1501" s="12"/>
      <c r="AL1501" s="1"/>
      <c r="AM1501" s="1"/>
      <c r="AN1501" s="1"/>
      <c r="AO1501" s="2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</row>
    <row r="1502" spans="1:60" x14ac:dyDescent="0.25">
      <c r="A1502" s="14"/>
      <c r="B1502" s="14"/>
      <c r="C1502" s="14"/>
      <c r="D1502" s="14"/>
      <c r="E1502" s="14"/>
      <c r="F1502" s="14"/>
      <c r="T1502"/>
      <c r="AK1502" s="12"/>
      <c r="AL1502" s="1"/>
      <c r="AM1502" s="1"/>
      <c r="AN1502" s="1"/>
      <c r="AO1502" s="2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</row>
    <row r="1503" spans="1:60" x14ac:dyDescent="0.25">
      <c r="A1503" s="14"/>
      <c r="B1503" s="14"/>
      <c r="C1503" s="14"/>
      <c r="D1503" s="14"/>
      <c r="E1503" s="14"/>
      <c r="F1503" s="14"/>
      <c r="T1503"/>
      <c r="AK1503" s="12"/>
      <c r="AL1503" s="1"/>
      <c r="AM1503" s="1"/>
      <c r="AN1503" s="1"/>
      <c r="AO1503" s="2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</row>
    <row r="1504" spans="1:60" x14ac:dyDescent="0.25">
      <c r="A1504" s="14"/>
      <c r="B1504" s="14"/>
      <c r="C1504" s="14"/>
      <c r="D1504" s="14"/>
      <c r="E1504" s="14"/>
      <c r="F1504" s="14"/>
      <c r="T1504"/>
      <c r="AK1504" s="12"/>
      <c r="AL1504" s="1"/>
      <c r="AM1504" s="1"/>
      <c r="AN1504" s="1"/>
      <c r="AO1504" s="2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</row>
    <row r="1505" spans="1:60" x14ac:dyDescent="0.25">
      <c r="A1505" s="14"/>
      <c r="B1505" s="14"/>
      <c r="C1505" s="14"/>
      <c r="D1505" s="14"/>
      <c r="E1505" s="14"/>
      <c r="F1505" s="14"/>
      <c r="T1505"/>
      <c r="AK1505" s="12"/>
      <c r="AL1505" s="1"/>
      <c r="AM1505" s="1"/>
      <c r="AN1505" s="1"/>
      <c r="AO1505" s="2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</row>
    <row r="1506" spans="1:60" x14ac:dyDescent="0.25">
      <c r="A1506" s="14"/>
      <c r="B1506" s="14"/>
      <c r="C1506" s="14"/>
      <c r="D1506" s="14"/>
      <c r="E1506" s="14"/>
      <c r="F1506" s="14"/>
      <c r="T1506"/>
      <c r="AK1506" s="12"/>
      <c r="AL1506" s="1"/>
      <c r="AM1506" s="1"/>
      <c r="AN1506" s="1"/>
      <c r="AO1506" s="2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</row>
    <row r="1507" spans="1:60" x14ac:dyDescent="0.25">
      <c r="A1507" s="14"/>
      <c r="B1507" s="14"/>
      <c r="C1507" s="14"/>
      <c r="D1507" s="14"/>
      <c r="E1507" s="14"/>
      <c r="F1507" s="14"/>
      <c r="T1507"/>
      <c r="AK1507" s="12"/>
      <c r="AL1507" s="1"/>
      <c r="AM1507" s="1"/>
      <c r="AN1507" s="1"/>
      <c r="AO1507" s="2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</row>
    <row r="1508" spans="1:60" x14ac:dyDescent="0.25">
      <c r="A1508" s="14"/>
      <c r="B1508" s="14"/>
      <c r="C1508" s="14"/>
      <c r="D1508" s="14"/>
      <c r="E1508" s="14"/>
      <c r="F1508" s="14"/>
      <c r="T1508"/>
      <c r="AK1508" s="12"/>
      <c r="AL1508" s="1"/>
      <c r="AM1508" s="1"/>
      <c r="AN1508" s="1"/>
      <c r="AO1508" s="2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</row>
    <row r="1509" spans="1:60" x14ac:dyDescent="0.25">
      <c r="A1509" s="14"/>
      <c r="B1509" s="14"/>
      <c r="C1509" s="14"/>
      <c r="D1509" s="14"/>
      <c r="E1509" s="14"/>
      <c r="F1509" s="14"/>
      <c r="T1509"/>
      <c r="AK1509" s="12"/>
      <c r="AL1509" s="1"/>
      <c r="AM1509" s="1"/>
      <c r="AN1509" s="1"/>
      <c r="AO1509" s="2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</row>
    <row r="1510" spans="1:60" x14ac:dyDescent="0.25">
      <c r="A1510" s="14"/>
      <c r="B1510" s="14"/>
      <c r="C1510" s="14"/>
      <c r="D1510" s="14"/>
      <c r="E1510" s="14"/>
      <c r="F1510" s="14"/>
      <c r="T1510"/>
      <c r="AK1510" s="12"/>
      <c r="AL1510" s="1"/>
      <c r="AM1510" s="1"/>
      <c r="AN1510" s="1"/>
      <c r="AO1510" s="2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</row>
    <row r="1511" spans="1:60" x14ac:dyDescent="0.25">
      <c r="A1511" s="14"/>
      <c r="B1511" s="14"/>
      <c r="C1511" s="14"/>
      <c r="D1511" s="14"/>
      <c r="E1511" s="14"/>
      <c r="F1511" s="14"/>
      <c r="T1511"/>
      <c r="AK1511" s="12"/>
      <c r="AL1511" s="1"/>
      <c r="AM1511" s="1"/>
      <c r="AN1511" s="1"/>
      <c r="AO1511" s="2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</row>
    <row r="1512" spans="1:60" x14ac:dyDescent="0.25">
      <c r="A1512" s="14"/>
      <c r="B1512" s="14"/>
      <c r="C1512" s="14"/>
      <c r="D1512" s="14"/>
      <c r="E1512" s="14"/>
      <c r="F1512" s="14"/>
      <c r="T1512"/>
      <c r="AK1512" s="12"/>
      <c r="AL1512" s="1"/>
      <c r="AM1512" s="1"/>
      <c r="AN1512" s="1"/>
      <c r="AO1512" s="2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</row>
    <row r="1513" spans="1:60" x14ac:dyDescent="0.25">
      <c r="A1513" s="14"/>
      <c r="B1513" s="14"/>
      <c r="C1513" s="14"/>
      <c r="D1513" s="14"/>
      <c r="E1513" s="14"/>
      <c r="F1513" s="14"/>
      <c r="T1513"/>
      <c r="AK1513" s="12"/>
      <c r="AL1513" s="1"/>
      <c r="AM1513" s="1"/>
      <c r="AN1513" s="1"/>
      <c r="AO1513" s="2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</row>
    <row r="1514" spans="1:60" x14ac:dyDescent="0.25">
      <c r="A1514" s="14"/>
      <c r="B1514" s="14"/>
      <c r="C1514" s="14"/>
      <c r="D1514" s="14"/>
      <c r="E1514" s="14"/>
      <c r="F1514" s="14"/>
      <c r="T1514"/>
      <c r="AK1514" s="12"/>
      <c r="AL1514" s="1"/>
      <c r="AM1514" s="1"/>
      <c r="AN1514" s="1"/>
      <c r="AO1514" s="2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</row>
    <row r="1515" spans="1:60" x14ac:dyDescent="0.25">
      <c r="A1515" s="14"/>
      <c r="B1515" s="14"/>
      <c r="C1515" s="14"/>
      <c r="D1515" s="14"/>
      <c r="E1515" s="14"/>
      <c r="F1515" s="14"/>
      <c r="T1515"/>
      <c r="AK1515" s="12"/>
      <c r="AL1515" s="1"/>
      <c r="AM1515" s="1"/>
      <c r="AN1515" s="1"/>
      <c r="AO1515" s="2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</row>
    <row r="1516" spans="1:60" x14ac:dyDescent="0.25">
      <c r="A1516" s="14"/>
      <c r="B1516" s="14"/>
      <c r="C1516" s="14"/>
      <c r="D1516" s="14"/>
      <c r="E1516" s="14"/>
      <c r="F1516" s="14"/>
      <c r="T1516"/>
      <c r="AK1516" s="12"/>
      <c r="AL1516" s="1"/>
      <c r="AM1516" s="1"/>
      <c r="AN1516" s="1"/>
      <c r="AO1516" s="2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</row>
    <row r="1517" spans="1:60" x14ac:dyDescent="0.25">
      <c r="A1517" s="14"/>
      <c r="B1517" s="14"/>
      <c r="C1517" s="14"/>
      <c r="D1517" s="14"/>
      <c r="E1517" s="14"/>
      <c r="F1517" s="14"/>
      <c r="T1517"/>
      <c r="AK1517" s="12"/>
      <c r="AL1517" s="1"/>
      <c r="AM1517" s="1"/>
      <c r="AN1517" s="1"/>
      <c r="AO1517" s="2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</row>
    <row r="1518" spans="1:60" x14ac:dyDescent="0.25">
      <c r="A1518" s="14"/>
      <c r="B1518" s="14"/>
      <c r="C1518" s="14"/>
      <c r="D1518" s="14"/>
      <c r="E1518" s="14"/>
      <c r="F1518" s="14"/>
      <c r="T1518"/>
      <c r="AK1518" s="12"/>
      <c r="AL1518" s="1"/>
      <c r="AM1518" s="1"/>
      <c r="AN1518" s="1"/>
      <c r="AO1518" s="2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</row>
    <row r="1519" spans="1:60" x14ac:dyDescent="0.25">
      <c r="A1519" s="14"/>
      <c r="B1519" s="14"/>
      <c r="C1519" s="14"/>
      <c r="D1519" s="14"/>
      <c r="E1519" s="14"/>
      <c r="F1519" s="14"/>
      <c r="T1519"/>
      <c r="AK1519" s="12"/>
      <c r="AL1519" s="1"/>
      <c r="AM1519" s="1"/>
      <c r="AN1519" s="1"/>
      <c r="AO1519" s="2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</row>
    <row r="1520" spans="1:60" x14ac:dyDescent="0.25">
      <c r="A1520" s="14"/>
      <c r="B1520" s="14"/>
      <c r="C1520" s="14"/>
      <c r="D1520" s="14"/>
      <c r="E1520" s="14"/>
      <c r="F1520" s="14"/>
      <c r="T1520"/>
      <c r="AK1520" s="12"/>
      <c r="AL1520" s="1"/>
      <c r="AM1520" s="1"/>
      <c r="AN1520" s="1"/>
      <c r="AO1520" s="2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</row>
    <row r="1521" spans="1:60" x14ac:dyDescent="0.25">
      <c r="A1521" s="14"/>
      <c r="B1521" s="14"/>
      <c r="C1521" s="14"/>
      <c r="D1521" s="14"/>
      <c r="E1521" s="14"/>
      <c r="F1521" s="14"/>
      <c r="T1521"/>
      <c r="AK1521" s="12"/>
      <c r="AL1521" s="1"/>
      <c r="AM1521" s="1"/>
      <c r="AN1521" s="1"/>
      <c r="AO1521" s="2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</row>
    <row r="1522" spans="1:60" x14ac:dyDescent="0.25">
      <c r="A1522" s="14"/>
      <c r="B1522" s="14"/>
      <c r="C1522" s="14"/>
      <c r="D1522" s="14"/>
      <c r="E1522" s="14"/>
      <c r="F1522" s="14"/>
      <c r="T1522"/>
      <c r="AK1522" s="12"/>
      <c r="AL1522" s="1"/>
      <c r="AM1522" s="1"/>
      <c r="AN1522" s="1"/>
      <c r="AO1522" s="2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</row>
    <row r="1523" spans="1:60" x14ac:dyDescent="0.25">
      <c r="A1523" s="14"/>
      <c r="B1523" s="14"/>
      <c r="C1523" s="14"/>
      <c r="D1523" s="14"/>
      <c r="E1523" s="14"/>
      <c r="F1523" s="14"/>
      <c r="T1523"/>
      <c r="AK1523" s="12"/>
      <c r="AL1523" s="1"/>
      <c r="AM1523" s="1"/>
      <c r="AN1523" s="1"/>
      <c r="AO1523" s="2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</row>
    <row r="1524" spans="1:60" x14ac:dyDescent="0.25">
      <c r="A1524" s="14"/>
      <c r="B1524" s="14"/>
      <c r="C1524" s="14"/>
      <c r="D1524" s="14"/>
      <c r="E1524" s="14"/>
      <c r="F1524" s="14"/>
      <c r="T1524"/>
      <c r="AK1524" s="12"/>
      <c r="AL1524" s="1"/>
      <c r="AM1524" s="1"/>
      <c r="AN1524" s="1"/>
      <c r="AO1524" s="2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</row>
    <row r="1525" spans="1:60" x14ac:dyDescent="0.25">
      <c r="A1525" s="14"/>
      <c r="B1525" s="14"/>
      <c r="C1525" s="14"/>
      <c r="D1525" s="14"/>
      <c r="E1525" s="14"/>
      <c r="F1525" s="14"/>
      <c r="T1525"/>
      <c r="AK1525" s="12"/>
      <c r="AL1525" s="1"/>
      <c r="AM1525" s="1"/>
      <c r="AN1525" s="1"/>
      <c r="AO1525" s="2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</row>
    <row r="1526" spans="1:60" x14ac:dyDescent="0.25">
      <c r="A1526" s="14"/>
      <c r="B1526" s="14"/>
      <c r="C1526" s="14"/>
      <c r="D1526" s="14"/>
      <c r="E1526" s="14"/>
      <c r="F1526" s="14"/>
      <c r="T1526"/>
      <c r="AK1526" s="12"/>
      <c r="AL1526" s="1"/>
      <c r="AM1526" s="1"/>
      <c r="AN1526" s="1"/>
      <c r="AO1526" s="2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</row>
    <row r="1527" spans="1:60" x14ac:dyDescent="0.25">
      <c r="A1527" s="14"/>
      <c r="B1527" s="14"/>
      <c r="C1527" s="14"/>
      <c r="D1527" s="14"/>
      <c r="E1527" s="14"/>
      <c r="F1527" s="14"/>
      <c r="T1527"/>
      <c r="AK1527" s="12"/>
      <c r="AL1527" s="1"/>
      <c r="AM1527" s="1"/>
      <c r="AN1527" s="1"/>
      <c r="AO1527" s="2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</row>
    <row r="1528" spans="1:60" x14ac:dyDescent="0.25">
      <c r="A1528" s="14"/>
      <c r="B1528" s="14"/>
      <c r="C1528" s="14"/>
      <c r="D1528" s="14"/>
      <c r="E1528" s="14"/>
      <c r="F1528" s="14"/>
      <c r="T1528"/>
      <c r="AK1528" s="12"/>
      <c r="AL1528" s="1"/>
      <c r="AM1528" s="1"/>
      <c r="AN1528" s="1"/>
      <c r="AO1528" s="2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</row>
    <row r="1529" spans="1:60" x14ac:dyDescent="0.25">
      <c r="A1529" s="14"/>
      <c r="B1529" s="14"/>
      <c r="C1529" s="14"/>
      <c r="D1529" s="14"/>
      <c r="E1529" s="14"/>
      <c r="F1529" s="14"/>
      <c r="T1529"/>
      <c r="AK1529" s="12"/>
      <c r="AL1529" s="1"/>
      <c r="AM1529" s="1"/>
      <c r="AN1529" s="1"/>
      <c r="AO1529" s="2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</row>
    <row r="1530" spans="1:60" x14ac:dyDescent="0.25">
      <c r="A1530" s="14"/>
      <c r="B1530" s="14"/>
      <c r="C1530" s="14"/>
      <c r="D1530" s="14"/>
      <c r="E1530" s="14"/>
      <c r="F1530" s="14"/>
      <c r="T1530"/>
      <c r="AK1530" s="12"/>
      <c r="AL1530" s="1"/>
      <c r="AM1530" s="1"/>
      <c r="AN1530" s="1"/>
      <c r="AO1530" s="2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</row>
    <row r="1531" spans="1:60" x14ac:dyDescent="0.25">
      <c r="A1531" s="14"/>
      <c r="B1531" s="14"/>
      <c r="C1531" s="14"/>
      <c r="D1531" s="14"/>
      <c r="E1531" s="14"/>
      <c r="F1531" s="14"/>
      <c r="T1531"/>
      <c r="AK1531" s="12"/>
      <c r="AL1531" s="1"/>
      <c r="AM1531" s="1"/>
      <c r="AN1531" s="1"/>
      <c r="AO1531" s="2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</row>
    <row r="1532" spans="1:60" x14ac:dyDescent="0.25">
      <c r="A1532" s="14"/>
      <c r="B1532" s="14"/>
      <c r="C1532" s="14"/>
      <c r="D1532" s="14"/>
      <c r="E1532" s="14"/>
      <c r="F1532" s="14"/>
      <c r="T1532"/>
      <c r="AK1532" s="12"/>
      <c r="AL1532" s="1"/>
      <c r="AM1532" s="1"/>
      <c r="AN1532" s="1"/>
      <c r="AO1532" s="2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</row>
    <row r="1533" spans="1:60" x14ac:dyDescent="0.25">
      <c r="A1533" s="14"/>
      <c r="B1533" s="14"/>
      <c r="C1533" s="14"/>
      <c r="D1533" s="14"/>
      <c r="E1533" s="14"/>
      <c r="F1533" s="14"/>
      <c r="T1533"/>
      <c r="AK1533" s="12"/>
      <c r="AL1533" s="1"/>
      <c r="AM1533" s="1"/>
      <c r="AN1533" s="1"/>
      <c r="AO1533" s="2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</row>
    <row r="1534" spans="1:60" x14ac:dyDescent="0.25">
      <c r="A1534" s="14"/>
      <c r="B1534" s="14"/>
      <c r="C1534" s="14"/>
      <c r="D1534" s="14"/>
      <c r="E1534" s="14"/>
      <c r="F1534" s="14"/>
      <c r="T1534"/>
      <c r="AK1534" s="12"/>
      <c r="AL1534" s="1"/>
      <c r="AM1534" s="1"/>
      <c r="AN1534" s="1"/>
      <c r="AO1534" s="2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</row>
    <row r="1535" spans="1:60" x14ac:dyDescent="0.25">
      <c r="A1535" s="14"/>
      <c r="B1535" s="14"/>
      <c r="C1535" s="14"/>
      <c r="D1535" s="14"/>
      <c r="E1535" s="14"/>
      <c r="F1535" s="14"/>
      <c r="T1535"/>
      <c r="AK1535" s="12"/>
      <c r="AL1535" s="1"/>
      <c r="AM1535" s="1"/>
      <c r="AN1535" s="1"/>
      <c r="AO1535" s="2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</row>
    <row r="1536" spans="1:60" x14ac:dyDescent="0.25">
      <c r="A1536" s="14"/>
      <c r="B1536" s="14"/>
      <c r="C1536" s="14"/>
      <c r="D1536" s="14"/>
      <c r="E1536" s="14"/>
      <c r="F1536" s="14"/>
      <c r="T1536"/>
      <c r="AK1536" s="12"/>
      <c r="AL1536" s="1"/>
      <c r="AM1536" s="1"/>
      <c r="AN1536" s="1"/>
      <c r="AO1536" s="2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</row>
    <row r="1537" spans="1:60" x14ac:dyDescent="0.25">
      <c r="A1537" s="14"/>
      <c r="B1537" s="14"/>
      <c r="C1537" s="14"/>
      <c r="D1537" s="14"/>
      <c r="E1537" s="14"/>
      <c r="F1537" s="14"/>
      <c r="T1537"/>
      <c r="AK1537" s="12"/>
      <c r="AL1537" s="1"/>
      <c r="AM1537" s="1"/>
      <c r="AN1537" s="1"/>
      <c r="AO1537" s="2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</row>
    <row r="1538" spans="1:60" x14ac:dyDescent="0.25">
      <c r="A1538" s="14"/>
      <c r="B1538" s="14"/>
      <c r="C1538" s="14"/>
      <c r="D1538" s="14"/>
      <c r="E1538" s="14"/>
      <c r="F1538" s="14"/>
      <c r="T1538"/>
      <c r="AK1538" s="12"/>
      <c r="AL1538" s="1"/>
      <c r="AM1538" s="1"/>
      <c r="AN1538" s="1"/>
      <c r="AO1538" s="2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</row>
    <row r="1539" spans="1:60" x14ac:dyDescent="0.25">
      <c r="A1539" s="14"/>
      <c r="B1539" s="14"/>
      <c r="C1539" s="14"/>
      <c r="D1539" s="14"/>
      <c r="E1539" s="14"/>
      <c r="F1539" s="14"/>
      <c r="T1539"/>
      <c r="AK1539" s="12"/>
      <c r="AL1539" s="1"/>
      <c r="AM1539" s="1"/>
      <c r="AN1539" s="1"/>
      <c r="AO1539" s="2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</row>
    <row r="1540" spans="1:60" x14ac:dyDescent="0.25">
      <c r="A1540" s="14"/>
      <c r="B1540" s="14"/>
      <c r="C1540" s="14"/>
      <c r="D1540" s="14"/>
      <c r="E1540" s="14"/>
      <c r="F1540" s="14"/>
      <c r="T1540"/>
      <c r="AK1540" s="12"/>
      <c r="AL1540" s="1"/>
      <c r="AM1540" s="1"/>
      <c r="AN1540" s="1"/>
      <c r="AO1540" s="2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</row>
    <row r="1541" spans="1:60" x14ac:dyDescent="0.25">
      <c r="A1541" s="14"/>
      <c r="B1541" s="14"/>
      <c r="C1541" s="14"/>
      <c r="D1541" s="14"/>
      <c r="E1541" s="14"/>
      <c r="F1541" s="14"/>
      <c r="T1541"/>
      <c r="AK1541" s="12"/>
      <c r="AL1541" s="1"/>
      <c r="AM1541" s="1"/>
      <c r="AN1541" s="1"/>
      <c r="AO1541" s="2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</row>
    <row r="1542" spans="1:60" x14ac:dyDescent="0.25">
      <c r="A1542" s="14"/>
      <c r="B1542" s="14"/>
      <c r="C1542" s="14"/>
      <c r="D1542" s="14"/>
      <c r="E1542" s="14"/>
      <c r="F1542" s="14"/>
      <c r="T1542"/>
      <c r="AK1542" s="12"/>
      <c r="AL1542" s="1"/>
      <c r="AM1542" s="1"/>
      <c r="AN1542" s="1"/>
      <c r="AO1542" s="2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</row>
    <row r="1543" spans="1:60" x14ac:dyDescent="0.25">
      <c r="A1543" s="14"/>
      <c r="B1543" s="14"/>
      <c r="C1543" s="14"/>
      <c r="D1543" s="14"/>
      <c r="E1543" s="14"/>
      <c r="F1543" s="14"/>
      <c r="T1543"/>
      <c r="AK1543" s="12"/>
      <c r="AL1543" s="1"/>
      <c r="AM1543" s="1"/>
      <c r="AN1543" s="1"/>
      <c r="AO1543" s="2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</row>
    <row r="1544" spans="1:60" x14ac:dyDescent="0.25">
      <c r="A1544" s="14"/>
      <c r="B1544" s="14"/>
      <c r="C1544" s="14"/>
      <c r="D1544" s="14"/>
      <c r="E1544" s="14"/>
      <c r="F1544" s="14"/>
      <c r="T1544"/>
      <c r="AK1544" s="12"/>
      <c r="AL1544" s="1"/>
      <c r="AM1544" s="1"/>
      <c r="AN1544" s="1"/>
      <c r="AO1544" s="2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</row>
    <row r="1545" spans="1:60" x14ac:dyDescent="0.25">
      <c r="A1545" s="14"/>
      <c r="B1545" s="14"/>
      <c r="C1545" s="14"/>
      <c r="D1545" s="14"/>
      <c r="E1545" s="14"/>
      <c r="F1545" s="14"/>
      <c r="T1545"/>
      <c r="AK1545" s="12"/>
      <c r="AL1545" s="1"/>
      <c r="AM1545" s="1"/>
      <c r="AN1545" s="1"/>
      <c r="AO1545" s="2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</row>
    <row r="1546" spans="1:60" x14ac:dyDescent="0.25">
      <c r="A1546" s="14"/>
      <c r="B1546" s="14"/>
      <c r="C1546" s="14"/>
      <c r="D1546" s="14"/>
      <c r="E1546" s="14"/>
      <c r="F1546" s="14"/>
      <c r="T1546"/>
      <c r="AK1546" s="12"/>
      <c r="AL1546" s="1"/>
      <c r="AM1546" s="1"/>
      <c r="AN1546" s="1"/>
      <c r="AO1546" s="2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</row>
    <row r="1547" spans="1:60" x14ac:dyDescent="0.25">
      <c r="A1547" s="14"/>
      <c r="B1547" s="14"/>
      <c r="C1547" s="14"/>
      <c r="D1547" s="14"/>
      <c r="E1547" s="14"/>
      <c r="F1547" s="14"/>
      <c r="T1547"/>
      <c r="AK1547" s="12"/>
      <c r="AL1547" s="1"/>
      <c r="AM1547" s="1"/>
      <c r="AN1547" s="1"/>
      <c r="AO1547" s="2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</row>
    <row r="1548" spans="1:60" x14ac:dyDescent="0.25">
      <c r="A1548" s="14"/>
      <c r="B1548" s="14"/>
      <c r="C1548" s="14"/>
      <c r="D1548" s="14"/>
      <c r="E1548" s="14"/>
      <c r="F1548" s="14"/>
      <c r="T1548"/>
      <c r="AK1548" s="12"/>
      <c r="AL1548" s="1"/>
      <c r="AM1548" s="1"/>
      <c r="AN1548" s="1"/>
      <c r="AO1548" s="2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</row>
    <row r="1549" spans="1:60" x14ac:dyDescent="0.25">
      <c r="A1549" s="14"/>
      <c r="B1549" s="14"/>
      <c r="C1549" s="14"/>
      <c r="D1549" s="14"/>
      <c r="E1549" s="14"/>
      <c r="F1549" s="14"/>
      <c r="T1549"/>
      <c r="AK1549" s="12"/>
      <c r="AL1549" s="1"/>
      <c r="AM1549" s="1"/>
      <c r="AN1549" s="1"/>
      <c r="AO1549" s="2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</row>
    <row r="1550" spans="1:60" x14ac:dyDescent="0.25">
      <c r="A1550" s="14"/>
      <c r="B1550" s="14"/>
      <c r="C1550" s="14"/>
      <c r="D1550" s="14"/>
      <c r="E1550" s="14"/>
      <c r="F1550" s="14"/>
      <c r="T1550"/>
      <c r="AK1550" s="12"/>
      <c r="AL1550" s="1"/>
      <c r="AM1550" s="1"/>
      <c r="AN1550" s="1"/>
      <c r="AO1550" s="2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</row>
    <row r="1551" spans="1:60" x14ac:dyDescent="0.25">
      <c r="A1551" s="14"/>
      <c r="B1551" s="14"/>
      <c r="C1551" s="14"/>
      <c r="D1551" s="14"/>
      <c r="E1551" s="14"/>
      <c r="F1551" s="14"/>
      <c r="T1551"/>
      <c r="AK1551" s="12"/>
      <c r="AL1551" s="1"/>
      <c r="AM1551" s="1"/>
      <c r="AN1551" s="1"/>
      <c r="AO1551" s="2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</row>
    <row r="1552" spans="1:60" x14ac:dyDescent="0.25">
      <c r="A1552" s="14"/>
      <c r="B1552" s="14"/>
      <c r="C1552" s="14"/>
      <c r="D1552" s="14"/>
      <c r="E1552" s="14"/>
      <c r="F1552" s="14"/>
      <c r="T1552"/>
      <c r="AK1552" s="12"/>
      <c r="AL1552" s="1"/>
      <c r="AM1552" s="1"/>
      <c r="AN1552" s="1"/>
      <c r="AO1552" s="2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</row>
    <row r="1553" spans="1:60" x14ac:dyDescent="0.25">
      <c r="A1553" s="14"/>
      <c r="B1553" s="14"/>
      <c r="C1553" s="14"/>
      <c r="D1553" s="14"/>
      <c r="E1553" s="14"/>
      <c r="F1553" s="14"/>
      <c r="T1553"/>
      <c r="AK1553" s="12"/>
      <c r="AL1553" s="1"/>
      <c r="AM1553" s="1"/>
      <c r="AN1553" s="1"/>
      <c r="AO1553" s="2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</row>
    <row r="1554" spans="1:60" x14ac:dyDescent="0.25">
      <c r="A1554" s="14"/>
      <c r="B1554" s="14"/>
      <c r="C1554" s="14"/>
      <c r="D1554" s="14"/>
      <c r="E1554" s="14"/>
      <c r="F1554" s="14"/>
      <c r="T1554"/>
      <c r="AK1554" s="12"/>
      <c r="AL1554" s="1"/>
      <c r="AM1554" s="1"/>
      <c r="AN1554" s="1"/>
      <c r="AO1554" s="2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</row>
    <row r="1555" spans="1:60" x14ac:dyDescent="0.25">
      <c r="A1555" s="14"/>
      <c r="B1555" s="14"/>
      <c r="C1555" s="14"/>
      <c r="D1555" s="14"/>
      <c r="E1555" s="14"/>
      <c r="F1555" s="14"/>
      <c r="T1555"/>
      <c r="AK1555" s="12"/>
      <c r="AL1555" s="1"/>
      <c r="AM1555" s="1"/>
      <c r="AN1555" s="1"/>
      <c r="AO1555" s="2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</row>
    <row r="1556" spans="1:60" x14ac:dyDescent="0.25">
      <c r="A1556" s="14"/>
      <c r="B1556" s="14"/>
      <c r="C1556" s="14"/>
      <c r="D1556" s="14"/>
      <c r="E1556" s="14"/>
      <c r="F1556" s="14"/>
      <c r="T1556"/>
      <c r="AK1556" s="12"/>
      <c r="AL1556" s="1"/>
      <c r="AM1556" s="1"/>
      <c r="AN1556" s="1"/>
      <c r="AO1556" s="2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</row>
    <row r="1557" spans="1:60" x14ac:dyDescent="0.25">
      <c r="A1557" s="14"/>
      <c r="B1557" s="14"/>
      <c r="C1557" s="14"/>
      <c r="D1557" s="14"/>
      <c r="E1557" s="14"/>
      <c r="F1557" s="14"/>
      <c r="T1557"/>
      <c r="AK1557" s="12"/>
      <c r="AL1557" s="1"/>
      <c r="AM1557" s="1"/>
      <c r="AN1557" s="1"/>
      <c r="AO1557" s="2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</row>
    <row r="1558" spans="1:60" x14ac:dyDescent="0.25">
      <c r="A1558" s="14"/>
      <c r="B1558" s="14"/>
      <c r="C1558" s="14"/>
      <c r="D1558" s="14"/>
      <c r="E1558" s="14"/>
      <c r="F1558" s="14"/>
      <c r="T1558"/>
      <c r="AK1558" s="12"/>
      <c r="AL1558" s="1"/>
      <c r="AM1558" s="1"/>
      <c r="AN1558" s="1"/>
      <c r="AO1558" s="2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</row>
    <row r="1559" spans="1:60" x14ac:dyDescent="0.25">
      <c r="A1559" s="14"/>
      <c r="B1559" s="14"/>
      <c r="C1559" s="14"/>
      <c r="D1559" s="14"/>
      <c r="E1559" s="14"/>
      <c r="F1559" s="14"/>
      <c r="T1559"/>
      <c r="AK1559" s="12"/>
      <c r="AL1559" s="1"/>
      <c r="AM1559" s="1"/>
      <c r="AN1559" s="1"/>
      <c r="AO1559" s="2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</row>
    <row r="1560" spans="1:60" x14ac:dyDescent="0.25">
      <c r="A1560" s="14"/>
      <c r="B1560" s="14"/>
      <c r="C1560" s="14"/>
      <c r="D1560" s="14"/>
      <c r="E1560" s="14"/>
      <c r="F1560" s="14"/>
      <c r="T1560"/>
      <c r="AK1560" s="12"/>
      <c r="AL1560" s="1"/>
      <c r="AM1560" s="1"/>
      <c r="AN1560" s="1"/>
      <c r="AO1560" s="2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</row>
    <row r="1561" spans="1:60" x14ac:dyDescent="0.25">
      <c r="A1561" s="14"/>
      <c r="B1561" s="14"/>
      <c r="C1561" s="14"/>
      <c r="D1561" s="14"/>
      <c r="E1561" s="14"/>
      <c r="F1561" s="14"/>
      <c r="T1561"/>
      <c r="AK1561" s="12"/>
      <c r="AL1561" s="1"/>
      <c r="AM1561" s="1"/>
      <c r="AN1561" s="1"/>
      <c r="AO1561" s="2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</row>
    <row r="1562" spans="1:60" x14ac:dyDescent="0.25">
      <c r="A1562" s="14"/>
      <c r="B1562" s="14"/>
      <c r="C1562" s="14"/>
      <c r="D1562" s="14"/>
      <c r="E1562" s="14"/>
      <c r="F1562" s="14"/>
      <c r="T1562"/>
      <c r="AK1562" s="12"/>
      <c r="AL1562" s="1"/>
      <c r="AM1562" s="1"/>
      <c r="AN1562" s="1"/>
      <c r="AO1562" s="2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</row>
    <row r="1563" spans="1:60" x14ac:dyDescent="0.25">
      <c r="A1563" s="14"/>
      <c r="B1563" s="14"/>
      <c r="C1563" s="14"/>
      <c r="D1563" s="14"/>
      <c r="E1563" s="14"/>
      <c r="F1563" s="14"/>
      <c r="T1563"/>
      <c r="AK1563" s="12"/>
      <c r="AL1563" s="1"/>
      <c r="AM1563" s="1"/>
      <c r="AN1563" s="1"/>
      <c r="AO1563" s="2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</row>
    <row r="1564" spans="1:60" x14ac:dyDescent="0.25">
      <c r="A1564" s="14"/>
      <c r="B1564" s="14"/>
      <c r="C1564" s="14"/>
      <c r="D1564" s="14"/>
      <c r="E1564" s="14"/>
      <c r="F1564" s="14"/>
      <c r="T1564"/>
      <c r="AK1564" s="12"/>
      <c r="AL1564" s="1"/>
      <c r="AM1564" s="1"/>
      <c r="AN1564" s="1"/>
      <c r="AO1564" s="2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</row>
    <row r="1565" spans="1:60" x14ac:dyDescent="0.25">
      <c r="A1565" s="14"/>
      <c r="B1565" s="14"/>
      <c r="C1565" s="14"/>
      <c r="D1565" s="14"/>
      <c r="E1565" s="14"/>
      <c r="F1565" s="14"/>
      <c r="T1565"/>
      <c r="AK1565" s="12"/>
      <c r="AL1565" s="1"/>
      <c r="AM1565" s="1"/>
      <c r="AN1565" s="1"/>
      <c r="AO1565" s="2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</row>
    <row r="1566" spans="1:60" x14ac:dyDescent="0.25">
      <c r="A1566" s="14"/>
      <c r="B1566" s="14"/>
      <c r="C1566" s="14"/>
      <c r="D1566" s="14"/>
      <c r="E1566" s="14"/>
      <c r="F1566" s="14"/>
      <c r="T1566"/>
      <c r="AK1566" s="12"/>
      <c r="AL1566" s="1"/>
      <c r="AM1566" s="1"/>
      <c r="AN1566" s="1"/>
      <c r="AO1566" s="2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</row>
    <row r="1567" spans="1:60" x14ac:dyDescent="0.25">
      <c r="A1567" s="14"/>
      <c r="B1567" s="14"/>
      <c r="C1567" s="14"/>
      <c r="D1567" s="14"/>
      <c r="E1567" s="14"/>
      <c r="F1567" s="14"/>
      <c r="T1567"/>
      <c r="AK1567" s="12"/>
      <c r="AL1567" s="1"/>
      <c r="AM1567" s="1"/>
      <c r="AN1567" s="1"/>
      <c r="AO1567" s="2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</row>
    <row r="1568" spans="1:60" x14ac:dyDescent="0.25">
      <c r="A1568" s="14"/>
      <c r="B1568" s="14"/>
      <c r="C1568" s="14"/>
      <c r="D1568" s="14"/>
      <c r="E1568" s="14"/>
      <c r="F1568" s="14"/>
      <c r="T1568"/>
      <c r="AK1568" s="12"/>
      <c r="AL1568" s="1"/>
      <c r="AM1568" s="1"/>
      <c r="AN1568" s="1"/>
      <c r="AO1568" s="2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</row>
    <row r="1569" spans="1:60" x14ac:dyDescent="0.25">
      <c r="A1569" s="14"/>
      <c r="B1569" s="14"/>
      <c r="C1569" s="14"/>
      <c r="D1569" s="14"/>
      <c r="E1569" s="14"/>
      <c r="F1569" s="14"/>
      <c r="T1569"/>
      <c r="AK1569" s="12"/>
      <c r="AL1569" s="1"/>
      <c r="AM1569" s="1"/>
      <c r="AN1569" s="1"/>
      <c r="AO1569" s="2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</row>
    <row r="1570" spans="1:60" x14ac:dyDescent="0.25">
      <c r="A1570" s="14"/>
      <c r="B1570" s="14"/>
      <c r="C1570" s="14"/>
      <c r="D1570" s="14"/>
      <c r="E1570" s="14"/>
      <c r="F1570" s="14"/>
      <c r="T1570"/>
      <c r="AK1570" s="12"/>
      <c r="AL1570" s="1"/>
      <c r="AM1570" s="1"/>
      <c r="AN1570" s="1"/>
      <c r="AO1570" s="2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</row>
    <row r="1571" spans="1:60" x14ac:dyDescent="0.25">
      <c r="A1571" s="14"/>
      <c r="B1571" s="14"/>
      <c r="C1571" s="14"/>
      <c r="D1571" s="14"/>
      <c r="E1571" s="14"/>
      <c r="F1571" s="14"/>
      <c r="T1571"/>
      <c r="AK1571" s="12"/>
      <c r="AL1571" s="1"/>
      <c r="AM1571" s="1"/>
      <c r="AN1571" s="1"/>
      <c r="AO1571" s="2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</row>
    <row r="1572" spans="1:60" x14ac:dyDescent="0.25">
      <c r="A1572" s="14"/>
      <c r="B1572" s="14"/>
      <c r="C1572" s="14"/>
      <c r="D1572" s="14"/>
      <c r="E1572" s="14"/>
      <c r="F1572" s="14"/>
      <c r="T1572"/>
      <c r="AK1572" s="12"/>
      <c r="AL1572" s="1"/>
      <c r="AM1572" s="1"/>
      <c r="AN1572" s="1"/>
      <c r="AO1572" s="2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</row>
    <row r="1573" spans="1:60" x14ac:dyDescent="0.25">
      <c r="A1573" s="14"/>
      <c r="B1573" s="14"/>
      <c r="C1573" s="14"/>
      <c r="D1573" s="14"/>
      <c r="E1573" s="14"/>
      <c r="F1573" s="14"/>
      <c r="T1573"/>
      <c r="AK1573" s="12"/>
      <c r="AL1573" s="1"/>
      <c r="AM1573" s="1"/>
      <c r="AN1573" s="1"/>
      <c r="AO1573" s="2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</row>
    <row r="1574" spans="1:60" x14ac:dyDescent="0.25">
      <c r="A1574" s="14"/>
      <c r="B1574" s="14"/>
      <c r="C1574" s="14"/>
      <c r="D1574" s="14"/>
      <c r="E1574" s="14"/>
      <c r="F1574" s="14"/>
      <c r="T1574"/>
      <c r="AK1574" s="12"/>
      <c r="AL1574" s="1"/>
      <c r="AM1574" s="1"/>
      <c r="AN1574" s="1"/>
      <c r="AO1574" s="2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</row>
    <row r="1575" spans="1:60" x14ac:dyDescent="0.25">
      <c r="A1575" s="14"/>
      <c r="B1575" s="14"/>
      <c r="C1575" s="14"/>
      <c r="D1575" s="14"/>
      <c r="E1575" s="14"/>
      <c r="F1575" s="14"/>
      <c r="T1575"/>
      <c r="AK1575" s="12"/>
      <c r="AL1575" s="1"/>
      <c r="AM1575" s="1"/>
      <c r="AN1575" s="1"/>
      <c r="AO1575" s="2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</row>
    <row r="1576" spans="1:60" x14ac:dyDescent="0.25">
      <c r="A1576" s="14"/>
      <c r="B1576" s="14"/>
      <c r="C1576" s="14"/>
      <c r="D1576" s="14"/>
      <c r="E1576" s="14"/>
      <c r="F1576" s="14"/>
      <c r="T1576"/>
      <c r="AK1576" s="12"/>
      <c r="AL1576" s="1"/>
      <c r="AM1576" s="1"/>
      <c r="AN1576" s="1"/>
      <c r="AO1576" s="2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</row>
    <row r="1577" spans="1:60" x14ac:dyDescent="0.25">
      <c r="A1577" s="14"/>
      <c r="B1577" s="14"/>
      <c r="C1577" s="14"/>
      <c r="D1577" s="14"/>
      <c r="E1577" s="14"/>
      <c r="F1577" s="14"/>
      <c r="T1577"/>
      <c r="AK1577" s="12"/>
      <c r="AL1577" s="1"/>
      <c r="AM1577" s="1"/>
      <c r="AN1577" s="1"/>
      <c r="AO1577" s="2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</row>
    <row r="1578" spans="1:60" x14ac:dyDescent="0.25">
      <c r="A1578" s="14"/>
      <c r="B1578" s="14"/>
      <c r="C1578" s="14"/>
      <c r="D1578" s="14"/>
      <c r="E1578" s="14"/>
      <c r="F1578" s="14"/>
      <c r="T1578"/>
      <c r="AK1578" s="12"/>
      <c r="AL1578" s="1"/>
      <c r="AM1578" s="1"/>
      <c r="AN1578" s="1"/>
      <c r="AO1578" s="2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</row>
    <row r="1579" spans="1:60" x14ac:dyDescent="0.25">
      <c r="A1579" s="14"/>
      <c r="B1579" s="14"/>
      <c r="C1579" s="14"/>
      <c r="D1579" s="14"/>
      <c r="E1579" s="14"/>
      <c r="F1579" s="14"/>
      <c r="T1579"/>
      <c r="AK1579" s="12"/>
      <c r="AL1579" s="1"/>
      <c r="AM1579" s="1"/>
      <c r="AN1579" s="1"/>
      <c r="AO1579" s="2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</row>
    <row r="1580" spans="1:60" x14ac:dyDescent="0.25">
      <c r="A1580" s="14"/>
      <c r="B1580" s="14"/>
      <c r="C1580" s="14"/>
      <c r="D1580" s="14"/>
      <c r="E1580" s="14"/>
      <c r="F1580" s="14"/>
      <c r="T1580"/>
      <c r="AK1580" s="12"/>
      <c r="AL1580" s="1"/>
      <c r="AM1580" s="1"/>
      <c r="AN1580" s="1"/>
      <c r="AO1580" s="2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</row>
    <row r="1581" spans="1:60" x14ac:dyDescent="0.25">
      <c r="A1581" s="14"/>
      <c r="B1581" s="14"/>
      <c r="C1581" s="14"/>
      <c r="D1581" s="14"/>
      <c r="E1581" s="14"/>
      <c r="F1581" s="14"/>
      <c r="T1581"/>
      <c r="AK1581" s="12"/>
      <c r="AL1581" s="1"/>
      <c r="AM1581" s="1"/>
      <c r="AN1581" s="1"/>
      <c r="AO1581" s="2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</row>
    <row r="1582" spans="1:60" x14ac:dyDescent="0.25">
      <c r="A1582" s="14"/>
      <c r="B1582" s="14"/>
      <c r="C1582" s="14"/>
      <c r="D1582" s="14"/>
      <c r="E1582" s="14"/>
      <c r="F1582" s="14"/>
      <c r="T1582"/>
      <c r="AK1582" s="12"/>
      <c r="AL1582" s="1"/>
      <c r="AM1582" s="1"/>
      <c r="AN1582" s="1"/>
      <c r="AO1582" s="2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</row>
    <row r="1583" spans="1:60" x14ac:dyDescent="0.25">
      <c r="A1583" s="14"/>
      <c r="B1583" s="14"/>
      <c r="C1583" s="14"/>
      <c r="D1583" s="14"/>
      <c r="E1583" s="14"/>
      <c r="F1583" s="14"/>
      <c r="T1583"/>
      <c r="AK1583" s="12"/>
      <c r="AL1583" s="1"/>
      <c r="AM1583" s="1"/>
      <c r="AN1583" s="1"/>
      <c r="AO1583" s="2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</row>
    <row r="1584" spans="1:60" x14ac:dyDescent="0.25">
      <c r="A1584" s="14"/>
      <c r="B1584" s="14"/>
      <c r="C1584" s="14"/>
      <c r="D1584" s="14"/>
      <c r="E1584" s="14"/>
      <c r="F1584" s="14"/>
      <c r="T1584"/>
      <c r="AK1584" s="12"/>
      <c r="AL1584" s="1"/>
      <c r="AM1584" s="1"/>
      <c r="AN1584" s="1"/>
      <c r="AO1584" s="2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</row>
    <row r="1585" spans="1:60" x14ac:dyDescent="0.25">
      <c r="A1585" s="14"/>
      <c r="B1585" s="14"/>
      <c r="C1585" s="14"/>
      <c r="D1585" s="14"/>
      <c r="E1585" s="14"/>
      <c r="F1585" s="14"/>
      <c r="T1585"/>
      <c r="AK1585" s="12"/>
      <c r="AL1585" s="1"/>
      <c r="AM1585" s="1"/>
      <c r="AN1585" s="1"/>
      <c r="AO1585" s="2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</row>
    <row r="1586" spans="1:60" x14ac:dyDescent="0.25">
      <c r="A1586" s="14"/>
      <c r="B1586" s="14"/>
      <c r="C1586" s="14"/>
      <c r="D1586" s="14"/>
      <c r="E1586" s="14"/>
      <c r="F1586" s="14"/>
      <c r="T1586"/>
      <c r="AK1586" s="12"/>
      <c r="AL1586" s="1"/>
      <c r="AM1586" s="1"/>
      <c r="AN1586" s="1"/>
      <c r="AO1586" s="2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</row>
    <row r="1587" spans="1:60" x14ac:dyDescent="0.25">
      <c r="A1587" s="14"/>
      <c r="B1587" s="14"/>
      <c r="C1587" s="14"/>
      <c r="D1587" s="14"/>
      <c r="E1587" s="14"/>
      <c r="F1587" s="14"/>
      <c r="T1587"/>
      <c r="AK1587" s="12"/>
      <c r="AL1587" s="1"/>
      <c r="AM1587" s="1"/>
      <c r="AN1587" s="1"/>
      <c r="AO1587" s="2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</row>
    <row r="1588" spans="1:60" x14ac:dyDescent="0.25">
      <c r="A1588" s="14"/>
      <c r="B1588" s="14"/>
      <c r="C1588" s="14"/>
      <c r="D1588" s="14"/>
      <c r="E1588" s="14"/>
      <c r="F1588" s="14"/>
      <c r="T1588"/>
      <c r="AK1588" s="12"/>
      <c r="AL1588" s="1"/>
      <c r="AM1588" s="1"/>
      <c r="AN1588" s="1"/>
      <c r="AO1588" s="2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</row>
    <row r="1589" spans="1:60" x14ac:dyDescent="0.25">
      <c r="A1589" s="14"/>
      <c r="B1589" s="14"/>
      <c r="C1589" s="14"/>
      <c r="D1589" s="14"/>
      <c r="E1589" s="14"/>
      <c r="F1589" s="14"/>
      <c r="T1589"/>
      <c r="AK1589" s="12"/>
      <c r="AL1589" s="1"/>
      <c r="AM1589" s="1"/>
      <c r="AN1589" s="1"/>
      <c r="AO1589" s="2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</row>
    <row r="1590" spans="1:60" x14ac:dyDescent="0.25">
      <c r="A1590" s="14"/>
      <c r="B1590" s="14"/>
      <c r="C1590" s="14"/>
      <c r="D1590" s="14"/>
      <c r="E1590" s="14"/>
      <c r="F1590" s="14"/>
      <c r="T1590"/>
      <c r="AK1590" s="12"/>
      <c r="AL1590" s="1"/>
      <c r="AM1590" s="1"/>
      <c r="AN1590" s="1"/>
      <c r="AO1590" s="2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</row>
    <row r="1591" spans="1:60" x14ac:dyDescent="0.25">
      <c r="A1591" s="14"/>
      <c r="B1591" s="14"/>
      <c r="C1591" s="14"/>
      <c r="D1591" s="14"/>
      <c r="E1591" s="14"/>
      <c r="F1591" s="14"/>
      <c r="T1591"/>
      <c r="AK1591" s="12"/>
      <c r="AL1591" s="1"/>
      <c r="AM1591" s="1"/>
      <c r="AN1591" s="1"/>
      <c r="AO1591" s="2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</row>
    <row r="1592" spans="1:60" x14ac:dyDescent="0.25">
      <c r="A1592" s="14"/>
      <c r="B1592" s="14"/>
      <c r="C1592" s="14"/>
      <c r="D1592" s="14"/>
      <c r="E1592" s="14"/>
      <c r="F1592" s="14"/>
      <c r="T1592"/>
      <c r="AK1592" s="12"/>
      <c r="AL1592" s="1"/>
      <c r="AM1592" s="1"/>
      <c r="AN1592" s="1"/>
      <c r="AO1592" s="2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</row>
    <row r="1593" spans="1:60" x14ac:dyDescent="0.25">
      <c r="A1593" s="14"/>
      <c r="B1593" s="14"/>
      <c r="C1593" s="14"/>
      <c r="D1593" s="14"/>
      <c r="E1593" s="14"/>
      <c r="F1593" s="14"/>
      <c r="T1593"/>
      <c r="AK1593" s="12"/>
      <c r="AL1593" s="1"/>
      <c r="AM1593" s="1"/>
      <c r="AN1593" s="1"/>
      <c r="AO1593" s="2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</row>
    <row r="1594" spans="1:60" x14ac:dyDescent="0.25">
      <c r="A1594" s="14"/>
      <c r="B1594" s="14"/>
      <c r="C1594" s="14"/>
      <c r="D1594" s="14"/>
      <c r="E1594" s="14"/>
      <c r="F1594" s="14"/>
      <c r="T1594"/>
      <c r="AK1594" s="12"/>
      <c r="AL1594" s="1"/>
      <c r="AM1594" s="1"/>
      <c r="AN1594" s="1"/>
      <c r="AO1594" s="2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</row>
    <row r="1595" spans="1:60" x14ac:dyDescent="0.25">
      <c r="A1595" s="14"/>
      <c r="B1595" s="14"/>
      <c r="C1595" s="14"/>
      <c r="D1595" s="14"/>
      <c r="E1595" s="14"/>
      <c r="F1595" s="14"/>
      <c r="T1595"/>
      <c r="AK1595" s="12"/>
      <c r="AL1595" s="1"/>
      <c r="AM1595" s="1"/>
      <c r="AN1595" s="1"/>
      <c r="AO1595" s="2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</row>
    <row r="1596" spans="1:60" x14ac:dyDescent="0.25">
      <c r="A1596" s="14"/>
      <c r="B1596" s="14"/>
      <c r="C1596" s="14"/>
      <c r="D1596" s="14"/>
      <c r="E1596" s="14"/>
      <c r="F1596" s="14"/>
      <c r="T1596"/>
      <c r="AK1596" s="12"/>
      <c r="AL1596" s="1"/>
      <c r="AM1596" s="1"/>
      <c r="AN1596" s="1"/>
      <c r="AO1596" s="2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</row>
    <row r="1597" spans="1:60" x14ac:dyDescent="0.25">
      <c r="A1597" s="14"/>
      <c r="B1597" s="14"/>
      <c r="C1597" s="14"/>
      <c r="D1597" s="14"/>
      <c r="E1597" s="14"/>
      <c r="F1597" s="14"/>
      <c r="T1597"/>
      <c r="AK1597" s="12"/>
      <c r="AL1597" s="1"/>
      <c r="AM1597" s="1"/>
      <c r="AN1597" s="1"/>
      <c r="AO1597" s="2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</row>
    <row r="1598" spans="1:60" x14ac:dyDescent="0.25">
      <c r="A1598" s="14"/>
      <c r="B1598" s="14"/>
      <c r="C1598" s="14"/>
      <c r="D1598" s="14"/>
      <c r="E1598" s="14"/>
      <c r="F1598" s="14"/>
      <c r="T1598"/>
      <c r="AK1598" s="12"/>
      <c r="AL1598" s="1"/>
      <c r="AM1598" s="1"/>
      <c r="AN1598" s="1"/>
      <c r="AO1598" s="2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</row>
    <row r="1599" spans="1:60" x14ac:dyDescent="0.25">
      <c r="A1599" s="14"/>
      <c r="B1599" s="14"/>
      <c r="C1599" s="14"/>
      <c r="D1599" s="14"/>
      <c r="E1599" s="14"/>
      <c r="F1599" s="14"/>
      <c r="T1599"/>
      <c r="AK1599" s="12"/>
      <c r="AL1599" s="1"/>
      <c r="AM1599" s="1"/>
      <c r="AN1599" s="1"/>
      <c r="AO1599" s="2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</row>
    <row r="1600" spans="1:60" x14ac:dyDescent="0.25">
      <c r="A1600" s="14"/>
      <c r="B1600" s="14"/>
      <c r="C1600" s="14"/>
      <c r="D1600" s="14"/>
      <c r="E1600" s="14"/>
      <c r="F1600" s="14"/>
      <c r="T1600"/>
      <c r="AK1600" s="12"/>
      <c r="AL1600" s="1"/>
      <c r="AM1600" s="1"/>
      <c r="AN1600" s="1"/>
      <c r="AO1600" s="2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</row>
    <row r="1601" spans="1:60" x14ac:dyDescent="0.25">
      <c r="A1601" s="14"/>
      <c r="B1601" s="14"/>
      <c r="C1601" s="14"/>
      <c r="D1601" s="14"/>
      <c r="E1601" s="14"/>
      <c r="F1601" s="14"/>
      <c r="T1601"/>
      <c r="AK1601" s="12"/>
      <c r="AL1601" s="1"/>
      <c r="AM1601" s="1"/>
      <c r="AN1601" s="1"/>
      <c r="AO1601" s="2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</row>
    <row r="1602" spans="1:60" x14ac:dyDescent="0.25">
      <c r="A1602" s="14"/>
      <c r="B1602" s="14"/>
      <c r="C1602" s="14"/>
      <c r="D1602" s="14"/>
      <c r="E1602" s="14"/>
      <c r="F1602" s="14"/>
      <c r="T1602"/>
      <c r="AK1602" s="12"/>
      <c r="AL1602" s="1"/>
      <c r="AM1602" s="1"/>
      <c r="AN1602" s="1"/>
      <c r="AO1602" s="2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</row>
    <row r="1603" spans="1:60" x14ac:dyDescent="0.25">
      <c r="A1603" s="14"/>
      <c r="B1603" s="14"/>
      <c r="C1603" s="14"/>
      <c r="D1603" s="14"/>
      <c r="E1603" s="14"/>
      <c r="F1603" s="14"/>
      <c r="T1603"/>
      <c r="AK1603" s="12"/>
      <c r="AL1603" s="1"/>
      <c r="AM1603" s="1"/>
      <c r="AN1603" s="1"/>
      <c r="AO1603" s="2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</row>
    <row r="1604" spans="1:60" x14ac:dyDescent="0.25">
      <c r="A1604" s="14"/>
      <c r="B1604" s="14"/>
      <c r="C1604" s="14"/>
      <c r="D1604" s="14"/>
      <c r="E1604" s="14"/>
      <c r="F1604" s="14"/>
      <c r="T1604"/>
      <c r="AK1604" s="12"/>
      <c r="AL1604" s="1"/>
      <c r="AM1604" s="1"/>
      <c r="AN1604" s="1"/>
      <c r="AO1604" s="2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</row>
    <row r="1605" spans="1:60" x14ac:dyDescent="0.25">
      <c r="A1605" s="14"/>
      <c r="B1605" s="14"/>
      <c r="C1605" s="14"/>
      <c r="D1605" s="14"/>
      <c r="E1605" s="14"/>
      <c r="F1605" s="14"/>
      <c r="T1605"/>
      <c r="AK1605" s="12"/>
      <c r="AL1605" s="1"/>
      <c r="AM1605" s="1"/>
      <c r="AN1605" s="1"/>
      <c r="AO1605" s="2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</row>
    <row r="1606" spans="1:60" x14ac:dyDescent="0.25">
      <c r="A1606" s="14"/>
      <c r="B1606" s="14"/>
      <c r="C1606" s="14"/>
      <c r="D1606" s="14"/>
      <c r="E1606" s="14"/>
      <c r="F1606" s="14"/>
      <c r="T1606"/>
      <c r="AK1606" s="12"/>
      <c r="AL1606" s="1"/>
      <c r="AM1606" s="1"/>
      <c r="AN1606" s="1"/>
      <c r="AO1606" s="2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</row>
    <row r="1607" spans="1:60" x14ac:dyDescent="0.25">
      <c r="A1607" s="14"/>
      <c r="B1607" s="14"/>
      <c r="C1607" s="14"/>
      <c r="D1607" s="14"/>
      <c r="E1607" s="14"/>
      <c r="F1607" s="14"/>
      <c r="T1607"/>
      <c r="AK1607" s="12"/>
      <c r="AL1607" s="1"/>
      <c r="AM1607" s="1"/>
      <c r="AN1607" s="1"/>
      <c r="AO1607" s="2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</row>
    <row r="1608" spans="1:60" x14ac:dyDescent="0.25">
      <c r="A1608" s="14"/>
      <c r="B1608" s="14"/>
      <c r="C1608" s="14"/>
      <c r="D1608" s="14"/>
      <c r="E1608" s="14"/>
      <c r="F1608" s="14"/>
      <c r="T1608"/>
      <c r="AK1608" s="12"/>
      <c r="AL1608" s="1"/>
      <c r="AM1608" s="1"/>
      <c r="AN1608" s="1"/>
      <c r="AO1608" s="2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</row>
    <row r="1609" spans="1:60" x14ac:dyDescent="0.25">
      <c r="A1609" s="14"/>
      <c r="B1609" s="14"/>
      <c r="C1609" s="14"/>
      <c r="D1609" s="14"/>
      <c r="E1609" s="14"/>
      <c r="F1609" s="14"/>
      <c r="T1609"/>
      <c r="AK1609" s="12"/>
      <c r="AL1609" s="1"/>
      <c r="AM1609" s="1"/>
      <c r="AN1609" s="1"/>
      <c r="AO1609" s="2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</row>
    <row r="1610" spans="1:60" x14ac:dyDescent="0.25">
      <c r="A1610" s="14"/>
      <c r="B1610" s="14"/>
      <c r="C1610" s="14"/>
      <c r="D1610" s="14"/>
      <c r="E1610" s="14"/>
      <c r="F1610" s="14"/>
      <c r="T1610"/>
      <c r="AK1610" s="12"/>
      <c r="AL1610" s="1"/>
      <c r="AM1610" s="1"/>
      <c r="AN1610" s="1"/>
      <c r="AO1610" s="2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</row>
    <row r="1611" spans="1:60" x14ac:dyDescent="0.25">
      <c r="A1611" s="14"/>
      <c r="B1611" s="14"/>
      <c r="C1611" s="14"/>
      <c r="D1611" s="14"/>
      <c r="E1611" s="14"/>
      <c r="F1611" s="14"/>
      <c r="T1611"/>
      <c r="AK1611" s="12"/>
      <c r="AL1611" s="1"/>
      <c r="AM1611" s="1"/>
      <c r="AN1611" s="1"/>
      <c r="AO1611" s="2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</row>
    <row r="1612" spans="1:60" x14ac:dyDescent="0.25">
      <c r="A1612" s="14"/>
      <c r="B1612" s="14"/>
      <c r="C1612" s="14"/>
      <c r="D1612" s="14"/>
      <c r="E1612" s="14"/>
      <c r="F1612" s="14"/>
      <c r="T1612"/>
      <c r="AK1612" s="12"/>
      <c r="AL1612" s="1"/>
      <c r="AM1612" s="1"/>
      <c r="AN1612" s="1"/>
      <c r="AO1612" s="2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</row>
    <row r="1613" spans="1:60" x14ac:dyDescent="0.25">
      <c r="A1613" s="14"/>
      <c r="B1613" s="14"/>
      <c r="C1613" s="14"/>
      <c r="D1613" s="14"/>
      <c r="E1613" s="14"/>
      <c r="F1613" s="14"/>
      <c r="T1613"/>
      <c r="AK1613" s="12"/>
      <c r="AL1613" s="1"/>
      <c r="AM1613" s="1"/>
      <c r="AN1613" s="1"/>
      <c r="AO1613" s="2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</row>
    <row r="1614" spans="1:60" x14ac:dyDescent="0.25">
      <c r="A1614" s="14"/>
      <c r="B1614" s="14"/>
      <c r="C1614" s="14"/>
      <c r="D1614" s="14"/>
      <c r="E1614" s="14"/>
      <c r="F1614" s="14"/>
      <c r="T1614"/>
      <c r="AK1614" s="12"/>
      <c r="AL1614" s="1"/>
      <c r="AM1614" s="1"/>
      <c r="AN1614" s="1"/>
      <c r="AO1614" s="2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</row>
    <row r="1615" spans="1:60" x14ac:dyDescent="0.25">
      <c r="A1615" s="14"/>
      <c r="B1615" s="14"/>
      <c r="C1615" s="14"/>
      <c r="D1615" s="14"/>
      <c r="E1615" s="14"/>
      <c r="F1615" s="14"/>
      <c r="T1615"/>
      <c r="AK1615" s="12"/>
      <c r="AL1615" s="1"/>
      <c r="AM1615" s="1"/>
      <c r="AN1615" s="1"/>
      <c r="AO1615" s="2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</row>
    <row r="1616" spans="1:60" x14ac:dyDescent="0.25">
      <c r="A1616" s="14"/>
      <c r="B1616" s="14"/>
      <c r="C1616" s="14"/>
      <c r="D1616" s="14"/>
      <c r="E1616" s="14"/>
      <c r="F1616" s="14"/>
      <c r="T1616"/>
      <c r="AK1616" s="12"/>
      <c r="AL1616" s="1"/>
      <c r="AM1616" s="1"/>
      <c r="AN1616" s="1"/>
      <c r="AO1616" s="2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</row>
    <row r="1617" spans="1:60" x14ac:dyDescent="0.25">
      <c r="A1617" s="14"/>
      <c r="B1617" s="14"/>
      <c r="C1617" s="14"/>
      <c r="D1617" s="14"/>
      <c r="E1617" s="14"/>
      <c r="F1617" s="14"/>
      <c r="T1617"/>
      <c r="AK1617" s="12"/>
      <c r="AL1617" s="1"/>
      <c r="AM1617" s="1"/>
      <c r="AN1617" s="1"/>
      <c r="AO1617" s="2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</row>
    <row r="1618" spans="1:60" x14ac:dyDescent="0.25">
      <c r="A1618" s="14"/>
      <c r="B1618" s="14"/>
      <c r="C1618" s="14"/>
      <c r="D1618" s="14"/>
      <c r="E1618" s="14"/>
      <c r="F1618" s="14"/>
      <c r="T1618"/>
      <c r="AK1618" s="12"/>
      <c r="AL1618" s="1"/>
      <c r="AM1618" s="1"/>
      <c r="AN1618" s="1"/>
      <c r="AO1618" s="2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</row>
    <row r="1619" spans="1:60" x14ac:dyDescent="0.25">
      <c r="A1619" s="14"/>
      <c r="B1619" s="14"/>
      <c r="C1619" s="14"/>
      <c r="D1619" s="14"/>
      <c r="E1619" s="14"/>
      <c r="F1619" s="14"/>
      <c r="T1619"/>
      <c r="AK1619" s="12"/>
      <c r="AL1619" s="1"/>
      <c r="AM1619" s="1"/>
      <c r="AN1619" s="1"/>
      <c r="AO1619" s="2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</row>
    <row r="1620" spans="1:60" x14ac:dyDescent="0.25">
      <c r="A1620" s="14"/>
      <c r="B1620" s="14"/>
      <c r="C1620" s="14"/>
      <c r="D1620" s="14"/>
      <c r="E1620" s="14"/>
      <c r="F1620" s="14"/>
      <c r="T1620"/>
      <c r="AK1620" s="12"/>
      <c r="AL1620" s="1"/>
      <c r="AM1620" s="1"/>
      <c r="AN1620" s="1"/>
      <c r="AO1620" s="2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</row>
    <row r="1621" spans="1:60" x14ac:dyDescent="0.25">
      <c r="A1621" s="14"/>
      <c r="B1621" s="14"/>
      <c r="C1621" s="14"/>
      <c r="D1621" s="14"/>
      <c r="E1621" s="14"/>
      <c r="F1621" s="14"/>
      <c r="T1621"/>
      <c r="AK1621" s="12"/>
      <c r="AL1621" s="1"/>
      <c r="AM1621" s="1"/>
      <c r="AN1621" s="1"/>
      <c r="AO1621" s="2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</row>
    <row r="1622" spans="1:60" x14ac:dyDescent="0.25">
      <c r="A1622" s="14"/>
      <c r="B1622" s="14"/>
      <c r="C1622" s="14"/>
      <c r="D1622" s="14"/>
      <c r="E1622" s="14"/>
      <c r="F1622" s="14"/>
      <c r="T1622"/>
      <c r="AK1622" s="12"/>
      <c r="AL1622" s="1"/>
      <c r="AM1622" s="1"/>
      <c r="AN1622" s="1"/>
      <c r="AO1622" s="2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</row>
    <row r="1623" spans="1:60" x14ac:dyDescent="0.25">
      <c r="A1623" s="14"/>
      <c r="B1623" s="14"/>
      <c r="C1623" s="14"/>
      <c r="D1623" s="14"/>
      <c r="E1623" s="14"/>
      <c r="F1623" s="14"/>
      <c r="T1623"/>
      <c r="AK1623" s="12"/>
      <c r="AL1623" s="1"/>
      <c r="AM1623" s="1"/>
      <c r="AN1623" s="1"/>
      <c r="AO1623" s="2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</row>
    <row r="1624" spans="1:60" x14ac:dyDescent="0.25">
      <c r="A1624" s="14"/>
      <c r="B1624" s="14"/>
      <c r="C1624" s="14"/>
      <c r="D1624" s="14"/>
      <c r="E1624" s="14"/>
      <c r="F1624" s="14"/>
      <c r="T1624"/>
      <c r="AK1624" s="12"/>
      <c r="AL1624" s="1"/>
      <c r="AM1624" s="1"/>
      <c r="AN1624" s="1"/>
      <c r="AO1624" s="2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</row>
    <row r="1625" spans="1:60" x14ac:dyDescent="0.25">
      <c r="A1625" s="14"/>
      <c r="B1625" s="14"/>
      <c r="C1625" s="14"/>
      <c r="D1625" s="14"/>
      <c r="E1625" s="14"/>
      <c r="F1625" s="14"/>
      <c r="T1625"/>
      <c r="AK1625" s="12"/>
      <c r="AL1625" s="1"/>
      <c r="AM1625" s="1"/>
      <c r="AN1625" s="1"/>
      <c r="AO1625" s="2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</row>
    <row r="1626" spans="1:60" x14ac:dyDescent="0.25">
      <c r="A1626" s="14"/>
      <c r="B1626" s="14"/>
      <c r="C1626" s="14"/>
      <c r="D1626" s="14"/>
      <c r="E1626" s="14"/>
      <c r="F1626" s="14"/>
      <c r="T1626"/>
      <c r="AK1626" s="12"/>
      <c r="AL1626" s="1"/>
      <c r="AM1626" s="1"/>
      <c r="AN1626" s="1"/>
      <c r="AO1626" s="2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</row>
    <row r="1627" spans="1:60" x14ac:dyDescent="0.25">
      <c r="A1627" s="14"/>
      <c r="B1627" s="14"/>
      <c r="C1627" s="14"/>
      <c r="D1627" s="14"/>
      <c r="E1627" s="14"/>
      <c r="F1627" s="14"/>
      <c r="T1627"/>
      <c r="AK1627" s="12"/>
      <c r="AL1627" s="1"/>
      <c r="AM1627" s="1"/>
      <c r="AN1627" s="1"/>
      <c r="AO1627" s="2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</row>
    <row r="1628" spans="1:60" x14ac:dyDescent="0.25">
      <c r="A1628" s="14"/>
      <c r="B1628" s="14"/>
      <c r="C1628" s="14"/>
      <c r="D1628" s="14"/>
      <c r="E1628" s="14"/>
      <c r="F1628" s="14"/>
      <c r="T1628"/>
      <c r="AK1628" s="12"/>
      <c r="AL1628" s="1"/>
      <c r="AM1628" s="1"/>
      <c r="AN1628" s="1"/>
      <c r="AO1628" s="2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</row>
    <row r="1629" spans="1:60" x14ac:dyDescent="0.25">
      <c r="A1629" s="14"/>
      <c r="B1629" s="14"/>
      <c r="C1629" s="14"/>
      <c r="D1629" s="14"/>
      <c r="E1629" s="14"/>
      <c r="F1629" s="14"/>
      <c r="T1629"/>
      <c r="AK1629" s="12"/>
      <c r="AL1629" s="1"/>
      <c r="AM1629" s="1"/>
      <c r="AN1629" s="1"/>
      <c r="AO1629" s="2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</row>
    <row r="1630" spans="1:60" x14ac:dyDescent="0.25">
      <c r="A1630" s="14"/>
      <c r="B1630" s="14"/>
      <c r="C1630" s="14"/>
      <c r="D1630" s="14"/>
      <c r="E1630" s="14"/>
      <c r="F1630" s="14"/>
      <c r="T1630"/>
      <c r="AK1630" s="12"/>
      <c r="AL1630" s="1"/>
      <c r="AM1630" s="1"/>
      <c r="AN1630" s="1"/>
      <c r="AO1630" s="2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</row>
    <row r="1631" spans="1:60" x14ac:dyDescent="0.25">
      <c r="A1631" s="14"/>
      <c r="B1631" s="14"/>
      <c r="C1631" s="14"/>
      <c r="D1631" s="14"/>
      <c r="E1631" s="14"/>
      <c r="F1631" s="14"/>
      <c r="T1631"/>
      <c r="AK1631" s="12"/>
      <c r="AL1631" s="1"/>
      <c r="AM1631" s="1"/>
      <c r="AN1631" s="1"/>
      <c r="AO1631" s="2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</row>
    <row r="1632" spans="1:60" x14ac:dyDescent="0.25">
      <c r="A1632" s="14"/>
      <c r="B1632" s="14"/>
      <c r="C1632" s="14"/>
      <c r="D1632" s="14"/>
      <c r="E1632" s="14"/>
      <c r="F1632" s="14"/>
      <c r="T1632"/>
      <c r="AK1632" s="12"/>
      <c r="AL1632" s="1"/>
      <c r="AM1632" s="1"/>
      <c r="AN1632" s="1"/>
      <c r="AO1632" s="2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</row>
    <row r="1633" spans="1:60" x14ac:dyDescent="0.25">
      <c r="A1633" s="14"/>
      <c r="B1633" s="14"/>
      <c r="C1633" s="14"/>
      <c r="D1633" s="14"/>
      <c r="E1633" s="14"/>
      <c r="F1633" s="14"/>
      <c r="T1633"/>
      <c r="AK1633" s="12"/>
      <c r="AL1633" s="1"/>
      <c r="AM1633" s="1"/>
      <c r="AN1633" s="1"/>
      <c r="AO1633" s="2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</row>
    <row r="1634" spans="1:60" x14ac:dyDescent="0.25">
      <c r="A1634" s="14"/>
      <c r="B1634" s="14"/>
      <c r="C1634" s="14"/>
      <c r="D1634" s="14"/>
      <c r="E1634" s="14"/>
      <c r="F1634" s="14"/>
      <c r="T1634"/>
      <c r="AK1634" s="12"/>
      <c r="AL1634" s="1"/>
      <c r="AM1634" s="1"/>
      <c r="AN1634" s="1"/>
      <c r="AO1634" s="2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</row>
    <row r="1635" spans="1:60" x14ac:dyDescent="0.25">
      <c r="A1635" s="14"/>
      <c r="B1635" s="14"/>
      <c r="C1635" s="14"/>
      <c r="D1635" s="14"/>
      <c r="E1635" s="14"/>
      <c r="F1635" s="14"/>
      <c r="T1635"/>
      <c r="AK1635" s="12"/>
      <c r="AL1635" s="1"/>
      <c r="AM1635" s="1"/>
      <c r="AN1635" s="1"/>
      <c r="AO1635" s="2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</row>
    <row r="1636" spans="1:60" x14ac:dyDescent="0.25">
      <c r="A1636" s="14"/>
      <c r="B1636" s="14"/>
      <c r="C1636" s="14"/>
      <c r="D1636" s="14"/>
      <c r="E1636" s="14"/>
      <c r="F1636" s="14"/>
      <c r="T1636"/>
      <c r="AK1636" s="12"/>
      <c r="AL1636" s="1"/>
      <c r="AM1636" s="1"/>
      <c r="AN1636" s="1"/>
      <c r="AO1636" s="2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</row>
    <row r="1637" spans="1:60" x14ac:dyDescent="0.25">
      <c r="A1637" s="14"/>
      <c r="B1637" s="14"/>
      <c r="C1637" s="14"/>
      <c r="D1637" s="14"/>
      <c r="E1637" s="14"/>
      <c r="F1637" s="14"/>
      <c r="T1637"/>
      <c r="AK1637" s="12"/>
      <c r="AL1637" s="1"/>
      <c r="AM1637" s="1"/>
      <c r="AN1637" s="1"/>
      <c r="AO1637" s="2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</row>
    <row r="1638" spans="1:60" x14ac:dyDescent="0.25">
      <c r="A1638" s="14"/>
      <c r="B1638" s="14"/>
      <c r="C1638" s="14"/>
      <c r="D1638" s="14"/>
      <c r="E1638" s="14"/>
      <c r="F1638" s="14"/>
      <c r="T1638"/>
      <c r="AK1638" s="12"/>
      <c r="AL1638" s="1"/>
      <c r="AM1638" s="1"/>
      <c r="AN1638" s="1"/>
      <c r="AO1638" s="2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</row>
    <row r="1639" spans="1:60" x14ac:dyDescent="0.25">
      <c r="A1639" s="14"/>
      <c r="B1639" s="14"/>
      <c r="C1639" s="14"/>
      <c r="D1639" s="14"/>
      <c r="E1639" s="14"/>
      <c r="F1639" s="14"/>
      <c r="T1639"/>
      <c r="AK1639" s="12"/>
      <c r="AL1639" s="1"/>
      <c r="AM1639" s="1"/>
      <c r="AN1639" s="1"/>
      <c r="AO1639" s="2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</row>
    <row r="1640" spans="1:60" x14ac:dyDescent="0.25">
      <c r="A1640" s="14"/>
      <c r="B1640" s="14"/>
      <c r="C1640" s="14"/>
      <c r="D1640" s="14"/>
      <c r="E1640" s="14"/>
      <c r="F1640" s="14"/>
      <c r="T1640"/>
      <c r="AK1640" s="12"/>
      <c r="AL1640" s="1"/>
      <c r="AM1640" s="1"/>
      <c r="AN1640" s="1"/>
      <c r="AO1640" s="2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</row>
    <row r="1641" spans="1:60" x14ac:dyDescent="0.25">
      <c r="A1641" s="14"/>
      <c r="B1641" s="14"/>
      <c r="C1641" s="14"/>
      <c r="D1641" s="14"/>
      <c r="E1641" s="14"/>
      <c r="F1641" s="14"/>
      <c r="T1641"/>
      <c r="AK1641" s="12"/>
      <c r="AL1641" s="1"/>
      <c r="AM1641" s="1"/>
      <c r="AN1641" s="1"/>
      <c r="AO1641" s="2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</row>
    <row r="1642" spans="1:60" x14ac:dyDescent="0.25">
      <c r="A1642" s="14"/>
      <c r="B1642" s="14"/>
      <c r="C1642" s="14"/>
      <c r="D1642" s="14"/>
      <c r="E1642" s="14"/>
      <c r="F1642" s="14"/>
      <c r="T1642"/>
      <c r="AK1642" s="12"/>
      <c r="AL1642" s="1"/>
      <c r="AM1642" s="1"/>
      <c r="AN1642" s="1"/>
      <c r="AO1642" s="2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</row>
    <row r="1643" spans="1:60" x14ac:dyDescent="0.25">
      <c r="A1643" s="14"/>
      <c r="B1643" s="14"/>
      <c r="C1643" s="14"/>
      <c r="D1643" s="14"/>
      <c r="E1643" s="14"/>
      <c r="F1643" s="14"/>
      <c r="T1643"/>
      <c r="AK1643" s="12"/>
      <c r="AL1643" s="1"/>
      <c r="AM1643" s="1"/>
      <c r="AN1643" s="1"/>
      <c r="AO1643" s="2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</row>
    <row r="1644" spans="1:60" x14ac:dyDescent="0.25">
      <c r="A1644" s="14"/>
      <c r="B1644" s="14"/>
      <c r="C1644" s="14"/>
      <c r="D1644" s="14"/>
      <c r="E1644" s="14"/>
      <c r="F1644" s="14"/>
      <c r="T1644"/>
      <c r="AK1644" s="12"/>
      <c r="AL1644" s="1"/>
      <c r="AM1644" s="1"/>
      <c r="AN1644" s="1"/>
      <c r="AO1644" s="2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</row>
    <row r="1645" spans="1:60" x14ac:dyDescent="0.25">
      <c r="A1645" s="14"/>
      <c r="B1645" s="14"/>
      <c r="C1645" s="14"/>
      <c r="D1645" s="14"/>
      <c r="E1645" s="14"/>
      <c r="F1645" s="14"/>
      <c r="T1645"/>
      <c r="AK1645" s="12"/>
      <c r="AL1645" s="1"/>
      <c r="AM1645" s="1"/>
      <c r="AN1645" s="1"/>
      <c r="AO1645" s="2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</row>
    <row r="1646" spans="1:60" x14ac:dyDescent="0.25">
      <c r="A1646" s="14"/>
      <c r="B1646" s="14"/>
      <c r="C1646" s="14"/>
      <c r="D1646" s="14"/>
      <c r="E1646" s="14"/>
      <c r="F1646" s="14"/>
      <c r="T1646"/>
      <c r="AK1646" s="12"/>
      <c r="AL1646" s="1"/>
      <c r="AM1646" s="1"/>
      <c r="AN1646" s="1"/>
      <c r="AO1646" s="2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</row>
    <row r="1647" spans="1:60" x14ac:dyDescent="0.25">
      <c r="A1647" s="14"/>
      <c r="B1647" s="14"/>
      <c r="C1647" s="14"/>
      <c r="D1647" s="14"/>
      <c r="E1647" s="14"/>
      <c r="F1647" s="14"/>
      <c r="T1647"/>
      <c r="AK1647" s="12"/>
      <c r="AL1647" s="1"/>
      <c r="AM1647" s="1"/>
      <c r="AN1647" s="1"/>
      <c r="AO1647" s="2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</row>
    <row r="1648" spans="1:60" x14ac:dyDescent="0.25">
      <c r="A1648" s="14"/>
      <c r="B1648" s="14"/>
      <c r="C1648" s="14"/>
      <c r="D1648" s="14"/>
      <c r="E1648" s="14"/>
      <c r="F1648" s="14"/>
      <c r="T1648"/>
      <c r="AK1648" s="12"/>
      <c r="AL1648" s="1"/>
      <c r="AM1648" s="1"/>
      <c r="AN1648" s="1"/>
      <c r="AO1648" s="2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</row>
    <row r="1649" spans="1:60" x14ac:dyDescent="0.25">
      <c r="A1649" s="14"/>
      <c r="B1649" s="14"/>
      <c r="C1649" s="14"/>
      <c r="D1649" s="14"/>
      <c r="E1649" s="14"/>
      <c r="F1649" s="14"/>
      <c r="T1649"/>
      <c r="AK1649" s="12"/>
      <c r="AL1649" s="1"/>
      <c r="AM1649" s="1"/>
      <c r="AN1649" s="1"/>
      <c r="AO1649" s="2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</row>
    <row r="1650" spans="1:60" x14ac:dyDescent="0.25">
      <c r="A1650" s="14"/>
      <c r="B1650" s="14"/>
      <c r="C1650" s="14"/>
      <c r="D1650" s="14"/>
      <c r="E1650" s="14"/>
      <c r="F1650" s="14"/>
      <c r="T1650"/>
      <c r="AK1650" s="12"/>
      <c r="AL1650" s="1"/>
      <c r="AM1650" s="1"/>
      <c r="AN1650" s="1"/>
      <c r="AO1650" s="2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</row>
    <row r="1651" spans="1:60" x14ac:dyDescent="0.25">
      <c r="A1651" s="14"/>
      <c r="B1651" s="14"/>
      <c r="C1651" s="14"/>
      <c r="D1651" s="14"/>
      <c r="E1651" s="14"/>
      <c r="F1651" s="14"/>
      <c r="T1651"/>
      <c r="AK1651" s="12"/>
      <c r="AL1651" s="1"/>
      <c r="AM1651" s="1"/>
      <c r="AN1651" s="1"/>
      <c r="AO1651" s="2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</row>
    <row r="1652" spans="1:60" x14ac:dyDescent="0.25">
      <c r="A1652" s="14"/>
      <c r="B1652" s="14"/>
      <c r="C1652" s="14"/>
      <c r="D1652" s="14"/>
      <c r="E1652" s="14"/>
      <c r="F1652" s="14"/>
      <c r="T1652"/>
      <c r="AK1652" s="12"/>
      <c r="AL1652" s="1"/>
      <c r="AM1652" s="1"/>
      <c r="AN1652" s="1"/>
      <c r="AO1652" s="2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</row>
    <row r="1653" spans="1:60" x14ac:dyDescent="0.25">
      <c r="A1653" s="14"/>
      <c r="B1653" s="14"/>
      <c r="C1653" s="14"/>
      <c r="D1653" s="14"/>
      <c r="E1653" s="14"/>
      <c r="F1653" s="14"/>
      <c r="T1653"/>
      <c r="AK1653" s="12"/>
      <c r="AL1653" s="1"/>
      <c r="AM1653" s="1"/>
      <c r="AN1653" s="1"/>
      <c r="AO1653" s="2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</row>
    <row r="1654" spans="1:60" x14ac:dyDescent="0.25">
      <c r="A1654" s="14"/>
      <c r="B1654" s="14"/>
      <c r="C1654" s="14"/>
      <c r="D1654" s="14"/>
      <c r="E1654" s="14"/>
      <c r="F1654" s="14"/>
      <c r="T1654"/>
      <c r="AK1654" s="12"/>
      <c r="AL1654" s="1"/>
      <c r="AM1654" s="1"/>
      <c r="AN1654" s="1"/>
      <c r="AO1654" s="2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</row>
    <row r="1655" spans="1:60" x14ac:dyDescent="0.25">
      <c r="A1655" s="14"/>
      <c r="B1655" s="14"/>
      <c r="C1655" s="14"/>
      <c r="D1655" s="14"/>
      <c r="E1655" s="14"/>
      <c r="F1655" s="14"/>
      <c r="T1655"/>
      <c r="AK1655" s="12"/>
      <c r="AL1655" s="1"/>
      <c r="AM1655" s="1"/>
      <c r="AN1655" s="1"/>
      <c r="AO1655" s="2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</row>
    <row r="1656" spans="1:60" x14ac:dyDescent="0.25">
      <c r="A1656" s="14"/>
      <c r="B1656" s="14"/>
      <c r="C1656" s="14"/>
      <c r="D1656" s="14"/>
      <c r="E1656" s="14"/>
      <c r="F1656" s="14"/>
      <c r="T1656"/>
      <c r="AK1656" s="12"/>
      <c r="AL1656" s="1"/>
      <c r="AM1656" s="1"/>
      <c r="AN1656" s="1"/>
      <c r="AO1656" s="2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</row>
    <row r="1657" spans="1:60" x14ac:dyDescent="0.25">
      <c r="A1657" s="14"/>
      <c r="B1657" s="14"/>
      <c r="C1657" s="14"/>
      <c r="D1657" s="14"/>
      <c r="E1657" s="14"/>
      <c r="F1657" s="14"/>
      <c r="T1657"/>
      <c r="AK1657" s="12"/>
      <c r="AL1657" s="1"/>
      <c r="AM1657" s="1"/>
      <c r="AN1657" s="1"/>
      <c r="AO1657" s="2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</row>
    <row r="1658" spans="1:60" x14ac:dyDescent="0.25">
      <c r="A1658" s="14"/>
      <c r="B1658" s="14"/>
      <c r="C1658" s="14"/>
      <c r="D1658" s="14"/>
      <c r="E1658" s="14"/>
      <c r="F1658" s="14"/>
      <c r="T1658"/>
      <c r="AK1658" s="12"/>
      <c r="AL1658" s="1"/>
      <c r="AM1658" s="1"/>
      <c r="AN1658" s="1"/>
      <c r="AO1658" s="2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</row>
    <row r="1659" spans="1:60" x14ac:dyDescent="0.25">
      <c r="A1659" s="14"/>
      <c r="B1659" s="14"/>
      <c r="C1659" s="14"/>
      <c r="D1659" s="14"/>
      <c r="E1659" s="14"/>
      <c r="F1659" s="14"/>
      <c r="T1659"/>
      <c r="AK1659" s="12"/>
      <c r="AL1659" s="1"/>
      <c r="AM1659" s="1"/>
      <c r="AN1659" s="1"/>
      <c r="AO1659" s="2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</row>
    <row r="1660" spans="1:60" x14ac:dyDescent="0.25">
      <c r="A1660" s="14"/>
      <c r="B1660" s="14"/>
      <c r="C1660" s="14"/>
      <c r="D1660" s="14"/>
      <c r="E1660" s="14"/>
      <c r="F1660" s="14"/>
      <c r="T1660"/>
      <c r="AK1660" s="12"/>
      <c r="AL1660" s="1"/>
      <c r="AM1660" s="1"/>
      <c r="AN1660" s="1"/>
      <c r="AO1660" s="2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</row>
    <row r="1661" spans="1:60" x14ac:dyDescent="0.25">
      <c r="A1661" s="14"/>
      <c r="B1661" s="14"/>
      <c r="C1661" s="14"/>
      <c r="D1661" s="14"/>
      <c r="E1661" s="14"/>
      <c r="F1661" s="14"/>
      <c r="T1661"/>
      <c r="AK1661" s="12"/>
      <c r="AL1661" s="1"/>
      <c r="AM1661" s="1"/>
      <c r="AN1661" s="1"/>
      <c r="AO1661" s="2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</row>
    <row r="1662" spans="1:60" x14ac:dyDescent="0.25">
      <c r="A1662" s="14"/>
      <c r="B1662" s="14"/>
      <c r="C1662" s="14"/>
      <c r="D1662" s="14"/>
      <c r="E1662" s="14"/>
      <c r="F1662" s="14"/>
      <c r="T1662"/>
      <c r="AK1662" s="12"/>
      <c r="AL1662" s="1"/>
      <c r="AM1662" s="1"/>
      <c r="AN1662" s="1"/>
      <c r="AO1662" s="2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</row>
    <row r="1663" spans="1:60" x14ac:dyDescent="0.25">
      <c r="A1663" s="14"/>
      <c r="B1663" s="14"/>
      <c r="C1663" s="14"/>
      <c r="D1663" s="14"/>
      <c r="E1663" s="14"/>
      <c r="F1663" s="14"/>
      <c r="T1663"/>
      <c r="AK1663" s="12"/>
      <c r="AL1663" s="1"/>
      <c r="AM1663" s="1"/>
      <c r="AN1663" s="1"/>
      <c r="AO1663" s="2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</row>
    <row r="1664" spans="1:60" x14ac:dyDescent="0.25">
      <c r="A1664" s="14"/>
      <c r="B1664" s="14"/>
      <c r="C1664" s="14"/>
      <c r="D1664" s="14"/>
      <c r="E1664" s="14"/>
      <c r="F1664" s="14"/>
      <c r="T1664"/>
      <c r="AK1664" s="12"/>
      <c r="AL1664" s="1"/>
      <c r="AM1664" s="1"/>
      <c r="AN1664" s="1"/>
      <c r="AO1664" s="2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</row>
    <row r="1665" spans="1:60" x14ac:dyDescent="0.25">
      <c r="A1665" s="14"/>
      <c r="B1665" s="14"/>
      <c r="C1665" s="14"/>
      <c r="D1665" s="14"/>
      <c r="E1665" s="14"/>
      <c r="F1665" s="14"/>
      <c r="T1665"/>
      <c r="AK1665" s="12"/>
      <c r="AL1665" s="1"/>
      <c r="AM1665" s="1"/>
      <c r="AN1665" s="1"/>
      <c r="AO1665" s="2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</row>
    <row r="1666" spans="1:60" x14ac:dyDescent="0.25">
      <c r="A1666" s="14"/>
      <c r="B1666" s="14"/>
      <c r="C1666" s="14"/>
      <c r="D1666" s="14"/>
      <c r="E1666" s="14"/>
      <c r="F1666" s="14"/>
      <c r="T1666"/>
      <c r="AK1666" s="12"/>
      <c r="AL1666" s="1"/>
      <c r="AM1666" s="1"/>
      <c r="AN1666" s="1"/>
      <c r="AO1666" s="2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</row>
    <row r="1667" spans="1:60" x14ac:dyDescent="0.25">
      <c r="A1667" s="14"/>
      <c r="B1667" s="14"/>
      <c r="C1667" s="14"/>
      <c r="D1667" s="14"/>
      <c r="E1667" s="14"/>
      <c r="F1667" s="14"/>
      <c r="T1667"/>
      <c r="AK1667" s="12"/>
      <c r="AL1667" s="1"/>
      <c r="AM1667" s="1"/>
      <c r="AN1667" s="1"/>
      <c r="AO1667" s="2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</row>
    <row r="1668" spans="1:60" x14ac:dyDescent="0.25">
      <c r="A1668" s="14"/>
      <c r="B1668" s="14"/>
      <c r="C1668" s="14"/>
      <c r="D1668" s="14"/>
      <c r="E1668" s="14"/>
      <c r="F1668" s="14"/>
      <c r="T1668"/>
      <c r="AK1668" s="12"/>
      <c r="AL1668" s="1"/>
      <c r="AM1668" s="1"/>
      <c r="AN1668" s="1"/>
      <c r="AO1668" s="2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</row>
    <row r="1669" spans="1:60" x14ac:dyDescent="0.25">
      <c r="A1669" s="14"/>
      <c r="B1669" s="14"/>
      <c r="C1669" s="14"/>
      <c r="D1669" s="14"/>
      <c r="E1669" s="14"/>
      <c r="F1669" s="14"/>
      <c r="T1669"/>
      <c r="AK1669" s="12"/>
      <c r="AL1669" s="1"/>
      <c r="AM1669" s="1"/>
      <c r="AN1669" s="1"/>
      <c r="AO1669" s="2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</row>
    <row r="1670" spans="1:60" x14ac:dyDescent="0.25">
      <c r="A1670" s="14"/>
      <c r="B1670" s="14"/>
      <c r="C1670" s="14"/>
      <c r="D1670" s="14"/>
      <c r="E1670" s="14"/>
      <c r="F1670" s="14"/>
      <c r="T1670"/>
      <c r="AK1670" s="12"/>
      <c r="AL1670" s="1"/>
      <c r="AM1670" s="1"/>
      <c r="AN1670" s="1"/>
      <c r="AO1670" s="2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</row>
    <row r="1671" spans="1:60" x14ac:dyDescent="0.25">
      <c r="A1671" s="14"/>
      <c r="B1671" s="14"/>
      <c r="C1671" s="14"/>
      <c r="D1671" s="14"/>
      <c r="E1671" s="14"/>
      <c r="F1671" s="14"/>
      <c r="T1671"/>
      <c r="AK1671" s="12"/>
      <c r="AL1671" s="1"/>
      <c r="AM1671" s="1"/>
      <c r="AN1671" s="1"/>
      <c r="AO1671" s="2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</row>
    <row r="1672" spans="1:60" x14ac:dyDescent="0.25">
      <c r="A1672" s="14"/>
      <c r="B1672" s="14"/>
      <c r="C1672" s="14"/>
      <c r="D1672" s="14"/>
      <c r="E1672" s="14"/>
      <c r="F1672" s="14"/>
      <c r="T1672"/>
      <c r="AK1672" s="12"/>
      <c r="AL1672" s="1"/>
      <c r="AM1672" s="1"/>
      <c r="AN1672" s="1"/>
      <c r="AO1672" s="2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</row>
    <row r="1673" spans="1:60" x14ac:dyDescent="0.25">
      <c r="A1673" s="14"/>
      <c r="B1673" s="14"/>
      <c r="C1673" s="14"/>
      <c r="D1673" s="14"/>
      <c r="E1673" s="14"/>
      <c r="F1673" s="14"/>
      <c r="T1673"/>
      <c r="AK1673" s="12"/>
      <c r="AL1673" s="1"/>
      <c r="AM1673" s="1"/>
      <c r="AN1673" s="1"/>
      <c r="AO1673" s="2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</row>
    <row r="1674" spans="1:60" x14ac:dyDescent="0.25">
      <c r="A1674" s="14"/>
      <c r="B1674" s="14"/>
      <c r="C1674" s="14"/>
      <c r="D1674" s="14"/>
      <c r="E1674" s="14"/>
      <c r="F1674" s="14"/>
      <c r="T1674"/>
      <c r="AK1674" s="12"/>
      <c r="AL1674" s="1"/>
      <c r="AM1674" s="1"/>
      <c r="AN1674" s="1"/>
      <c r="AO1674" s="2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</row>
    <row r="1675" spans="1:60" x14ac:dyDescent="0.25">
      <c r="A1675" s="14"/>
      <c r="B1675" s="14"/>
      <c r="C1675" s="14"/>
      <c r="D1675" s="14"/>
      <c r="E1675" s="14"/>
      <c r="F1675" s="14"/>
      <c r="T1675"/>
      <c r="AK1675" s="12"/>
      <c r="AL1675" s="1"/>
      <c r="AM1675" s="1"/>
      <c r="AN1675" s="1"/>
      <c r="AO1675" s="2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</row>
    <row r="1676" spans="1:60" x14ac:dyDescent="0.25">
      <c r="A1676" s="14"/>
      <c r="B1676" s="14"/>
      <c r="C1676" s="14"/>
      <c r="D1676" s="14"/>
      <c r="E1676" s="14"/>
      <c r="F1676" s="14"/>
      <c r="T1676"/>
      <c r="AK1676" s="12"/>
      <c r="AL1676" s="1"/>
      <c r="AM1676" s="1"/>
      <c r="AN1676" s="1"/>
      <c r="AO1676" s="2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</row>
    <row r="1677" spans="1:60" x14ac:dyDescent="0.25">
      <c r="A1677" s="14"/>
      <c r="B1677" s="14"/>
      <c r="C1677" s="14"/>
      <c r="D1677" s="14"/>
      <c r="E1677" s="14"/>
      <c r="F1677" s="14"/>
      <c r="T1677"/>
      <c r="AK1677" s="12"/>
      <c r="AL1677" s="1"/>
      <c r="AM1677" s="1"/>
      <c r="AN1677" s="1"/>
      <c r="AO1677" s="2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</row>
    <row r="1678" spans="1:60" x14ac:dyDescent="0.25">
      <c r="A1678" s="14"/>
      <c r="B1678" s="14"/>
      <c r="C1678" s="14"/>
      <c r="D1678" s="14"/>
      <c r="E1678" s="14"/>
      <c r="F1678" s="14"/>
      <c r="T1678"/>
      <c r="AK1678" s="12"/>
      <c r="AL1678" s="1"/>
      <c r="AM1678" s="1"/>
      <c r="AN1678" s="1"/>
      <c r="AO1678" s="2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</row>
    <row r="1679" spans="1:60" x14ac:dyDescent="0.25">
      <c r="A1679" s="14"/>
      <c r="B1679" s="14"/>
      <c r="C1679" s="14"/>
      <c r="D1679" s="14"/>
      <c r="E1679" s="14"/>
      <c r="F1679" s="14"/>
      <c r="T1679"/>
      <c r="AK1679" s="12"/>
      <c r="AL1679" s="1"/>
      <c r="AM1679" s="1"/>
      <c r="AN1679" s="1"/>
      <c r="AO1679" s="2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</row>
    <row r="1680" spans="1:60" x14ac:dyDescent="0.25">
      <c r="A1680" s="14"/>
      <c r="B1680" s="14"/>
      <c r="C1680" s="14"/>
      <c r="D1680" s="14"/>
      <c r="E1680" s="14"/>
      <c r="F1680" s="14"/>
      <c r="T1680"/>
      <c r="AK1680" s="12"/>
      <c r="AL1680" s="1"/>
      <c r="AM1680" s="1"/>
      <c r="AN1680" s="1"/>
      <c r="AO1680" s="2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</row>
    <row r="1681" spans="1:60" x14ac:dyDescent="0.25">
      <c r="A1681" s="14"/>
      <c r="B1681" s="14"/>
      <c r="C1681" s="14"/>
      <c r="D1681" s="14"/>
      <c r="E1681" s="14"/>
      <c r="F1681" s="14"/>
      <c r="T1681"/>
      <c r="AK1681" s="12"/>
      <c r="AL1681" s="1"/>
      <c r="AM1681" s="1"/>
      <c r="AN1681" s="1"/>
      <c r="AO1681" s="2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</row>
    <row r="1682" spans="1:60" x14ac:dyDescent="0.25">
      <c r="A1682" s="14"/>
      <c r="B1682" s="14"/>
      <c r="C1682" s="14"/>
      <c r="D1682" s="14"/>
      <c r="E1682" s="14"/>
      <c r="F1682" s="14"/>
      <c r="T1682"/>
      <c r="AK1682" s="12"/>
      <c r="AL1682" s="1"/>
      <c r="AM1682" s="1"/>
      <c r="AN1682" s="1"/>
      <c r="AO1682" s="2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</row>
    <row r="1683" spans="1:60" x14ac:dyDescent="0.25">
      <c r="A1683" s="14"/>
      <c r="B1683" s="14"/>
      <c r="C1683" s="14"/>
      <c r="D1683" s="14"/>
      <c r="E1683" s="14"/>
      <c r="F1683" s="14"/>
      <c r="T1683"/>
      <c r="AK1683" s="12"/>
      <c r="AL1683" s="1"/>
      <c r="AM1683" s="1"/>
      <c r="AN1683" s="1"/>
      <c r="AO1683" s="2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</row>
    <row r="1684" spans="1:60" x14ac:dyDescent="0.25">
      <c r="A1684" s="14"/>
      <c r="B1684" s="14"/>
      <c r="C1684" s="14"/>
      <c r="D1684" s="14"/>
      <c r="E1684" s="14"/>
      <c r="F1684" s="14"/>
      <c r="T1684"/>
      <c r="AK1684" s="12"/>
      <c r="AL1684" s="1"/>
      <c r="AM1684" s="1"/>
      <c r="AN1684" s="1"/>
      <c r="AO1684" s="2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</row>
    <row r="1685" spans="1:60" x14ac:dyDescent="0.25">
      <c r="A1685" s="14"/>
      <c r="B1685" s="14"/>
      <c r="C1685" s="14"/>
      <c r="D1685" s="14"/>
      <c r="E1685" s="14"/>
      <c r="F1685" s="14"/>
      <c r="T1685"/>
      <c r="AK1685" s="12"/>
      <c r="AL1685" s="1"/>
      <c r="AM1685" s="1"/>
      <c r="AN1685" s="1"/>
      <c r="AO1685" s="2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</row>
    <row r="1686" spans="1:60" x14ac:dyDescent="0.25">
      <c r="A1686" s="14"/>
      <c r="B1686" s="14"/>
      <c r="C1686" s="14"/>
      <c r="D1686" s="14"/>
      <c r="E1686" s="14"/>
      <c r="F1686" s="14"/>
      <c r="T1686"/>
      <c r="AK1686" s="12"/>
      <c r="AL1686" s="1"/>
      <c r="AM1686" s="1"/>
      <c r="AN1686" s="1"/>
      <c r="AO1686" s="2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</row>
    <row r="1687" spans="1:60" x14ac:dyDescent="0.25">
      <c r="A1687" s="14"/>
      <c r="B1687" s="14"/>
      <c r="C1687" s="14"/>
      <c r="D1687" s="14"/>
      <c r="E1687" s="14"/>
      <c r="F1687" s="14"/>
      <c r="T1687"/>
      <c r="AK1687" s="12"/>
      <c r="AL1687" s="1"/>
      <c r="AM1687" s="1"/>
      <c r="AN1687" s="1"/>
      <c r="AO1687" s="2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</row>
    <row r="1688" spans="1:60" x14ac:dyDescent="0.25">
      <c r="A1688" s="14"/>
      <c r="B1688" s="14"/>
      <c r="C1688" s="14"/>
      <c r="D1688" s="14"/>
      <c r="E1688" s="14"/>
      <c r="F1688" s="14"/>
      <c r="T1688"/>
      <c r="AK1688" s="12"/>
      <c r="AL1688" s="1"/>
      <c r="AM1688" s="1"/>
      <c r="AN1688" s="1"/>
      <c r="AO1688" s="2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</row>
    <row r="1689" spans="1:60" x14ac:dyDescent="0.25">
      <c r="A1689" s="14"/>
      <c r="B1689" s="14"/>
      <c r="C1689" s="14"/>
      <c r="D1689" s="14"/>
      <c r="E1689" s="14"/>
      <c r="F1689" s="14"/>
      <c r="T1689"/>
      <c r="AK1689" s="12"/>
      <c r="AL1689" s="1"/>
      <c r="AM1689" s="1"/>
      <c r="AN1689" s="1"/>
      <c r="AO1689" s="2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</row>
    <row r="1690" spans="1:60" x14ac:dyDescent="0.25">
      <c r="A1690" s="14"/>
      <c r="B1690" s="14"/>
      <c r="C1690" s="14"/>
      <c r="D1690" s="14"/>
      <c r="E1690" s="14"/>
      <c r="F1690" s="14"/>
      <c r="T1690"/>
      <c r="AK1690" s="12"/>
      <c r="AL1690" s="1"/>
      <c r="AM1690" s="1"/>
      <c r="AN1690" s="1"/>
      <c r="AO1690" s="2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</row>
    <row r="1691" spans="1:60" x14ac:dyDescent="0.25">
      <c r="A1691" s="14"/>
      <c r="B1691" s="14"/>
      <c r="C1691" s="14"/>
      <c r="D1691" s="14"/>
      <c r="E1691" s="14"/>
      <c r="F1691" s="14"/>
      <c r="T1691"/>
      <c r="AK1691" s="12"/>
      <c r="AL1691" s="1"/>
      <c r="AM1691" s="1"/>
      <c r="AN1691" s="1"/>
      <c r="AO1691" s="2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</row>
    <row r="1692" spans="1:60" x14ac:dyDescent="0.25">
      <c r="A1692" s="14"/>
      <c r="B1692" s="14"/>
      <c r="C1692" s="14"/>
      <c r="D1692" s="14"/>
      <c r="E1692" s="14"/>
      <c r="F1692" s="14"/>
      <c r="T1692"/>
      <c r="AK1692" s="12"/>
      <c r="AL1692" s="1"/>
      <c r="AM1692" s="1"/>
      <c r="AN1692" s="1"/>
      <c r="AO1692" s="2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</row>
    <row r="1693" spans="1:60" x14ac:dyDescent="0.25">
      <c r="A1693" s="14"/>
      <c r="B1693" s="14"/>
      <c r="C1693" s="14"/>
      <c r="D1693" s="14"/>
      <c r="E1693" s="14"/>
      <c r="F1693" s="14"/>
      <c r="T1693"/>
      <c r="AK1693" s="12"/>
      <c r="AL1693" s="1"/>
      <c r="AM1693" s="1"/>
      <c r="AN1693" s="1"/>
      <c r="AO1693" s="2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</row>
    <row r="1694" spans="1:60" x14ac:dyDescent="0.25">
      <c r="A1694" s="14"/>
      <c r="B1694" s="14"/>
      <c r="C1694" s="14"/>
      <c r="D1694" s="14"/>
      <c r="E1694" s="14"/>
      <c r="F1694" s="14"/>
      <c r="T1694"/>
      <c r="AK1694" s="12"/>
      <c r="AL1694" s="1"/>
      <c r="AM1694" s="1"/>
      <c r="AN1694" s="1"/>
      <c r="AO1694" s="2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</row>
    <row r="1695" spans="1:60" x14ac:dyDescent="0.25">
      <c r="A1695" s="14"/>
      <c r="B1695" s="14"/>
      <c r="C1695" s="14"/>
      <c r="D1695" s="14"/>
      <c r="E1695" s="14"/>
      <c r="F1695" s="14"/>
      <c r="T1695"/>
      <c r="AK1695" s="12"/>
      <c r="AL1695" s="1"/>
      <c r="AM1695" s="1"/>
      <c r="AN1695" s="1"/>
      <c r="AO1695" s="2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</row>
    <row r="1696" spans="1:60" x14ac:dyDescent="0.25">
      <c r="A1696" s="14"/>
      <c r="B1696" s="14"/>
      <c r="C1696" s="14"/>
      <c r="D1696" s="14"/>
      <c r="E1696" s="14"/>
      <c r="F1696" s="14"/>
      <c r="T1696"/>
      <c r="AK1696" s="12"/>
      <c r="AL1696" s="1"/>
      <c r="AM1696" s="1"/>
      <c r="AN1696" s="1"/>
      <c r="AO1696" s="2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</row>
    <row r="1697" spans="1:60" x14ac:dyDescent="0.25">
      <c r="A1697" s="14"/>
      <c r="B1697" s="14"/>
      <c r="C1697" s="14"/>
      <c r="D1697" s="14"/>
      <c r="E1697" s="14"/>
      <c r="F1697" s="14"/>
      <c r="T1697"/>
      <c r="AK1697" s="12"/>
      <c r="AL1697" s="1"/>
      <c r="AM1697" s="1"/>
      <c r="AN1697" s="1"/>
      <c r="AO1697" s="2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</row>
    <row r="1698" spans="1:60" x14ac:dyDescent="0.25">
      <c r="A1698" s="14"/>
      <c r="B1698" s="14"/>
      <c r="C1698" s="14"/>
      <c r="D1698" s="14"/>
      <c r="E1698" s="14"/>
      <c r="F1698" s="14"/>
      <c r="T1698"/>
      <c r="AK1698" s="12"/>
      <c r="AL1698" s="1"/>
      <c r="AM1698" s="1"/>
      <c r="AN1698" s="1"/>
      <c r="AO1698" s="2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</row>
    <row r="1699" spans="1:60" x14ac:dyDescent="0.25">
      <c r="A1699" s="14"/>
      <c r="B1699" s="14"/>
      <c r="C1699" s="14"/>
      <c r="D1699" s="14"/>
      <c r="E1699" s="14"/>
      <c r="F1699" s="14"/>
      <c r="T1699"/>
      <c r="AK1699" s="12"/>
      <c r="AL1699" s="1"/>
      <c r="AM1699" s="1"/>
      <c r="AN1699" s="1"/>
      <c r="AO1699" s="2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</row>
    <row r="1700" spans="1:60" x14ac:dyDescent="0.25">
      <c r="A1700" s="14"/>
      <c r="B1700" s="14"/>
      <c r="C1700" s="14"/>
      <c r="D1700" s="14"/>
      <c r="E1700" s="14"/>
      <c r="F1700" s="14"/>
      <c r="T1700"/>
      <c r="AK1700" s="12"/>
      <c r="AL1700" s="1"/>
      <c r="AM1700" s="1"/>
      <c r="AN1700" s="1"/>
      <c r="AO1700" s="2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</row>
    <row r="1701" spans="1:60" x14ac:dyDescent="0.25">
      <c r="A1701" s="14"/>
      <c r="B1701" s="14"/>
      <c r="C1701" s="14"/>
      <c r="D1701" s="14"/>
      <c r="E1701" s="14"/>
      <c r="F1701" s="14"/>
      <c r="T1701"/>
      <c r="AK1701" s="12"/>
      <c r="AL1701" s="1"/>
      <c r="AM1701" s="1"/>
      <c r="AN1701" s="1"/>
      <c r="AO1701" s="2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</row>
    <row r="1702" spans="1:60" x14ac:dyDescent="0.25">
      <c r="A1702" s="14"/>
      <c r="B1702" s="14"/>
      <c r="C1702" s="14"/>
      <c r="D1702" s="14"/>
      <c r="E1702" s="14"/>
      <c r="F1702" s="14"/>
      <c r="T1702"/>
      <c r="AK1702" s="12"/>
      <c r="AL1702" s="1"/>
      <c r="AM1702" s="1"/>
      <c r="AN1702" s="1"/>
      <c r="AO1702" s="2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</row>
    <row r="1703" spans="1:60" x14ac:dyDescent="0.25">
      <c r="A1703" s="14"/>
      <c r="B1703" s="14"/>
      <c r="C1703" s="14"/>
      <c r="D1703" s="14"/>
      <c r="E1703" s="14"/>
      <c r="F1703" s="14"/>
      <c r="T1703"/>
      <c r="AK1703" s="12"/>
      <c r="AL1703" s="1"/>
      <c r="AM1703" s="1"/>
      <c r="AN1703" s="1"/>
      <c r="AO1703" s="2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</row>
    <row r="1704" spans="1:60" x14ac:dyDescent="0.25">
      <c r="A1704" s="14"/>
      <c r="B1704" s="14"/>
      <c r="C1704" s="14"/>
      <c r="D1704" s="14"/>
      <c r="E1704" s="14"/>
      <c r="F1704" s="14"/>
      <c r="T1704"/>
      <c r="AK1704" s="12"/>
      <c r="AL1704" s="1"/>
      <c r="AM1704" s="1"/>
      <c r="AN1704" s="1"/>
      <c r="AO1704" s="2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</row>
    <row r="1705" spans="1:60" x14ac:dyDescent="0.25">
      <c r="A1705" s="14"/>
      <c r="B1705" s="14"/>
      <c r="C1705" s="14"/>
      <c r="D1705" s="14"/>
      <c r="E1705" s="14"/>
      <c r="F1705" s="14"/>
      <c r="T1705"/>
      <c r="AK1705" s="12"/>
      <c r="AL1705" s="1"/>
      <c r="AM1705" s="1"/>
      <c r="AN1705" s="1"/>
      <c r="AO1705" s="2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</row>
    <row r="1706" spans="1:60" x14ac:dyDescent="0.25">
      <c r="A1706" s="14"/>
      <c r="B1706" s="14"/>
      <c r="C1706" s="14"/>
      <c r="D1706" s="14"/>
      <c r="E1706" s="14"/>
      <c r="F1706" s="14"/>
      <c r="T1706"/>
      <c r="AK1706" s="12"/>
      <c r="AL1706" s="1"/>
      <c r="AM1706" s="1"/>
      <c r="AN1706" s="1"/>
      <c r="AO1706" s="2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</row>
    <row r="1707" spans="1:60" x14ac:dyDescent="0.25">
      <c r="A1707" s="14"/>
      <c r="B1707" s="14"/>
      <c r="C1707" s="14"/>
      <c r="D1707" s="14"/>
      <c r="E1707" s="14"/>
      <c r="F1707" s="14"/>
      <c r="T1707"/>
      <c r="AK1707" s="12"/>
      <c r="AL1707" s="1"/>
      <c r="AM1707" s="1"/>
      <c r="AN1707" s="1"/>
      <c r="AO1707" s="2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</row>
    <row r="1708" spans="1:60" x14ac:dyDescent="0.25">
      <c r="A1708" s="14"/>
      <c r="B1708" s="14"/>
      <c r="C1708" s="14"/>
      <c r="D1708" s="14"/>
      <c r="E1708" s="14"/>
      <c r="F1708" s="14"/>
      <c r="T1708"/>
      <c r="AK1708" s="12"/>
      <c r="AL1708" s="1"/>
      <c r="AM1708" s="1"/>
      <c r="AN1708" s="1"/>
      <c r="AO1708" s="2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</row>
    <row r="1709" spans="1:60" x14ac:dyDescent="0.25">
      <c r="A1709" s="14"/>
      <c r="B1709" s="14"/>
      <c r="C1709" s="14"/>
      <c r="D1709" s="14"/>
      <c r="E1709" s="14"/>
      <c r="F1709" s="14"/>
      <c r="T1709"/>
      <c r="AK1709" s="12"/>
      <c r="AL1709" s="1"/>
      <c r="AM1709" s="1"/>
      <c r="AN1709" s="1"/>
      <c r="AO1709" s="2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</row>
    <row r="1710" spans="1:60" x14ac:dyDescent="0.25">
      <c r="A1710" s="14"/>
      <c r="B1710" s="14"/>
      <c r="C1710" s="14"/>
      <c r="D1710" s="14"/>
      <c r="E1710" s="14"/>
      <c r="F1710" s="14"/>
      <c r="T1710"/>
      <c r="AK1710" s="12"/>
      <c r="AL1710" s="1"/>
      <c r="AM1710" s="1"/>
      <c r="AN1710" s="1"/>
      <c r="AO1710" s="2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</row>
    <row r="1711" spans="1:60" x14ac:dyDescent="0.25">
      <c r="A1711" s="14"/>
      <c r="B1711" s="14"/>
      <c r="C1711" s="14"/>
      <c r="D1711" s="14"/>
      <c r="E1711" s="14"/>
      <c r="F1711" s="14"/>
      <c r="T1711"/>
      <c r="AK1711" s="12"/>
      <c r="AL1711" s="1"/>
      <c r="AM1711" s="1"/>
      <c r="AN1711" s="1"/>
      <c r="AO1711" s="2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</row>
    <row r="1712" spans="1:60" x14ac:dyDescent="0.25">
      <c r="A1712" s="14"/>
      <c r="B1712" s="14"/>
      <c r="C1712" s="14"/>
      <c r="D1712" s="14"/>
      <c r="E1712" s="14"/>
      <c r="F1712" s="14"/>
      <c r="T1712"/>
      <c r="AK1712" s="12"/>
      <c r="AL1712" s="1"/>
      <c r="AM1712" s="1"/>
      <c r="AN1712" s="1"/>
      <c r="AO1712" s="2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</row>
    <row r="1713" spans="1:60" x14ac:dyDescent="0.25">
      <c r="A1713" s="14"/>
      <c r="B1713" s="14"/>
      <c r="C1713" s="14"/>
      <c r="D1713" s="14"/>
      <c r="E1713" s="14"/>
      <c r="F1713" s="14"/>
      <c r="T1713"/>
      <c r="AK1713" s="12"/>
      <c r="AL1713" s="1"/>
      <c r="AM1713" s="1"/>
      <c r="AN1713" s="1"/>
      <c r="AO1713" s="2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</row>
    <row r="1714" spans="1:60" x14ac:dyDescent="0.25">
      <c r="A1714" s="14"/>
      <c r="B1714" s="14"/>
      <c r="C1714" s="14"/>
      <c r="D1714" s="14"/>
      <c r="E1714" s="14"/>
      <c r="F1714" s="14"/>
      <c r="T1714"/>
      <c r="AK1714" s="12"/>
      <c r="AL1714" s="1"/>
      <c r="AM1714" s="1"/>
      <c r="AN1714" s="1"/>
      <c r="AO1714" s="2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</row>
    <row r="1715" spans="1:60" x14ac:dyDescent="0.25">
      <c r="A1715" s="14"/>
      <c r="B1715" s="14"/>
      <c r="C1715" s="14"/>
      <c r="D1715" s="14"/>
      <c r="E1715" s="14"/>
      <c r="F1715" s="14"/>
      <c r="T1715"/>
      <c r="AK1715" s="12"/>
      <c r="AL1715" s="1"/>
      <c r="AM1715" s="1"/>
      <c r="AN1715" s="1"/>
      <c r="AO1715" s="2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</row>
    <row r="1716" spans="1:60" x14ac:dyDescent="0.25">
      <c r="A1716" s="14"/>
      <c r="B1716" s="14"/>
      <c r="C1716" s="14"/>
      <c r="D1716" s="14"/>
      <c r="E1716" s="14"/>
      <c r="F1716" s="14"/>
      <c r="T1716"/>
      <c r="AK1716" s="12"/>
      <c r="AL1716" s="1"/>
      <c r="AM1716" s="1"/>
      <c r="AN1716" s="1"/>
      <c r="AO1716" s="2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</row>
    <row r="1717" spans="1:60" x14ac:dyDescent="0.25">
      <c r="A1717" s="14"/>
      <c r="B1717" s="14"/>
      <c r="C1717" s="14"/>
      <c r="D1717" s="14"/>
      <c r="E1717" s="14"/>
      <c r="F1717" s="14"/>
      <c r="T1717"/>
      <c r="AK1717" s="12"/>
      <c r="AL1717" s="1"/>
      <c r="AM1717" s="1"/>
      <c r="AN1717" s="1"/>
      <c r="AO1717" s="2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</row>
    <row r="1718" spans="1:60" x14ac:dyDescent="0.25">
      <c r="A1718" s="14"/>
      <c r="B1718" s="14"/>
      <c r="C1718" s="14"/>
      <c r="D1718" s="14"/>
      <c r="E1718" s="14"/>
      <c r="F1718" s="14"/>
      <c r="T1718"/>
      <c r="AK1718" s="12"/>
      <c r="AL1718" s="1"/>
      <c r="AM1718" s="1"/>
      <c r="AN1718" s="1"/>
      <c r="AO1718" s="2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</row>
    <row r="1719" spans="1:60" x14ac:dyDescent="0.25">
      <c r="A1719" s="14"/>
      <c r="B1719" s="14"/>
      <c r="C1719" s="14"/>
      <c r="D1719" s="14"/>
      <c r="E1719" s="14"/>
      <c r="F1719" s="14"/>
      <c r="T1719"/>
      <c r="AK1719" s="12"/>
      <c r="AL1719" s="1"/>
      <c r="AM1719" s="1"/>
      <c r="AN1719" s="1"/>
      <c r="AO1719" s="2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</row>
    <row r="1720" spans="1:60" x14ac:dyDescent="0.25">
      <c r="A1720" s="14"/>
      <c r="B1720" s="14"/>
      <c r="C1720" s="14"/>
      <c r="D1720" s="14"/>
      <c r="E1720" s="14"/>
      <c r="F1720" s="14"/>
      <c r="T1720"/>
      <c r="AK1720" s="12"/>
      <c r="AL1720" s="1"/>
      <c r="AM1720" s="1"/>
      <c r="AN1720" s="1"/>
      <c r="AO1720" s="2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</row>
    <row r="1721" spans="1:60" x14ac:dyDescent="0.25">
      <c r="A1721" s="14"/>
      <c r="B1721" s="14"/>
      <c r="C1721" s="14"/>
      <c r="D1721" s="14"/>
      <c r="E1721" s="14"/>
      <c r="F1721" s="14"/>
      <c r="T1721"/>
      <c r="AK1721" s="12"/>
      <c r="AL1721" s="1"/>
      <c r="AM1721" s="1"/>
      <c r="AN1721" s="1"/>
      <c r="AO1721" s="2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</row>
    <row r="1722" spans="1:60" x14ac:dyDescent="0.25">
      <c r="A1722" s="14"/>
      <c r="B1722" s="14"/>
      <c r="C1722" s="14"/>
      <c r="D1722" s="14"/>
      <c r="E1722" s="14"/>
      <c r="F1722" s="14"/>
      <c r="T1722"/>
      <c r="AK1722" s="12"/>
      <c r="AL1722" s="1"/>
      <c r="AM1722" s="1"/>
      <c r="AN1722" s="1"/>
      <c r="AO1722" s="2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</row>
    <row r="1723" spans="1:60" x14ac:dyDescent="0.25">
      <c r="A1723" s="14"/>
      <c r="B1723" s="14"/>
      <c r="C1723" s="14"/>
      <c r="D1723" s="14"/>
      <c r="E1723" s="14"/>
      <c r="F1723" s="14"/>
      <c r="T1723"/>
      <c r="AK1723" s="12"/>
      <c r="AL1723" s="1"/>
      <c r="AM1723" s="1"/>
      <c r="AN1723" s="1"/>
      <c r="AO1723" s="2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</row>
    <row r="1724" spans="1:60" x14ac:dyDescent="0.25">
      <c r="A1724" s="14"/>
      <c r="B1724" s="14"/>
      <c r="C1724" s="14"/>
      <c r="D1724" s="14"/>
      <c r="E1724" s="14"/>
      <c r="F1724" s="14"/>
      <c r="T1724"/>
      <c r="AK1724" s="12"/>
      <c r="AL1724" s="1"/>
      <c r="AM1724" s="1"/>
      <c r="AN1724" s="1"/>
      <c r="AO1724" s="2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</row>
    <row r="1725" spans="1:60" x14ac:dyDescent="0.25">
      <c r="A1725" s="14"/>
      <c r="B1725" s="14"/>
      <c r="C1725" s="14"/>
      <c r="D1725" s="14"/>
      <c r="E1725" s="14"/>
      <c r="F1725" s="14"/>
      <c r="T1725"/>
      <c r="AK1725" s="12"/>
      <c r="AL1725" s="1"/>
      <c r="AM1725" s="1"/>
      <c r="AN1725" s="1"/>
      <c r="AO1725" s="2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</row>
    <row r="1726" spans="1:60" x14ac:dyDescent="0.25">
      <c r="A1726" s="14"/>
      <c r="B1726" s="14"/>
      <c r="C1726" s="14"/>
      <c r="D1726" s="14"/>
      <c r="E1726" s="14"/>
      <c r="F1726" s="14"/>
      <c r="T1726"/>
      <c r="AK1726" s="12"/>
      <c r="AL1726" s="1"/>
      <c r="AM1726" s="1"/>
      <c r="AN1726" s="1"/>
      <c r="AO1726" s="2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</row>
    <row r="1727" spans="1:60" x14ac:dyDescent="0.25">
      <c r="A1727" s="14"/>
      <c r="B1727" s="14"/>
      <c r="C1727" s="14"/>
      <c r="D1727" s="14"/>
      <c r="E1727" s="14"/>
      <c r="F1727" s="14"/>
      <c r="T1727"/>
      <c r="AK1727" s="12"/>
      <c r="AL1727" s="1"/>
      <c r="AM1727" s="1"/>
      <c r="AN1727" s="1"/>
      <c r="AO1727" s="2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</row>
    <row r="1728" spans="1:60" x14ac:dyDescent="0.25">
      <c r="A1728" s="14"/>
      <c r="B1728" s="14"/>
      <c r="C1728" s="14"/>
      <c r="D1728" s="14"/>
      <c r="E1728" s="14"/>
      <c r="F1728" s="14"/>
      <c r="T1728"/>
      <c r="AK1728" s="12"/>
      <c r="AL1728" s="1"/>
      <c r="AM1728" s="1"/>
      <c r="AN1728" s="1"/>
      <c r="AO1728" s="2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</row>
    <row r="1729" spans="1:60" x14ac:dyDescent="0.25">
      <c r="A1729" s="14"/>
      <c r="B1729" s="14"/>
      <c r="C1729" s="14"/>
      <c r="D1729" s="14"/>
      <c r="E1729" s="14"/>
      <c r="F1729" s="14"/>
      <c r="T1729"/>
      <c r="AK1729" s="12"/>
      <c r="AL1729" s="1"/>
      <c r="AM1729" s="1"/>
      <c r="AN1729" s="1"/>
      <c r="AO1729" s="2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</row>
    <row r="1730" spans="1:60" x14ac:dyDescent="0.25">
      <c r="A1730" s="14"/>
      <c r="B1730" s="14"/>
      <c r="C1730" s="14"/>
      <c r="D1730" s="14"/>
      <c r="E1730" s="14"/>
      <c r="F1730" s="14"/>
      <c r="T1730"/>
      <c r="AK1730" s="12"/>
      <c r="AL1730" s="1"/>
      <c r="AM1730" s="1"/>
      <c r="AN1730" s="1"/>
      <c r="AO1730" s="2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</row>
    <row r="1731" spans="1:60" x14ac:dyDescent="0.25">
      <c r="A1731" s="14"/>
      <c r="B1731" s="14"/>
      <c r="C1731" s="14"/>
      <c r="D1731" s="14"/>
      <c r="E1731" s="14"/>
      <c r="F1731" s="14"/>
      <c r="T1731"/>
      <c r="AK1731" s="12"/>
      <c r="AL1731" s="1"/>
      <c r="AM1731" s="1"/>
      <c r="AN1731" s="1"/>
      <c r="AO1731" s="2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</row>
    <row r="1732" spans="1:60" x14ac:dyDescent="0.25">
      <c r="A1732" s="14"/>
      <c r="B1732" s="14"/>
      <c r="C1732" s="14"/>
      <c r="D1732" s="14"/>
      <c r="E1732" s="14"/>
      <c r="F1732" s="14"/>
      <c r="T1732"/>
      <c r="AK1732" s="12"/>
      <c r="AL1732" s="1"/>
      <c r="AM1732" s="1"/>
      <c r="AN1732" s="1"/>
      <c r="AO1732" s="2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</row>
    <row r="1733" spans="1:60" x14ac:dyDescent="0.25">
      <c r="A1733" s="14"/>
      <c r="B1733" s="14"/>
      <c r="C1733" s="14"/>
      <c r="D1733" s="14"/>
      <c r="E1733" s="14"/>
      <c r="F1733" s="14"/>
      <c r="T1733"/>
      <c r="AK1733" s="12"/>
      <c r="AL1733" s="1"/>
      <c r="AM1733" s="1"/>
      <c r="AN1733" s="1"/>
      <c r="AO1733" s="2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</row>
    <row r="1734" spans="1:60" x14ac:dyDescent="0.25">
      <c r="A1734" s="14"/>
      <c r="B1734" s="14"/>
      <c r="C1734" s="14"/>
      <c r="D1734" s="14"/>
      <c r="E1734" s="14"/>
      <c r="F1734" s="14"/>
      <c r="T1734"/>
      <c r="AK1734" s="12"/>
      <c r="AL1734" s="1"/>
      <c r="AM1734" s="1"/>
      <c r="AN1734" s="1"/>
      <c r="AO1734" s="2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</row>
    <row r="1735" spans="1:60" x14ac:dyDescent="0.25">
      <c r="A1735" s="14"/>
      <c r="B1735" s="14"/>
      <c r="C1735" s="14"/>
      <c r="D1735" s="14"/>
      <c r="E1735" s="14"/>
      <c r="F1735" s="14"/>
      <c r="T1735"/>
      <c r="AK1735" s="12"/>
      <c r="AL1735" s="1"/>
      <c r="AM1735" s="1"/>
      <c r="AN1735" s="1"/>
      <c r="AO1735" s="2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</row>
    <row r="1736" spans="1:60" x14ac:dyDescent="0.25">
      <c r="A1736" s="14"/>
      <c r="B1736" s="14"/>
      <c r="C1736" s="14"/>
      <c r="D1736" s="14"/>
      <c r="E1736" s="14"/>
      <c r="F1736" s="14"/>
      <c r="T1736"/>
      <c r="AK1736" s="12"/>
      <c r="AL1736" s="1"/>
      <c r="AM1736" s="1"/>
      <c r="AN1736" s="1"/>
      <c r="AO1736" s="2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</row>
    <row r="1737" spans="1:60" x14ac:dyDescent="0.25">
      <c r="A1737" s="14"/>
      <c r="B1737" s="14"/>
      <c r="C1737" s="14"/>
      <c r="D1737" s="14"/>
      <c r="E1737" s="14"/>
      <c r="F1737" s="14"/>
      <c r="T1737"/>
      <c r="AK1737" s="12"/>
      <c r="AL1737" s="1"/>
      <c r="AM1737" s="1"/>
      <c r="AN1737" s="1"/>
      <c r="AO1737" s="2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</row>
    <row r="1738" spans="1:60" x14ac:dyDescent="0.25">
      <c r="A1738" s="14"/>
      <c r="B1738" s="14"/>
      <c r="C1738" s="14"/>
      <c r="D1738" s="14"/>
      <c r="E1738" s="14"/>
      <c r="F1738" s="14"/>
      <c r="T1738"/>
      <c r="AK1738" s="12"/>
      <c r="AL1738" s="1"/>
      <c r="AM1738" s="1"/>
      <c r="AN1738" s="1"/>
      <c r="AO1738" s="2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</row>
    <row r="1739" spans="1:60" x14ac:dyDescent="0.25">
      <c r="A1739" s="14"/>
      <c r="B1739" s="14"/>
      <c r="C1739" s="14"/>
      <c r="D1739" s="14"/>
      <c r="E1739" s="14"/>
      <c r="F1739" s="14"/>
      <c r="T1739"/>
      <c r="AK1739" s="12"/>
      <c r="AL1739" s="1"/>
      <c r="AM1739" s="1"/>
      <c r="AN1739" s="1"/>
      <c r="AO1739" s="2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</row>
    <row r="1740" spans="1:60" x14ac:dyDescent="0.25">
      <c r="A1740" s="14"/>
      <c r="B1740" s="14"/>
      <c r="C1740" s="14"/>
      <c r="D1740" s="14"/>
      <c r="E1740" s="14"/>
      <c r="F1740" s="14"/>
      <c r="T1740"/>
      <c r="AK1740" s="12"/>
      <c r="AL1740" s="1"/>
      <c r="AM1740" s="1"/>
      <c r="AN1740" s="1"/>
      <c r="AO1740" s="2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</row>
    <row r="1741" spans="1:60" x14ac:dyDescent="0.25">
      <c r="A1741" s="14"/>
      <c r="B1741" s="14"/>
      <c r="C1741" s="14"/>
      <c r="D1741" s="14"/>
      <c r="E1741" s="14"/>
      <c r="F1741" s="14"/>
      <c r="T1741"/>
      <c r="AK1741" s="12"/>
      <c r="AL1741" s="1"/>
      <c r="AM1741" s="1"/>
      <c r="AN1741" s="1"/>
      <c r="AO1741" s="2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</row>
    <row r="1742" spans="1:60" x14ac:dyDescent="0.25">
      <c r="A1742" s="14"/>
      <c r="B1742" s="14"/>
      <c r="C1742" s="14"/>
      <c r="D1742" s="14"/>
      <c r="E1742" s="14"/>
      <c r="F1742" s="14"/>
      <c r="T1742"/>
      <c r="AK1742" s="12"/>
      <c r="AL1742" s="1"/>
      <c r="AM1742" s="1"/>
      <c r="AN1742" s="1"/>
      <c r="AO1742" s="2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</row>
    <row r="1743" spans="1:60" x14ac:dyDescent="0.25">
      <c r="A1743" s="14"/>
      <c r="B1743" s="14"/>
      <c r="C1743" s="14"/>
      <c r="D1743" s="14"/>
      <c r="E1743" s="14"/>
      <c r="F1743" s="14"/>
      <c r="T1743"/>
      <c r="AK1743" s="12"/>
      <c r="AL1743" s="1"/>
      <c r="AM1743" s="1"/>
      <c r="AN1743" s="1"/>
      <c r="AO1743" s="2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</row>
    <row r="1744" spans="1:60" x14ac:dyDescent="0.25">
      <c r="A1744" s="14"/>
      <c r="B1744" s="14"/>
      <c r="C1744" s="14"/>
      <c r="D1744" s="14"/>
      <c r="E1744" s="14"/>
      <c r="F1744" s="14"/>
      <c r="T1744"/>
      <c r="AK1744" s="12"/>
      <c r="AL1744" s="1"/>
      <c r="AM1744" s="1"/>
      <c r="AN1744" s="1"/>
      <c r="AO1744" s="2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</row>
    <row r="1745" spans="1:60" x14ac:dyDescent="0.25">
      <c r="A1745" s="14"/>
      <c r="B1745" s="14"/>
      <c r="C1745" s="14"/>
      <c r="D1745" s="14"/>
      <c r="E1745" s="14"/>
      <c r="F1745" s="14"/>
      <c r="T1745"/>
      <c r="AK1745" s="12"/>
      <c r="AL1745" s="1"/>
      <c r="AM1745" s="1"/>
      <c r="AN1745" s="1"/>
      <c r="AO1745" s="2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</row>
    <row r="1746" spans="1:60" x14ac:dyDescent="0.25">
      <c r="A1746" s="14"/>
      <c r="B1746" s="14"/>
      <c r="C1746" s="14"/>
      <c r="D1746" s="14"/>
      <c r="E1746" s="14"/>
      <c r="F1746" s="14"/>
      <c r="T1746"/>
      <c r="AK1746" s="12"/>
      <c r="AL1746" s="1"/>
      <c r="AM1746" s="1"/>
      <c r="AN1746" s="1"/>
      <c r="AO1746" s="2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</row>
    <row r="1747" spans="1:60" x14ac:dyDescent="0.25">
      <c r="A1747" s="14"/>
      <c r="B1747" s="14"/>
      <c r="C1747" s="14"/>
      <c r="D1747" s="14"/>
      <c r="E1747" s="14"/>
      <c r="F1747" s="14"/>
      <c r="T1747"/>
      <c r="AK1747" s="12"/>
      <c r="AL1747" s="1"/>
      <c r="AM1747" s="1"/>
      <c r="AN1747" s="1"/>
      <c r="AO1747" s="2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</row>
    <row r="1748" spans="1:60" x14ac:dyDescent="0.25">
      <c r="A1748" s="14"/>
      <c r="B1748" s="14"/>
      <c r="C1748" s="14"/>
      <c r="D1748" s="14"/>
      <c r="E1748" s="14"/>
      <c r="F1748" s="14"/>
      <c r="T1748"/>
      <c r="AK1748" s="12"/>
      <c r="AL1748" s="1"/>
      <c r="AM1748" s="1"/>
      <c r="AN1748" s="1"/>
      <c r="AO1748" s="2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</row>
    <row r="1749" spans="1:60" x14ac:dyDescent="0.25">
      <c r="A1749" s="14"/>
      <c r="B1749" s="14"/>
      <c r="C1749" s="14"/>
      <c r="D1749" s="14"/>
      <c r="E1749" s="14"/>
      <c r="F1749" s="14"/>
      <c r="T1749"/>
      <c r="AK1749" s="12"/>
      <c r="AL1749" s="1"/>
      <c r="AM1749" s="1"/>
      <c r="AN1749" s="1"/>
      <c r="AO1749" s="2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</row>
    <row r="1750" spans="1:60" x14ac:dyDescent="0.25">
      <c r="A1750" s="14"/>
      <c r="B1750" s="14"/>
      <c r="C1750" s="14"/>
      <c r="D1750" s="14"/>
      <c r="E1750" s="14"/>
      <c r="F1750" s="14"/>
      <c r="T1750"/>
      <c r="AK1750" s="12"/>
      <c r="AL1750" s="1"/>
      <c r="AM1750" s="1"/>
      <c r="AN1750" s="1"/>
      <c r="AO1750" s="2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</row>
    <row r="1751" spans="1:60" x14ac:dyDescent="0.25">
      <c r="A1751" s="14"/>
      <c r="B1751" s="14"/>
      <c r="C1751" s="14"/>
      <c r="D1751" s="14"/>
      <c r="E1751" s="14"/>
      <c r="F1751" s="14"/>
      <c r="T1751"/>
      <c r="AK1751" s="12"/>
      <c r="AL1751" s="1"/>
      <c r="AM1751" s="1"/>
      <c r="AN1751" s="1"/>
      <c r="AO1751" s="2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</row>
    <row r="1752" spans="1:60" x14ac:dyDescent="0.25">
      <c r="A1752" s="14"/>
      <c r="B1752" s="14"/>
      <c r="C1752" s="14"/>
      <c r="D1752" s="14"/>
      <c r="E1752" s="14"/>
      <c r="F1752" s="14"/>
      <c r="T1752"/>
      <c r="AK1752" s="12"/>
      <c r="AL1752" s="1"/>
      <c r="AM1752" s="1"/>
      <c r="AN1752" s="1"/>
      <c r="AO1752" s="2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</row>
    <row r="1753" spans="1:60" x14ac:dyDescent="0.25">
      <c r="A1753" s="14"/>
      <c r="B1753" s="14"/>
      <c r="C1753" s="14"/>
      <c r="D1753" s="14"/>
      <c r="E1753" s="14"/>
      <c r="F1753" s="14"/>
      <c r="T1753"/>
      <c r="AK1753" s="12"/>
      <c r="AL1753" s="1"/>
      <c r="AM1753" s="1"/>
      <c r="AN1753" s="1"/>
      <c r="AO1753" s="2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</row>
    <row r="1754" spans="1:60" x14ac:dyDescent="0.25">
      <c r="A1754" s="14"/>
      <c r="B1754" s="14"/>
      <c r="C1754" s="14"/>
      <c r="D1754" s="14"/>
      <c r="E1754" s="14"/>
      <c r="F1754" s="14"/>
      <c r="T1754"/>
      <c r="AK1754" s="12"/>
      <c r="AL1754" s="1"/>
      <c r="AM1754" s="1"/>
      <c r="AN1754" s="1"/>
      <c r="AO1754" s="2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</row>
    <row r="1755" spans="1:60" x14ac:dyDescent="0.25">
      <c r="A1755" s="14"/>
      <c r="B1755" s="14"/>
      <c r="C1755" s="14"/>
      <c r="D1755" s="14"/>
      <c r="E1755" s="14"/>
      <c r="F1755" s="14"/>
      <c r="T1755"/>
      <c r="AK1755" s="12"/>
      <c r="AL1755" s="1"/>
      <c r="AM1755" s="1"/>
      <c r="AN1755" s="1"/>
      <c r="AO1755" s="2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</row>
    <row r="1756" spans="1:60" x14ac:dyDescent="0.25">
      <c r="A1756" s="14"/>
      <c r="B1756" s="14"/>
      <c r="C1756" s="14"/>
      <c r="D1756" s="14"/>
      <c r="E1756" s="14"/>
      <c r="F1756" s="14"/>
      <c r="T1756"/>
      <c r="AK1756" s="12"/>
      <c r="AL1756" s="1"/>
      <c r="AM1756" s="1"/>
      <c r="AN1756" s="1"/>
      <c r="AO1756" s="2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</row>
    <row r="1757" spans="1:60" x14ac:dyDescent="0.25">
      <c r="A1757" s="14"/>
      <c r="B1757" s="14"/>
      <c r="C1757" s="14"/>
      <c r="D1757" s="14"/>
      <c r="E1757" s="14"/>
      <c r="F1757" s="14"/>
      <c r="T1757"/>
      <c r="AK1757" s="12"/>
      <c r="AL1757" s="1"/>
      <c r="AM1757" s="1"/>
      <c r="AN1757" s="1"/>
      <c r="AO1757" s="2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</row>
    <row r="1758" spans="1:60" x14ac:dyDescent="0.25">
      <c r="A1758" s="14"/>
      <c r="B1758" s="14"/>
      <c r="C1758" s="14"/>
      <c r="D1758" s="14"/>
      <c r="E1758" s="14"/>
      <c r="F1758" s="14"/>
      <c r="T1758"/>
      <c r="AK1758" s="12"/>
      <c r="AL1758" s="1"/>
      <c r="AM1758" s="1"/>
      <c r="AN1758" s="1"/>
      <c r="AO1758" s="2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</row>
    <row r="1759" spans="1:60" x14ac:dyDescent="0.25">
      <c r="A1759" s="14"/>
      <c r="B1759" s="14"/>
      <c r="C1759" s="14"/>
      <c r="D1759" s="14"/>
      <c r="E1759" s="14"/>
      <c r="F1759" s="14"/>
      <c r="T1759"/>
      <c r="AK1759" s="12"/>
      <c r="AL1759" s="1"/>
      <c r="AM1759" s="1"/>
      <c r="AN1759" s="1"/>
      <c r="AO1759" s="2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</row>
    <row r="1760" spans="1:60" x14ac:dyDescent="0.25">
      <c r="A1760" s="14"/>
      <c r="B1760" s="14"/>
      <c r="C1760" s="14"/>
      <c r="D1760" s="14"/>
      <c r="E1760" s="14"/>
      <c r="F1760" s="14"/>
      <c r="T1760"/>
      <c r="AK1760" s="12"/>
      <c r="AL1760" s="1"/>
      <c r="AM1760" s="1"/>
      <c r="AN1760" s="1"/>
      <c r="AO1760" s="2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</row>
    <row r="1761" spans="1:60" x14ac:dyDescent="0.25">
      <c r="A1761" s="14"/>
      <c r="B1761" s="14"/>
      <c r="C1761" s="14"/>
      <c r="D1761" s="14"/>
      <c r="E1761" s="14"/>
      <c r="F1761" s="14"/>
      <c r="T1761"/>
      <c r="AK1761" s="12"/>
      <c r="AL1761" s="1"/>
      <c r="AM1761" s="1"/>
      <c r="AN1761" s="1"/>
      <c r="AO1761" s="2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</row>
    <row r="1762" spans="1:60" x14ac:dyDescent="0.25">
      <c r="A1762" s="14"/>
      <c r="B1762" s="14"/>
      <c r="C1762" s="14"/>
      <c r="D1762" s="14"/>
      <c r="E1762" s="14"/>
      <c r="F1762" s="14"/>
      <c r="T1762"/>
      <c r="AK1762" s="12"/>
      <c r="AL1762" s="1"/>
      <c r="AM1762" s="1"/>
      <c r="AN1762" s="1"/>
      <c r="AO1762" s="2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</row>
    <row r="1763" spans="1:60" x14ac:dyDescent="0.25">
      <c r="A1763" s="14"/>
      <c r="B1763" s="14"/>
      <c r="C1763" s="14"/>
      <c r="D1763" s="14"/>
      <c r="E1763" s="14"/>
      <c r="F1763" s="14"/>
      <c r="T1763"/>
      <c r="AK1763" s="12"/>
      <c r="AL1763" s="1"/>
      <c r="AM1763" s="1"/>
      <c r="AN1763" s="1"/>
      <c r="AO1763" s="2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</row>
    <row r="1764" spans="1:60" x14ac:dyDescent="0.25">
      <c r="A1764" s="14"/>
      <c r="B1764" s="14"/>
      <c r="C1764" s="14"/>
      <c r="D1764" s="14"/>
      <c r="E1764" s="14"/>
      <c r="F1764" s="14"/>
      <c r="T1764"/>
      <c r="AK1764" s="12"/>
      <c r="AL1764" s="1"/>
      <c r="AM1764" s="1"/>
      <c r="AN1764" s="1"/>
      <c r="AO1764" s="2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</row>
    <row r="1765" spans="1:60" x14ac:dyDescent="0.25">
      <c r="A1765" s="14"/>
      <c r="B1765" s="14"/>
      <c r="C1765" s="14"/>
      <c r="D1765" s="14"/>
      <c r="E1765" s="14"/>
      <c r="F1765" s="14"/>
      <c r="T1765"/>
      <c r="AK1765" s="12"/>
      <c r="AL1765" s="1"/>
      <c r="AM1765" s="1"/>
      <c r="AN1765" s="1"/>
      <c r="AO1765" s="2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</row>
    <row r="1766" spans="1:60" x14ac:dyDescent="0.25">
      <c r="A1766" s="14"/>
      <c r="B1766" s="14"/>
      <c r="C1766" s="14"/>
      <c r="D1766" s="14"/>
      <c r="E1766" s="14"/>
      <c r="F1766" s="14"/>
      <c r="T1766"/>
      <c r="AK1766" s="12"/>
      <c r="AL1766" s="1"/>
      <c r="AM1766" s="1"/>
      <c r="AN1766" s="1"/>
      <c r="AO1766" s="2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</row>
    <row r="1767" spans="1:60" x14ac:dyDescent="0.25">
      <c r="A1767" s="14"/>
      <c r="B1767" s="14"/>
      <c r="C1767" s="14"/>
      <c r="D1767" s="14"/>
      <c r="E1767" s="14"/>
      <c r="F1767" s="14"/>
      <c r="T1767"/>
      <c r="AK1767" s="12"/>
      <c r="AL1767" s="1"/>
      <c r="AM1767" s="1"/>
      <c r="AN1767" s="1"/>
      <c r="AO1767" s="2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</row>
    <row r="1768" spans="1:60" x14ac:dyDescent="0.25">
      <c r="A1768" s="14"/>
      <c r="B1768" s="14"/>
      <c r="C1768" s="14"/>
      <c r="D1768" s="14"/>
      <c r="E1768" s="14"/>
      <c r="F1768" s="14"/>
      <c r="T1768"/>
      <c r="AK1768" s="12"/>
      <c r="AL1768" s="1"/>
      <c r="AM1768" s="1"/>
      <c r="AN1768" s="1"/>
      <c r="AO1768" s="2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</row>
    <row r="1769" spans="1:60" x14ac:dyDescent="0.25">
      <c r="A1769" s="14"/>
      <c r="B1769" s="14"/>
      <c r="C1769" s="14"/>
      <c r="D1769" s="14"/>
      <c r="E1769" s="14"/>
      <c r="F1769" s="14"/>
      <c r="T1769"/>
      <c r="AK1769" s="12"/>
      <c r="AL1769" s="1"/>
      <c r="AM1769" s="1"/>
      <c r="AN1769" s="1"/>
      <c r="AO1769" s="2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</row>
    <row r="1770" spans="1:60" x14ac:dyDescent="0.25">
      <c r="A1770" s="14"/>
      <c r="B1770" s="14"/>
      <c r="C1770" s="14"/>
      <c r="D1770" s="14"/>
      <c r="E1770" s="14"/>
      <c r="F1770" s="14"/>
      <c r="T1770"/>
      <c r="AK1770" s="12"/>
      <c r="AL1770" s="1"/>
      <c r="AM1770" s="1"/>
      <c r="AN1770" s="1"/>
      <c r="AO1770" s="2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</row>
    <row r="1771" spans="1:60" x14ac:dyDescent="0.25">
      <c r="A1771" s="14"/>
      <c r="B1771" s="14"/>
      <c r="C1771" s="14"/>
      <c r="D1771" s="14"/>
      <c r="E1771" s="14"/>
      <c r="F1771" s="14"/>
      <c r="T1771"/>
      <c r="AK1771" s="12"/>
      <c r="AL1771" s="1"/>
      <c r="AM1771" s="1"/>
      <c r="AN1771" s="1"/>
      <c r="AO1771" s="2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</row>
    <row r="1772" spans="1:60" x14ac:dyDescent="0.25">
      <c r="A1772" s="14"/>
      <c r="B1772" s="14"/>
      <c r="C1772" s="14"/>
      <c r="D1772" s="14"/>
      <c r="E1772" s="14"/>
      <c r="F1772" s="14"/>
      <c r="T1772"/>
      <c r="AK1772" s="12"/>
      <c r="AL1772" s="1"/>
      <c r="AM1772" s="1"/>
      <c r="AN1772" s="1"/>
      <c r="AO1772" s="2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</row>
    <row r="1773" spans="1:60" x14ac:dyDescent="0.25">
      <c r="A1773" s="14"/>
      <c r="B1773" s="14"/>
      <c r="C1773" s="14"/>
      <c r="D1773" s="14"/>
      <c r="E1773" s="14"/>
      <c r="F1773" s="14"/>
      <c r="T1773"/>
      <c r="AK1773" s="12"/>
      <c r="AL1773" s="1"/>
      <c r="AM1773" s="1"/>
      <c r="AN1773" s="1"/>
      <c r="AO1773" s="2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</row>
    <row r="1774" spans="1:60" x14ac:dyDescent="0.25">
      <c r="A1774" s="14"/>
      <c r="B1774" s="14"/>
      <c r="C1774" s="14"/>
      <c r="D1774" s="14"/>
      <c r="E1774" s="14"/>
      <c r="F1774" s="14"/>
      <c r="T1774"/>
      <c r="AK1774" s="12"/>
      <c r="AL1774" s="1"/>
      <c r="AM1774" s="1"/>
      <c r="AN1774" s="1"/>
      <c r="AO1774" s="2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</row>
    <row r="1775" spans="1:60" x14ac:dyDescent="0.25">
      <c r="A1775" s="14"/>
      <c r="B1775" s="14"/>
      <c r="C1775" s="14"/>
      <c r="D1775" s="14"/>
      <c r="E1775" s="14"/>
      <c r="F1775" s="14"/>
      <c r="T1775"/>
      <c r="AK1775" s="12"/>
      <c r="AL1775" s="1"/>
      <c r="AM1775" s="1"/>
      <c r="AN1775" s="1"/>
      <c r="AO1775" s="2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</row>
    <row r="1776" spans="1:60" x14ac:dyDescent="0.25">
      <c r="A1776" s="14"/>
      <c r="B1776" s="14"/>
      <c r="C1776" s="14"/>
      <c r="D1776" s="14"/>
      <c r="E1776" s="14"/>
      <c r="F1776" s="14"/>
      <c r="T1776"/>
      <c r="AK1776" s="12"/>
      <c r="AL1776" s="1"/>
      <c r="AM1776" s="1"/>
      <c r="AN1776" s="1"/>
      <c r="AO1776" s="2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</row>
    <row r="1777" spans="1:60" x14ac:dyDescent="0.25">
      <c r="A1777" s="14"/>
      <c r="B1777" s="14"/>
      <c r="C1777" s="14"/>
      <c r="D1777" s="14"/>
      <c r="E1777" s="14"/>
      <c r="F1777" s="14"/>
      <c r="T1777"/>
      <c r="AK1777" s="12"/>
      <c r="AL1777" s="1"/>
      <c r="AM1777" s="1"/>
      <c r="AN1777" s="1"/>
      <c r="AO1777" s="2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</row>
    <row r="1778" spans="1:60" x14ac:dyDescent="0.25">
      <c r="A1778" s="14"/>
      <c r="B1778" s="14"/>
      <c r="C1778" s="14"/>
      <c r="D1778" s="14"/>
      <c r="E1778" s="14"/>
      <c r="F1778" s="14"/>
      <c r="T1778"/>
      <c r="AK1778" s="12"/>
      <c r="AL1778" s="1"/>
      <c r="AM1778" s="1"/>
      <c r="AN1778" s="1"/>
      <c r="AO1778" s="2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</row>
    <row r="1779" spans="1:60" x14ac:dyDescent="0.25">
      <c r="A1779" s="14"/>
      <c r="B1779" s="14"/>
      <c r="C1779" s="14"/>
      <c r="D1779" s="14"/>
      <c r="E1779" s="14"/>
      <c r="F1779" s="14"/>
      <c r="T1779"/>
      <c r="AK1779" s="12"/>
      <c r="AL1779" s="1"/>
      <c r="AM1779" s="1"/>
      <c r="AN1779" s="1"/>
      <c r="AO1779" s="2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</row>
    <row r="1780" spans="1:60" x14ac:dyDescent="0.25">
      <c r="A1780" s="14"/>
      <c r="B1780" s="14"/>
      <c r="C1780" s="14"/>
      <c r="D1780" s="14"/>
      <c r="E1780" s="14"/>
      <c r="F1780" s="14"/>
      <c r="T1780"/>
      <c r="AK1780" s="12"/>
      <c r="AL1780" s="1"/>
      <c r="AM1780" s="1"/>
      <c r="AN1780" s="1"/>
      <c r="AO1780" s="2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</row>
    <row r="1781" spans="1:60" x14ac:dyDescent="0.25">
      <c r="A1781" s="14"/>
      <c r="B1781" s="14"/>
      <c r="C1781" s="14"/>
      <c r="D1781" s="14"/>
      <c r="E1781" s="14"/>
      <c r="F1781" s="14"/>
      <c r="T1781"/>
      <c r="AK1781" s="12"/>
      <c r="AL1781" s="1"/>
      <c r="AM1781" s="1"/>
      <c r="AN1781" s="1"/>
      <c r="AO1781" s="2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</row>
    <row r="1782" spans="1:60" x14ac:dyDescent="0.25">
      <c r="A1782" s="14"/>
      <c r="B1782" s="14"/>
      <c r="C1782" s="14"/>
      <c r="D1782" s="14"/>
      <c r="E1782" s="14"/>
      <c r="F1782" s="14"/>
      <c r="T1782"/>
      <c r="AK1782" s="12"/>
      <c r="AL1782" s="1"/>
      <c r="AM1782" s="1"/>
      <c r="AN1782" s="1"/>
      <c r="AO1782" s="2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</row>
    <row r="1783" spans="1:60" x14ac:dyDescent="0.25">
      <c r="A1783" s="14"/>
      <c r="B1783" s="14"/>
      <c r="C1783" s="14"/>
      <c r="D1783" s="14"/>
      <c r="E1783" s="14"/>
      <c r="F1783" s="14"/>
      <c r="T1783"/>
      <c r="AK1783" s="12"/>
      <c r="AL1783" s="1"/>
      <c r="AM1783" s="1"/>
      <c r="AN1783" s="1"/>
      <c r="AO1783" s="2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</row>
    <row r="1784" spans="1:60" x14ac:dyDescent="0.25">
      <c r="A1784" s="14"/>
      <c r="B1784" s="14"/>
      <c r="C1784" s="14"/>
      <c r="D1784" s="14"/>
      <c r="E1784" s="14"/>
      <c r="F1784" s="14"/>
      <c r="T1784"/>
      <c r="AK1784" s="12"/>
      <c r="AL1784" s="1"/>
      <c r="AM1784" s="1"/>
      <c r="AN1784" s="1"/>
      <c r="AO1784" s="2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</row>
    <row r="1785" spans="1:60" x14ac:dyDescent="0.25">
      <c r="A1785" s="14"/>
      <c r="B1785" s="14"/>
      <c r="C1785" s="14"/>
      <c r="D1785" s="14"/>
      <c r="E1785" s="14"/>
      <c r="F1785" s="14"/>
      <c r="T1785"/>
      <c r="AK1785" s="12"/>
      <c r="AL1785" s="1"/>
      <c r="AM1785" s="1"/>
      <c r="AN1785" s="1"/>
      <c r="AO1785" s="2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</row>
    <row r="1786" spans="1:60" x14ac:dyDescent="0.25">
      <c r="A1786" s="14"/>
      <c r="B1786" s="14"/>
      <c r="C1786" s="14"/>
      <c r="D1786" s="14"/>
      <c r="E1786" s="14"/>
      <c r="F1786" s="14"/>
      <c r="T1786"/>
      <c r="AK1786" s="12"/>
      <c r="AL1786" s="1"/>
      <c r="AM1786" s="1"/>
      <c r="AN1786" s="1"/>
      <c r="AO1786" s="2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</row>
    <row r="1787" spans="1:60" x14ac:dyDescent="0.25">
      <c r="A1787" s="14"/>
      <c r="B1787" s="14"/>
      <c r="C1787" s="14"/>
      <c r="D1787" s="14"/>
      <c r="E1787" s="14"/>
      <c r="F1787" s="14"/>
      <c r="T1787"/>
      <c r="AK1787" s="12"/>
      <c r="AL1787" s="1"/>
      <c r="AM1787" s="1"/>
      <c r="AN1787" s="1"/>
      <c r="AO1787" s="2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</row>
    <row r="1788" spans="1:60" x14ac:dyDescent="0.25">
      <c r="A1788" s="14"/>
      <c r="B1788" s="14"/>
      <c r="C1788" s="14"/>
      <c r="D1788" s="14"/>
      <c r="E1788" s="14"/>
      <c r="F1788" s="14"/>
      <c r="T1788"/>
      <c r="AK1788" s="12"/>
      <c r="AL1788" s="1"/>
      <c r="AM1788" s="1"/>
      <c r="AN1788" s="1"/>
      <c r="AO1788" s="2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</row>
    <row r="1789" spans="1:60" x14ac:dyDescent="0.25">
      <c r="A1789" s="14"/>
      <c r="B1789" s="14"/>
      <c r="C1789" s="14"/>
      <c r="D1789" s="14"/>
      <c r="E1789" s="14"/>
      <c r="F1789" s="14"/>
      <c r="T1789"/>
      <c r="AK1789" s="12"/>
      <c r="AL1789" s="1"/>
      <c r="AM1789" s="1"/>
      <c r="AN1789" s="1"/>
      <c r="AO1789" s="2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</row>
    <row r="1790" spans="1:60" x14ac:dyDescent="0.25">
      <c r="A1790" s="14"/>
      <c r="B1790" s="14"/>
      <c r="C1790" s="14"/>
      <c r="D1790" s="14"/>
      <c r="E1790" s="14"/>
      <c r="F1790" s="14"/>
      <c r="T1790"/>
      <c r="AK1790" s="12"/>
      <c r="AL1790" s="1"/>
      <c r="AM1790" s="1"/>
      <c r="AN1790" s="1"/>
      <c r="AO1790" s="2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</row>
    <row r="1791" spans="1:60" x14ac:dyDescent="0.25">
      <c r="A1791" s="14"/>
      <c r="B1791" s="14"/>
      <c r="C1791" s="14"/>
      <c r="D1791" s="14"/>
      <c r="E1791" s="14"/>
      <c r="F1791" s="14"/>
      <c r="T1791"/>
      <c r="AK1791" s="12"/>
      <c r="AL1791" s="1"/>
      <c r="AM1791" s="1"/>
      <c r="AN1791" s="1"/>
      <c r="AO1791" s="2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</row>
    <row r="1792" spans="1:60" x14ac:dyDescent="0.25">
      <c r="A1792" s="14"/>
      <c r="B1792" s="14"/>
      <c r="C1792" s="14"/>
      <c r="D1792" s="14"/>
      <c r="E1792" s="14"/>
      <c r="F1792" s="14"/>
      <c r="T1792"/>
      <c r="AK1792" s="12"/>
      <c r="AL1792" s="1"/>
      <c r="AM1792" s="1"/>
      <c r="AN1792" s="1"/>
      <c r="AO1792" s="2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</row>
    <row r="1793" spans="1:60" x14ac:dyDescent="0.25">
      <c r="A1793" s="14"/>
      <c r="B1793" s="14"/>
      <c r="C1793" s="14"/>
      <c r="D1793" s="14"/>
      <c r="E1793" s="14"/>
      <c r="F1793" s="14"/>
      <c r="T1793"/>
      <c r="AK1793" s="12"/>
      <c r="AL1793" s="1"/>
      <c r="AM1793" s="1"/>
      <c r="AN1793" s="1"/>
      <c r="AO1793" s="2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</row>
    <row r="1794" spans="1:60" x14ac:dyDescent="0.25">
      <c r="A1794" s="14"/>
      <c r="B1794" s="14"/>
      <c r="C1794" s="14"/>
      <c r="D1794" s="14"/>
      <c r="E1794" s="14"/>
      <c r="F1794" s="14"/>
      <c r="T1794"/>
      <c r="AK1794" s="12"/>
      <c r="AL1794" s="1"/>
      <c r="AM1794" s="1"/>
      <c r="AN1794" s="1"/>
      <c r="AO1794" s="2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</row>
    <row r="1795" spans="1:60" x14ac:dyDescent="0.25">
      <c r="A1795" s="14"/>
      <c r="B1795" s="14"/>
      <c r="C1795" s="14"/>
      <c r="D1795" s="14"/>
      <c r="E1795" s="14"/>
      <c r="F1795" s="14"/>
      <c r="T1795"/>
      <c r="AK1795" s="12"/>
      <c r="AL1795" s="1"/>
      <c r="AM1795" s="1"/>
      <c r="AN1795" s="1"/>
      <c r="AO1795" s="2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</row>
    <row r="1796" spans="1:60" x14ac:dyDescent="0.25">
      <c r="A1796" s="14"/>
      <c r="B1796" s="14"/>
      <c r="C1796" s="14"/>
      <c r="D1796" s="14"/>
      <c r="E1796" s="14"/>
      <c r="F1796" s="14"/>
      <c r="T1796"/>
      <c r="AK1796" s="12"/>
      <c r="AL1796" s="1"/>
      <c r="AM1796" s="1"/>
      <c r="AN1796" s="1"/>
      <c r="AO1796" s="2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</row>
    <row r="1797" spans="1:60" x14ac:dyDescent="0.25">
      <c r="A1797" s="14"/>
      <c r="B1797" s="14"/>
      <c r="C1797" s="14"/>
      <c r="D1797" s="14"/>
      <c r="E1797" s="14"/>
      <c r="F1797" s="14"/>
      <c r="T1797"/>
      <c r="AK1797" s="12"/>
      <c r="AL1797" s="1"/>
      <c r="AM1797" s="1"/>
      <c r="AN1797" s="1"/>
      <c r="AO1797" s="2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</row>
    <row r="1798" spans="1:60" x14ac:dyDescent="0.25">
      <c r="A1798" s="14"/>
      <c r="B1798" s="14"/>
      <c r="C1798" s="14"/>
      <c r="D1798" s="14"/>
      <c r="E1798" s="14"/>
      <c r="F1798" s="14"/>
      <c r="T1798"/>
      <c r="AK1798" s="12"/>
      <c r="AL1798" s="1"/>
      <c r="AM1798" s="1"/>
      <c r="AN1798" s="1"/>
      <c r="AO1798" s="2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</row>
    <row r="1799" spans="1:60" x14ac:dyDescent="0.25">
      <c r="A1799" s="14"/>
      <c r="B1799" s="14"/>
      <c r="C1799" s="14"/>
      <c r="D1799" s="14"/>
      <c r="E1799" s="14"/>
      <c r="F1799" s="14"/>
      <c r="T1799"/>
      <c r="AK1799" s="12"/>
      <c r="AL1799" s="1"/>
      <c r="AM1799" s="1"/>
      <c r="AN1799" s="1"/>
      <c r="AO1799" s="2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</row>
    <row r="1800" spans="1:60" x14ac:dyDescent="0.25">
      <c r="A1800" s="14"/>
      <c r="B1800" s="14"/>
      <c r="C1800" s="14"/>
      <c r="D1800" s="14"/>
      <c r="E1800" s="14"/>
      <c r="F1800" s="14"/>
      <c r="T1800"/>
      <c r="AK1800" s="12"/>
      <c r="AL1800" s="1"/>
      <c r="AM1800" s="1"/>
      <c r="AN1800" s="1"/>
      <c r="AO1800" s="2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</row>
    <row r="1801" spans="1:60" x14ac:dyDescent="0.25">
      <c r="A1801" s="14"/>
      <c r="B1801" s="14"/>
      <c r="C1801" s="14"/>
      <c r="D1801" s="14"/>
      <c r="E1801" s="14"/>
      <c r="F1801" s="14"/>
      <c r="T1801"/>
      <c r="AK1801" s="12"/>
      <c r="AL1801" s="1"/>
      <c r="AM1801" s="1"/>
      <c r="AN1801" s="1"/>
      <c r="AO1801" s="2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</row>
    <row r="1802" spans="1:60" x14ac:dyDescent="0.25">
      <c r="A1802" s="14"/>
      <c r="B1802" s="14"/>
      <c r="C1802" s="14"/>
      <c r="D1802" s="14"/>
      <c r="E1802" s="14"/>
      <c r="F1802" s="14"/>
      <c r="T1802"/>
      <c r="AK1802" s="12"/>
      <c r="AL1802" s="1"/>
      <c r="AM1802" s="1"/>
      <c r="AN1802" s="1"/>
      <c r="AO1802" s="2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</row>
    <row r="1803" spans="1:60" x14ac:dyDescent="0.25">
      <c r="A1803" s="14"/>
      <c r="B1803" s="14"/>
      <c r="C1803" s="14"/>
      <c r="D1803" s="14"/>
      <c r="E1803" s="14"/>
      <c r="F1803" s="14"/>
      <c r="T1803"/>
      <c r="AK1803" s="12"/>
      <c r="AL1803" s="1"/>
      <c r="AM1803" s="1"/>
      <c r="AN1803" s="1"/>
      <c r="AO1803" s="2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</row>
    <row r="1804" spans="1:60" x14ac:dyDescent="0.25">
      <c r="A1804" s="14"/>
      <c r="B1804" s="14"/>
      <c r="C1804" s="14"/>
      <c r="D1804" s="14"/>
      <c r="E1804" s="14"/>
      <c r="F1804" s="14"/>
      <c r="T1804"/>
      <c r="AK1804" s="12"/>
      <c r="AL1804" s="1"/>
      <c r="AM1804" s="1"/>
      <c r="AN1804" s="1"/>
      <c r="AO1804" s="2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</row>
    <row r="1805" spans="1:60" x14ac:dyDescent="0.25">
      <c r="A1805" s="14"/>
      <c r="B1805" s="14"/>
      <c r="C1805" s="14"/>
      <c r="D1805" s="14"/>
      <c r="E1805" s="14"/>
      <c r="F1805" s="14"/>
      <c r="T1805"/>
      <c r="AK1805" s="12"/>
      <c r="AL1805" s="1"/>
      <c r="AM1805" s="1"/>
      <c r="AN1805" s="1"/>
      <c r="AO1805" s="2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</row>
    <row r="1806" spans="1:60" x14ac:dyDescent="0.25">
      <c r="A1806" s="14"/>
      <c r="B1806" s="14"/>
      <c r="C1806" s="14"/>
      <c r="D1806" s="14"/>
      <c r="E1806" s="14"/>
      <c r="F1806" s="14"/>
      <c r="T1806"/>
      <c r="AK1806" s="12"/>
      <c r="AL1806" s="1"/>
      <c r="AM1806" s="1"/>
      <c r="AN1806" s="1"/>
      <c r="AO1806" s="2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</row>
    <row r="1807" spans="1:60" x14ac:dyDescent="0.25">
      <c r="A1807" s="14"/>
      <c r="B1807" s="14"/>
      <c r="C1807" s="14"/>
      <c r="D1807" s="14"/>
      <c r="E1807" s="14"/>
      <c r="F1807" s="14"/>
      <c r="T1807"/>
      <c r="AK1807" s="12"/>
      <c r="AL1807" s="1"/>
      <c r="AM1807" s="1"/>
      <c r="AN1807" s="1"/>
      <c r="AO1807" s="2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</row>
    <row r="1808" spans="1:60" x14ac:dyDescent="0.25">
      <c r="A1808" s="14"/>
      <c r="B1808" s="14"/>
      <c r="C1808" s="14"/>
      <c r="D1808" s="14"/>
      <c r="E1808" s="14"/>
      <c r="F1808" s="14"/>
      <c r="T1808"/>
      <c r="AK1808" s="12"/>
      <c r="AL1808" s="1"/>
      <c r="AM1808" s="1"/>
      <c r="AN1808" s="1"/>
      <c r="AO1808" s="2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</row>
    <row r="1809" spans="1:60" x14ac:dyDescent="0.25">
      <c r="A1809" s="14"/>
      <c r="B1809" s="14"/>
      <c r="C1809" s="14"/>
      <c r="D1809" s="14"/>
      <c r="E1809" s="14"/>
      <c r="F1809" s="14"/>
      <c r="T1809"/>
      <c r="AK1809" s="12"/>
      <c r="AL1809" s="1"/>
      <c r="AM1809" s="1"/>
      <c r="AN1809" s="1"/>
      <c r="AO1809" s="2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</row>
    <row r="1810" spans="1:60" x14ac:dyDescent="0.25">
      <c r="A1810" s="14"/>
      <c r="B1810" s="14"/>
      <c r="C1810" s="14"/>
      <c r="D1810" s="14"/>
      <c r="E1810" s="14"/>
      <c r="F1810" s="14"/>
      <c r="T1810"/>
      <c r="AK1810" s="12"/>
      <c r="AL1810" s="1"/>
      <c r="AM1810" s="1"/>
      <c r="AN1810" s="1"/>
      <c r="AO1810" s="2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</row>
    <row r="1811" spans="1:60" x14ac:dyDescent="0.25">
      <c r="A1811" s="14"/>
      <c r="B1811" s="14"/>
      <c r="C1811" s="14"/>
      <c r="D1811" s="14"/>
      <c r="E1811" s="14"/>
      <c r="F1811" s="14"/>
      <c r="T1811"/>
      <c r="AK1811" s="12"/>
      <c r="AL1811" s="1"/>
      <c r="AM1811" s="1"/>
      <c r="AN1811" s="1"/>
      <c r="AO1811" s="2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</row>
    <row r="1812" spans="1:60" x14ac:dyDescent="0.25">
      <c r="A1812" s="14"/>
      <c r="B1812" s="14"/>
      <c r="C1812" s="14"/>
      <c r="D1812" s="14"/>
      <c r="E1812" s="14"/>
      <c r="F1812" s="14"/>
      <c r="T1812"/>
      <c r="AK1812" s="12"/>
      <c r="AL1812" s="1"/>
      <c r="AM1812" s="1"/>
      <c r="AN1812" s="1"/>
      <c r="AO1812" s="2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</row>
    <row r="1813" spans="1:60" x14ac:dyDescent="0.25">
      <c r="A1813" s="14"/>
      <c r="B1813" s="14"/>
      <c r="C1813" s="14"/>
      <c r="D1813" s="14"/>
      <c r="E1813" s="14"/>
      <c r="F1813" s="14"/>
      <c r="T1813"/>
      <c r="AK1813" s="12"/>
      <c r="AL1813" s="1"/>
      <c r="AM1813" s="1"/>
      <c r="AN1813" s="1"/>
      <c r="AO1813" s="2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</row>
    <row r="1814" spans="1:60" x14ac:dyDescent="0.25">
      <c r="A1814" s="14"/>
      <c r="B1814" s="14"/>
      <c r="C1814" s="14"/>
      <c r="D1814" s="14"/>
      <c r="E1814" s="14"/>
      <c r="F1814" s="14"/>
      <c r="T1814"/>
      <c r="AK1814" s="12"/>
      <c r="AL1814" s="1"/>
      <c r="AM1814" s="1"/>
      <c r="AN1814" s="1"/>
      <c r="AO1814" s="2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</row>
    <row r="1815" spans="1:60" x14ac:dyDescent="0.25">
      <c r="A1815" s="14"/>
      <c r="B1815" s="14"/>
      <c r="C1815" s="14"/>
      <c r="D1815" s="14"/>
      <c r="E1815" s="14"/>
      <c r="F1815" s="14"/>
      <c r="T1815"/>
      <c r="AK1815" s="12"/>
      <c r="AL1815" s="1"/>
      <c r="AM1815" s="1"/>
      <c r="AN1815" s="1"/>
      <c r="AO1815" s="2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</row>
    <row r="1816" spans="1:60" x14ac:dyDescent="0.25">
      <c r="A1816" s="14"/>
      <c r="B1816" s="14"/>
      <c r="C1816" s="14"/>
      <c r="D1816" s="14"/>
      <c r="E1816" s="14"/>
      <c r="F1816" s="14"/>
      <c r="T1816"/>
      <c r="AK1816" s="12"/>
      <c r="AL1816" s="1"/>
      <c r="AM1816" s="1"/>
      <c r="AN1816" s="1"/>
      <c r="AO1816" s="2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</row>
    <row r="1817" spans="1:60" x14ac:dyDescent="0.25">
      <c r="A1817" s="14"/>
      <c r="B1817" s="14"/>
      <c r="C1817" s="14"/>
      <c r="D1817" s="14"/>
      <c r="E1817" s="14"/>
      <c r="F1817" s="14"/>
      <c r="T1817"/>
      <c r="AK1817" s="12"/>
      <c r="AL1817" s="1"/>
      <c r="AM1817" s="1"/>
      <c r="AN1817" s="1"/>
      <c r="AO1817" s="2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</row>
    <row r="1818" spans="1:60" x14ac:dyDescent="0.25">
      <c r="A1818" s="14"/>
      <c r="B1818" s="14"/>
      <c r="C1818" s="14"/>
      <c r="D1818" s="14"/>
      <c r="E1818" s="14"/>
      <c r="F1818" s="14"/>
      <c r="T1818"/>
      <c r="AK1818" s="12"/>
      <c r="AL1818" s="1"/>
      <c r="AM1818" s="1"/>
      <c r="AN1818" s="1"/>
      <c r="AO1818" s="2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</row>
    <row r="1819" spans="1:60" x14ac:dyDescent="0.25">
      <c r="A1819" s="14"/>
      <c r="B1819" s="14"/>
      <c r="C1819" s="14"/>
      <c r="D1819" s="14"/>
      <c r="E1819" s="14"/>
      <c r="F1819" s="14"/>
      <c r="T1819"/>
      <c r="AK1819" s="12"/>
      <c r="AL1819" s="1"/>
      <c r="AM1819" s="1"/>
      <c r="AN1819" s="1"/>
      <c r="AO1819" s="2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</row>
    <row r="1820" spans="1:60" x14ac:dyDescent="0.25">
      <c r="A1820" s="14"/>
      <c r="B1820" s="14"/>
      <c r="C1820" s="14"/>
      <c r="D1820" s="14"/>
      <c r="E1820" s="14"/>
      <c r="F1820" s="14"/>
      <c r="T1820"/>
      <c r="AK1820" s="12"/>
      <c r="AL1820" s="1"/>
      <c r="AM1820" s="1"/>
      <c r="AN1820" s="1"/>
      <c r="AO1820" s="2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</row>
    <row r="1821" spans="1:60" x14ac:dyDescent="0.25">
      <c r="A1821" s="14"/>
      <c r="B1821" s="14"/>
      <c r="C1821" s="14"/>
      <c r="D1821" s="14"/>
      <c r="E1821" s="14"/>
      <c r="F1821" s="14"/>
      <c r="T1821"/>
      <c r="AK1821" s="12"/>
      <c r="AL1821" s="1"/>
      <c r="AM1821" s="1"/>
      <c r="AN1821" s="1"/>
      <c r="AO1821" s="2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</row>
    <row r="1822" spans="1:60" x14ac:dyDescent="0.25">
      <c r="A1822" s="14"/>
      <c r="B1822" s="14"/>
      <c r="C1822" s="14"/>
      <c r="D1822" s="14"/>
      <c r="E1822" s="14"/>
      <c r="F1822" s="14"/>
      <c r="T1822"/>
      <c r="AK1822" s="12"/>
      <c r="AL1822" s="1"/>
      <c r="AM1822" s="1"/>
      <c r="AN1822" s="1"/>
      <c r="AO1822" s="2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</row>
    <row r="1823" spans="1:60" x14ac:dyDescent="0.25">
      <c r="A1823" s="14"/>
      <c r="B1823" s="14"/>
      <c r="C1823" s="14"/>
      <c r="D1823" s="14"/>
      <c r="E1823" s="14"/>
      <c r="F1823" s="14"/>
      <c r="T1823"/>
      <c r="AK1823" s="12"/>
      <c r="AL1823" s="1"/>
      <c r="AM1823" s="1"/>
      <c r="AN1823" s="1"/>
      <c r="AO1823" s="2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</row>
    <row r="1824" spans="1:60" x14ac:dyDescent="0.25">
      <c r="A1824" s="14"/>
      <c r="B1824" s="14"/>
      <c r="C1824" s="14"/>
      <c r="D1824" s="14"/>
      <c r="E1824" s="14"/>
      <c r="F1824" s="14"/>
      <c r="T1824"/>
      <c r="AK1824" s="12"/>
      <c r="AL1824" s="1"/>
      <c r="AM1824" s="1"/>
      <c r="AN1824" s="1"/>
      <c r="AO1824" s="2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</row>
    <row r="1825" spans="1:60" x14ac:dyDescent="0.25">
      <c r="A1825" s="14"/>
      <c r="B1825" s="14"/>
      <c r="C1825" s="14"/>
      <c r="D1825" s="14"/>
      <c r="E1825" s="14"/>
      <c r="F1825" s="14"/>
      <c r="T1825"/>
      <c r="AK1825" s="12"/>
      <c r="AL1825" s="1"/>
      <c r="AM1825" s="1"/>
      <c r="AN1825" s="1"/>
      <c r="AO1825" s="2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</row>
    <row r="1826" spans="1:60" x14ac:dyDescent="0.25">
      <c r="A1826" s="14"/>
      <c r="B1826" s="14"/>
      <c r="C1826" s="14"/>
      <c r="D1826" s="14"/>
      <c r="E1826" s="14"/>
      <c r="F1826" s="14"/>
      <c r="T1826"/>
      <c r="AK1826" s="12"/>
      <c r="AL1826" s="1"/>
      <c r="AM1826" s="1"/>
      <c r="AN1826" s="1"/>
      <c r="AO1826" s="2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</row>
    <row r="1827" spans="1:60" x14ac:dyDescent="0.25">
      <c r="A1827" s="14"/>
      <c r="B1827" s="14"/>
      <c r="C1827" s="14"/>
      <c r="D1827" s="14"/>
      <c r="E1827" s="14"/>
      <c r="F1827" s="14"/>
      <c r="T1827"/>
      <c r="AK1827" s="12"/>
      <c r="AL1827" s="1"/>
      <c r="AM1827" s="1"/>
      <c r="AN1827" s="1"/>
      <c r="AO1827" s="2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</row>
    <row r="1828" spans="1:60" x14ac:dyDescent="0.25">
      <c r="A1828" s="14"/>
      <c r="B1828" s="14"/>
      <c r="C1828" s="14"/>
      <c r="D1828" s="14"/>
      <c r="E1828" s="14"/>
      <c r="F1828" s="14"/>
      <c r="T1828"/>
      <c r="AK1828" s="12"/>
      <c r="AL1828" s="1"/>
      <c r="AM1828" s="1"/>
      <c r="AN1828" s="1"/>
      <c r="AO1828" s="2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</row>
    <row r="1829" spans="1:60" x14ac:dyDescent="0.25">
      <c r="A1829" s="14"/>
      <c r="B1829" s="14"/>
      <c r="C1829" s="14"/>
      <c r="D1829" s="14"/>
      <c r="E1829" s="14"/>
      <c r="F1829" s="14"/>
      <c r="T1829"/>
      <c r="AK1829" s="12"/>
      <c r="AL1829" s="1"/>
      <c r="AM1829" s="1"/>
      <c r="AN1829" s="1"/>
      <c r="AO1829" s="2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</row>
    <row r="1830" spans="1:60" x14ac:dyDescent="0.25">
      <c r="A1830" s="14"/>
      <c r="B1830" s="14"/>
      <c r="C1830" s="14"/>
      <c r="D1830" s="14"/>
      <c r="E1830" s="14"/>
      <c r="F1830" s="14"/>
      <c r="T1830"/>
      <c r="AK1830" s="12"/>
      <c r="AL1830" s="1"/>
      <c r="AM1830" s="1"/>
      <c r="AN1830" s="1"/>
      <c r="AO1830" s="2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</row>
    <row r="1831" spans="1:60" x14ac:dyDescent="0.25">
      <c r="A1831" s="14"/>
      <c r="B1831" s="14"/>
      <c r="C1831" s="14"/>
      <c r="D1831" s="14"/>
      <c r="E1831" s="14"/>
      <c r="F1831" s="14"/>
      <c r="T1831"/>
      <c r="AK1831" s="12"/>
      <c r="AL1831" s="1"/>
      <c r="AM1831" s="1"/>
      <c r="AN1831" s="1"/>
      <c r="AO1831" s="2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</row>
    <row r="1832" spans="1:60" x14ac:dyDescent="0.25">
      <c r="A1832" s="14"/>
      <c r="B1832" s="14"/>
      <c r="C1832" s="14"/>
      <c r="D1832" s="14"/>
      <c r="E1832" s="14"/>
      <c r="F1832" s="14"/>
      <c r="T1832"/>
      <c r="AK1832" s="12"/>
      <c r="AL1832" s="1"/>
      <c r="AM1832" s="1"/>
      <c r="AN1832" s="1"/>
      <c r="AO1832" s="2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</row>
    <row r="1833" spans="1:60" x14ac:dyDescent="0.25">
      <c r="A1833" s="14"/>
      <c r="B1833" s="14"/>
      <c r="C1833" s="14"/>
      <c r="D1833" s="14"/>
      <c r="E1833" s="14"/>
      <c r="F1833" s="14"/>
      <c r="T1833"/>
      <c r="AK1833" s="12"/>
      <c r="AL1833" s="1"/>
      <c r="AM1833" s="1"/>
      <c r="AN1833" s="1"/>
      <c r="AO1833" s="2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</row>
    <row r="1834" spans="1:60" x14ac:dyDescent="0.25">
      <c r="A1834" s="14"/>
      <c r="B1834" s="14"/>
      <c r="C1834" s="14"/>
      <c r="D1834" s="14"/>
      <c r="E1834" s="14"/>
      <c r="F1834" s="14"/>
      <c r="T1834"/>
      <c r="AK1834" s="12"/>
      <c r="AL1834" s="1"/>
      <c r="AM1834" s="1"/>
      <c r="AN1834" s="1"/>
      <c r="AO1834" s="2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</row>
    <row r="1835" spans="1:60" x14ac:dyDescent="0.25">
      <c r="A1835" s="14"/>
      <c r="B1835" s="14"/>
      <c r="C1835" s="14"/>
      <c r="D1835" s="14"/>
      <c r="E1835" s="14"/>
      <c r="F1835" s="14"/>
      <c r="T1835"/>
      <c r="AK1835" s="12"/>
      <c r="AL1835" s="1"/>
      <c r="AM1835" s="1"/>
      <c r="AN1835" s="1"/>
      <c r="AO1835" s="2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</row>
    <row r="1836" spans="1:60" x14ac:dyDescent="0.25">
      <c r="A1836" s="14"/>
      <c r="B1836" s="14"/>
      <c r="C1836" s="14"/>
      <c r="D1836" s="14"/>
      <c r="E1836" s="14"/>
      <c r="F1836" s="14"/>
      <c r="T1836"/>
      <c r="AK1836" s="12"/>
      <c r="AL1836" s="1"/>
      <c r="AM1836" s="1"/>
      <c r="AN1836" s="1"/>
      <c r="AO1836" s="2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</row>
    <row r="1837" spans="1:60" x14ac:dyDescent="0.25">
      <c r="A1837" s="14"/>
      <c r="B1837" s="14"/>
      <c r="C1837" s="14"/>
      <c r="D1837" s="14"/>
      <c r="E1837" s="14"/>
      <c r="F1837" s="14"/>
      <c r="T1837"/>
      <c r="AK1837" s="12"/>
      <c r="AL1837" s="1"/>
      <c r="AM1837" s="1"/>
      <c r="AN1837" s="1"/>
      <c r="AO1837" s="2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</row>
    <row r="1838" spans="1:60" x14ac:dyDescent="0.25">
      <c r="A1838" s="14"/>
      <c r="B1838" s="14"/>
      <c r="C1838" s="14"/>
      <c r="D1838" s="14"/>
      <c r="E1838" s="14"/>
      <c r="F1838" s="14"/>
      <c r="T1838"/>
      <c r="AK1838" s="12"/>
      <c r="AL1838" s="1"/>
      <c r="AM1838" s="1"/>
      <c r="AN1838" s="1"/>
      <c r="AO1838" s="2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</row>
    <row r="1839" spans="1:60" x14ac:dyDescent="0.25">
      <c r="A1839" s="14"/>
      <c r="B1839" s="14"/>
      <c r="C1839" s="14"/>
      <c r="D1839" s="14"/>
      <c r="E1839" s="14"/>
      <c r="F1839" s="14"/>
      <c r="T1839"/>
      <c r="AK1839" s="12"/>
      <c r="AL1839" s="1"/>
      <c r="AM1839" s="1"/>
      <c r="AN1839" s="1"/>
      <c r="AO1839" s="2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</row>
    <row r="1840" spans="1:60" x14ac:dyDescent="0.25">
      <c r="A1840" s="14"/>
      <c r="B1840" s="14"/>
      <c r="C1840" s="14"/>
      <c r="D1840" s="14"/>
      <c r="E1840" s="14"/>
      <c r="F1840" s="14"/>
      <c r="T1840"/>
      <c r="AK1840" s="12"/>
      <c r="AL1840" s="1"/>
      <c r="AM1840" s="1"/>
      <c r="AN1840" s="1"/>
      <c r="AO1840" s="2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</row>
    <row r="1841" spans="1:58" x14ac:dyDescent="0.25">
      <c r="A1841" s="14"/>
      <c r="B1841" s="14"/>
      <c r="C1841" s="14"/>
      <c r="D1841" s="14"/>
      <c r="E1841" s="14"/>
      <c r="F1841" s="14"/>
      <c r="T1841"/>
      <c r="AK1841" s="12"/>
      <c r="AL1841" s="1"/>
      <c r="AM1841" s="1"/>
      <c r="AN1841" s="1"/>
      <c r="AO1841" s="2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</row>
    <row r="1842" spans="1:58" x14ac:dyDescent="0.25">
      <c r="A1842" s="14"/>
      <c r="B1842" s="14"/>
      <c r="C1842" s="14"/>
      <c r="D1842" s="14"/>
      <c r="E1842" s="14"/>
      <c r="F1842" s="14"/>
      <c r="T1842"/>
      <c r="AK1842" s="12"/>
      <c r="AL1842" s="1"/>
      <c r="AM1842" s="1"/>
      <c r="AN1842" s="1"/>
      <c r="AO1842" s="2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</row>
    <row r="1843" spans="1:58" x14ac:dyDescent="0.25">
      <c r="A1843" s="14"/>
      <c r="B1843" s="14"/>
      <c r="C1843" s="14"/>
      <c r="D1843" s="14"/>
      <c r="E1843" s="14"/>
      <c r="F1843" s="14"/>
      <c r="T1843"/>
      <c r="AK1843" s="12"/>
      <c r="AL1843" s="1"/>
      <c r="AM1843" s="1"/>
      <c r="AN1843" s="1"/>
      <c r="AO1843" s="2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</row>
    <row r="1844" spans="1:58" x14ac:dyDescent="0.25">
      <c r="A1844" s="14"/>
      <c r="B1844" s="14"/>
      <c r="C1844" s="14"/>
      <c r="D1844" s="14"/>
      <c r="E1844" s="14"/>
      <c r="F1844" s="14"/>
      <c r="T1844"/>
      <c r="AK1844" s="12"/>
      <c r="AL1844" s="1"/>
      <c r="AM1844" s="1"/>
      <c r="AN1844" s="1"/>
      <c r="AO1844" s="2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</row>
    <row r="1845" spans="1:58" x14ac:dyDescent="0.25">
      <c r="A1845" s="14"/>
      <c r="B1845" s="14"/>
      <c r="C1845" s="14"/>
      <c r="D1845" s="14"/>
      <c r="E1845" s="14"/>
      <c r="F1845" s="14"/>
      <c r="T1845"/>
      <c r="AK1845" s="12"/>
      <c r="AL1845" s="1"/>
      <c r="AM1845" s="1"/>
      <c r="AN1845" s="1"/>
      <c r="AO1845" s="2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</row>
    <row r="1846" spans="1:58" x14ac:dyDescent="0.25">
      <c r="A1846" s="14"/>
      <c r="B1846" s="14"/>
      <c r="C1846" s="14"/>
      <c r="D1846" s="14"/>
      <c r="E1846" s="14"/>
      <c r="F1846" s="14"/>
      <c r="T1846"/>
      <c r="AK1846" s="12"/>
      <c r="AL1846" s="1"/>
      <c r="AM1846" s="1"/>
      <c r="AN1846" s="1"/>
      <c r="AO1846" s="2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</row>
    <row r="1847" spans="1:58" x14ac:dyDescent="0.25">
      <c r="A1847" s="14"/>
      <c r="B1847" s="14"/>
      <c r="C1847" s="14"/>
      <c r="D1847" s="14"/>
      <c r="E1847" s="14"/>
      <c r="F1847" s="14"/>
      <c r="T1847"/>
      <c r="AK1847" s="12"/>
      <c r="AL1847" s="1"/>
      <c r="AM1847" s="1"/>
      <c r="AN1847" s="1"/>
      <c r="AO1847" s="2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</row>
    <row r="1848" spans="1:58" x14ac:dyDescent="0.25">
      <c r="A1848" s="14"/>
      <c r="B1848" s="14"/>
      <c r="C1848" s="14"/>
      <c r="D1848" s="14"/>
      <c r="E1848" s="14"/>
      <c r="F1848" s="14"/>
      <c r="T1848"/>
      <c r="AK1848" s="12"/>
      <c r="AL1848" s="1"/>
      <c r="AM1848" s="1"/>
      <c r="AN1848" s="1"/>
      <c r="AO1848" s="2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</row>
    <row r="1849" spans="1:58" x14ac:dyDescent="0.25">
      <c r="A1849" s="14"/>
      <c r="B1849" s="14"/>
      <c r="C1849" s="14"/>
      <c r="D1849" s="14"/>
      <c r="E1849" s="14"/>
      <c r="F1849" s="14"/>
      <c r="T1849"/>
      <c r="AK1849" s="12"/>
      <c r="AL1849" s="1"/>
      <c r="AM1849" s="1"/>
      <c r="AN1849" s="1"/>
      <c r="AO1849" s="2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</row>
    <row r="1850" spans="1:58" x14ac:dyDescent="0.25">
      <c r="A1850" s="14"/>
      <c r="B1850" s="14"/>
      <c r="C1850" s="14"/>
      <c r="D1850" s="14"/>
      <c r="E1850" s="14"/>
      <c r="F1850" s="14"/>
      <c r="T1850"/>
      <c r="AK1850" s="12"/>
      <c r="AL1850" s="1"/>
      <c r="AM1850" s="1"/>
      <c r="AN1850" s="1"/>
      <c r="AO1850" s="2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</row>
    <row r="1851" spans="1:58" x14ac:dyDescent="0.25">
      <c r="A1851" s="14"/>
      <c r="B1851" s="14"/>
      <c r="C1851" s="14"/>
      <c r="D1851" s="14"/>
      <c r="E1851" s="14"/>
      <c r="F1851" s="14"/>
      <c r="T1851"/>
      <c r="AK1851" s="12"/>
      <c r="AL1851" s="1"/>
      <c r="AM1851" s="1"/>
      <c r="AN1851" s="1"/>
      <c r="AO1851" s="2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</row>
    <row r="1852" spans="1:58" x14ac:dyDescent="0.25">
      <c r="A1852" s="14"/>
      <c r="B1852" s="14"/>
      <c r="C1852" s="14"/>
      <c r="D1852" s="14"/>
      <c r="E1852" s="14"/>
      <c r="F1852" s="14"/>
      <c r="T1852"/>
      <c r="AK1852" s="12"/>
      <c r="AL1852" s="1"/>
      <c r="AM1852" s="1"/>
      <c r="AN1852" s="1"/>
      <c r="AO1852" s="2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</row>
    <row r="1853" spans="1:58" x14ac:dyDescent="0.25">
      <c r="A1853" s="14"/>
      <c r="B1853" s="14"/>
      <c r="C1853" s="14"/>
      <c r="D1853" s="14"/>
      <c r="E1853" s="14"/>
      <c r="F1853" s="14"/>
      <c r="T1853"/>
      <c r="AK1853" s="12"/>
      <c r="AL1853" s="1"/>
      <c r="AM1853" s="1"/>
      <c r="AN1853" s="1"/>
      <c r="AO1853" s="2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</row>
    <row r="1854" spans="1:58" x14ac:dyDescent="0.25">
      <c r="A1854" s="14"/>
      <c r="B1854" s="14"/>
      <c r="C1854" s="14"/>
      <c r="D1854" s="14"/>
      <c r="E1854" s="14"/>
      <c r="F1854" s="14"/>
      <c r="T1854"/>
      <c r="AK1854" s="12"/>
      <c r="AL1854" s="1"/>
      <c r="AM1854" s="1"/>
      <c r="AN1854" s="1"/>
      <c r="AO1854" s="2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</row>
    <row r="1855" spans="1:58" x14ac:dyDescent="0.25">
      <c r="A1855" s="14"/>
      <c r="B1855" s="14"/>
      <c r="C1855" s="14"/>
      <c r="D1855" s="14"/>
      <c r="E1855" s="14"/>
      <c r="F1855" s="14"/>
      <c r="T1855"/>
      <c r="AK1855" s="12"/>
      <c r="AL1855" s="1"/>
      <c r="AM1855" s="1"/>
      <c r="AN1855" s="1"/>
      <c r="AO1855" s="2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</row>
    <row r="1856" spans="1:58" x14ac:dyDescent="0.25">
      <c r="A1856" s="14"/>
      <c r="B1856" s="14"/>
      <c r="C1856" s="14"/>
      <c r="D1856" s="14"/>
      <c r="E1856" s="14"/>
      <c r="F1856" s="14"/>
      <c r="T1856"/>
      <c r="AK1856" s="12"/>
      <c r="AL1856" s="1"/>
      <c r="AM1856" s="1"/>
      <c r="AN1856" s="1"/>
      <c r="AO1856" s="2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</row>
    <row r="1857" spans="1:58" x14ac:dyDescent="0.25">
      <c r="A1857" s="14"/>
      <c r="B1857" s="14"/>
      <c r="C1857" s="14"/>
      <c r="D1857" s="14"/>
      <c r="E1857" s="14"/>
      <c r="F1857" s="14"/>
      <c r="T1857"/>
      <c r="AK1857" s="12"/>
      <c r="AL1857" s="1"/>
      <c r="AM1857" s="1"/>
      <c r="AN1857" s="1"/>
      <c r="AO1857" s="2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</row>
    <row r="1858" spans="1:58" x14ac:dyDescent="0.25">
      <c r="A1858" s="14"/>
      <c r="B1858" s="14"/>
      <c r="C1858" s="14"/>
      <c r="D1858" s="14"/>
      <c r="E1858" s="14"/>
      <c r="F1858" s="14"/>
      <c r="T1858"/>
      <c r="AK1858" s="12"/>
      <c r="AL1858" s="1"/>
      <c r="AM1858" s="1"/>
      <c r="AN1858" s="1"/>
      <c r="AO1858" s="2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</row>
    <row r="1859" spans="1:58" x14ac:dyDescent="0.25">
      <c r="A1859" s="14"/>
      <c r="B1859" s="14"/>
      <c r="C1859" s="14"/>
      <c r="D1859" s="14"/>
      <c r="E1859" s="14"/>
      <c r="F1859" s="14"/>
      <c r="T1859"/>
      <c r="AK1859" s="12"/>
      <c r="AL1859" s="1"/>
      <c r="AM1859" s="1"/>
      <c r="AN1859" s="1"/>
      <c r="AO1859" s="2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</row>
    <row r="1860" spans="1:58" x14ac:dyDescent="0.25">
      <c r="A1860" s="14"/>
      <c r="B1860" s="14"/>
      <c r="C1860" s="14"/>
      <c r="D1860" s="14"/>
      <c r="E1860" s="14"/>
      <c r="F1860" s="14"/>
      <c r="T1860"/>
      <c r="AK1860" s="12"/>
      <c r="AL1860" s="1"/>
      <c r="AM1860" s="1"/>
      <c r="AN1860" s="1"/>
      <c r="AO1860" s="2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</row>
    <row r="1861" spans="1:58" x14ac:dyDescent="0.25">
      <c r="A1861" s="14"/>
      <c r="B1861" s="14"/>
      <c r="C1861" s="14"/>
      <c r="D1861" s="14"/>
      <c r="E1861" s="14"/>
      <c r="F1861" s="14"/>
      <c r="T1861"/>
      <c r="AK1861" s="12"/>
      <c r="AL1861" s="1"/>
      <c r="AM1861" s="1"/>
      <c r="AN1861" s="1"/>
      <c r="AO1861" s="2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</row>
    <row r="1862" spans="1:58" x14ac:dyDescent="0.25">
      <c r="A1862" s="14"/>
      <c r="B1862" s="14"/>
      <c r="C1862" s="14"/>
      <c r="D1862" s="14"/>
      <c r="E1862" s="14"/>
      <c r="F1862" s="14"/>
      <c r="T1862"/>
      <c r="AK1862" s="12"/>
      <c r="AL1862" s="1"/>
      <c r="AM1862" s="1"/>
      <c r="AN1862" s="1"/>
      <c r="AO1862" s="2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</row>
    <row r="1863" spans="1:58" x14ac:dyDescent="0.25">
      <c r="A1863" s="14"/>
      <c r="B1863" s="14"/>
      <c r="C1863" s="14"/>
      <c r="D1863" s="14"/>
      <c r="E1863" s="14"/>
      <c r="F1863" s="14"/>
      <c r="T1863"/>
      <c r="AK1863" s="12"/>
      <c r="AL1863" s="1"/>
      <c r="AM1863" s="1"/>
      <c r="AN1863" s="1"/>
      <c r="AO1863" s="2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</row>
    <row r="1864" spans="1:58" x14ac:dyDescent="0.25">
      <c r="A1864" s="14"/>
      <c r="B1864" s="14"/>
      <c r="C1864" s="14"/>
      <c r="D1864" s="14"/>
      <c r="E1864" s="14"/>
      <c r="F1864" s="14"/>
      <c r="T1864"/>
      <c r="AK1864" s="12"/>
      <c r="AL1864" s="1"/>
      <c r="AM1864" s="1"/>
      <c r="AN1864" s="1"/>
      <c r="AO1864" s="2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</row>
    <row r="1865" spans="1:58" x14ac:dyDescent="0.25">
      <c r="A1865" s="14"/>
      <c r="B1865" s="14"/>
      <c r="C1865" s="14"/>
      <c r="D1865" s="14"/>
      <c r="E1865" s="14"/>
      <c r="F1865" s="14"/>
      <c r="T1865"/>
      <c r="AK1865" s="12"/>
      <c r="AL1865" s="1"/>
      <c r="AM1865" s="1"/>
      <c r="AN1865" s="1"/>
      <c r="AO1865" s="2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</row>
    <row r="1866" spans="1:58" x14ac:dyDescent="0.25">
      <c r="A1866" s="14"/>
      <c r="B1866" s="14"/>
      <c r="C1866" s="14"/>
      <c r="D1866" s="14"/>
      <c r="E1866" s="14"/>
      <c r="F1866" s="14"/>
      <c r="T1866"/>
      <c r="AK1866" s="12"/>
      <c r="AL1866" s="1"/>
      <c r="AM1866" s="1"/>
      <c r="AN1866" s="1"/>
      <c r="AO1866" s="2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</row>
    <row r="1867" spans="1:58" x14ac:dyDescent="0.25">
      <c r="A1867" s="14"/>
      <c r="B1867" s="14"/>
      <c r="C1867" s="14"/>
      <c r="D1867" s="14"/>
      <c r="E1867" s="14"/>
      <c r="F1867" s="14"/>
      <c r="T1867"/>
      <c r="AK1867" s="12"/>
      <c r="AL1867" s="1"/>
      <c r="AM1867" s="1"/>
      <c r="AN1867" s="1"/>
      <c r="AO1867" s="2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</row>
    <row r="1868" spans="1:58" x14ac:dyDescent="0.25">
      <c r="A1868" s="14"/>
      <c r="B1868" s="14"/>
      <c r="C1868" s="14"/>
      <c r="D1868" s="14"/>
      <c r="E1868" s="14"/>
      <c r="F1868" s="14"/>
      <c r="T1868"/>
      <c r="AK1868" s="12"/>
      <c r="AL1868" s="1"/>
      <c r="AM1868" s="1"/>
      <c r="AN1868" s="1"/>
      <c r="AO1868" s="2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</row>
    <row r="1869" spans="1:58" x14ac:dyDescent="0.25">
      <c r="A1869" s="14"/>
      <c r="B1869" s="14"/>
      <c r="C1869" s="14"/>
      <c r="D1869" s="14"/>
      <c r="E1869" s="14"/>
      <c r="F1869" s="14"/>
      <c r="T1869"/>
      <c r="AK1869" s="12"/>
      <c r="AL1869" s="1"/>
      <c r="AM1869" s="1"/>
      <c r="AN1869" s="1"/>
      <c r="AO1869" s="2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</row>
    <row r="1870" spans="1:58" x14ac:dyDescent="0.25">
      <c r="A1870" s="14"/>
      <c r="B1870" s="14"/>
      <c r="C1870" s="14"/>
      <c r="D1870" s="14"/>
      <c r="E1870" s="14"/>
      <c r="F1870" s="14"/>
      <c r="T1870"/>
      <c r="AK1870" s="12"/>
      <c r="AL1870" s="1"/>
      <c r="AM1870" s="1"/>
      <c r="AN1870" s="1"/>
      <c r="AO1870" s="2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</row>
    <row r="1871" spans="1:58" x14ac:dyDescent="0.25">
      <c r="A1871" s="14"/>
      <c r="B1871" s="14"/>
      <c r="C1871" s="14"/>
      <c r="D1871" s="14"/>
      <c r="E1871" s="14"/>
      <c r="F1871" s="14"/>
      <c r="T1871"/>
      <c r="AK1871" s="12"/>
      <c r="AL1871" s="1"/>
      <c r="AM1871" s="1"/>
      <c r="AN1871" s="1"/>
      <c r="AO1871" s="2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</row>
    <row r="1872" spans="1:58" x14ac:dyDescent="0.25">
      <c r="A1872" s="14"/>
      <c r="B1872" s="14"/>
      <c r="C1872" s="14"/>
      <c r="D1872" s="14"/>
      <c r="E1872" s="14"/>
      <c r="F1872" s="14"/>
      <c r="T1872"/>
      <c r="AK1872" s="12"/>
      <c r="AL1872" s="1"/>
      <c r="AM1872" s="1"/>
      <c r="AN1872" s="1"/>
      <c r="AO1872" s="2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</row>
    <row r="1873" spans="1:58" x14ac:dyDescent="0.25">
      <c r="A1873" s="14"/>
      <c r="B1873" s="14"/>
      <c r="C1873" s="14"/>
      <c r="D1873" s="14"/>
      <c r="E1873" s="14"/>
      <c r="F1873" s="14"/>
      <c r="T1873"/>
      <c r="AK1873" s="12"/>
      <c r="AL1873" s="1"/>
      <c r="AM1873" s="1"/>
      <c r="AN1873" s="1"/>
      <c r="AO1873" s="2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</row>
    <row r="1874" spans="1:58" x14ac:dyDescent="0.25">
      <c r="A1874" s="14"/>
      <c r="B1874" s="14"/>
      <c r="C1874" s="14"/>
      <c r="D1874" s="14"/>
      <c r="E1874" s="14"/>
      <c r="F1874" s="14"/>
      <c r="T1874"/>
      <c r="AK1874" s="12"/>
      <c r="AL1874" s="1"/>
      <c r="AM1874" s="1"/>
      <c r="AN1874" s="1"/>
      <c r="AO1874" s="2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</row>
    <row r="1875" spans="1:58" x14ac:dyDescent="0.25">
      <c r="A1875" s="14"/>
      <c r="B1875" s="14"/>
      <c r="C1875" s="14"/>
      <c r="D1875" s="14"/>
      <c r="E1875" s="14"/>
      <c r="F1875" s="14"/>
      <c r="T1875"/>
      <c r="AK1875" s="12"/>
      <c r="AL1875" s="1"/>
      <c r="AM1875" s="1"/>
      <c r="AN1875" s="1"/>
      <c r="AO1875" s="2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</row>
    <row r="1876" spans="1:58" x14ac:dyDescent="0.25">
      <c r="A1876" s="14"/>
      <c r="B1876" s="14"/>
      <c r="C1876" s="14"/>
      <c r="D1876" s="14"/>
      <c r="E1876" s="14"/>
      <c r="F1876" s="14"/>
      <c r="T1876"/>
      <c r="AK1876" s="12"/>
      <c r="AL1876" s="1"/>
      <c r="AM1876" s="1"/>
      <c r="AN1876" s="1"/>
      <c r="AO1876" s="2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</row>
    <row r="1877" spans="1:58" x14ac:dyDescent="0.25">
      <c r="A1877" s="14"/>
      <c r="B1877" s="14"/>
      <c r="C1877" s="14"/>
      <c r="D1877" s="14"/>
      <c r="E1877" s="14"/>
      <c r="F1877" s="14"/>
      <c r="T1877"/>
      <c r="AK1877" s="12"/>
      <c r="AL1877" s="1"/>
      <c r="AM1877" s="1"/>
      <c r="AN1877" s="1"/>
      <c r="AO1877" s="2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</row>
    <row r="1878" spans="1:58" x14ac:dyDescent="0.25">
      <c r="A1878" s="14"/>
      <c r="B1878" s="14"/>
      <c r="C1878" s="14"/>
      <c r="D1878" s="14"/>
      <c r="E1878" s="14"/>
      <c r="F1878" s="14"/>
      <c r="T1878"/>
      <c r="AK1878" s="12"/>
      <c r="AL1878" s="1"/>
      <c r="AM1878" s="1"/>
      <c r="AN1878" s="1"/>
      <c r="AO1878" s="2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</row>
    <row r="1879" spans="1:58" x14ac:dyDescent="0.25">
      <c r="A1879" s="14"/>
      <c r="B1879" s="14"/>
      <c r="C1879" s="14"/>
      <c r="D1879" s="14"/>
      <c r="E1879" s="14"/>
      <c r="F1879" s="14"/>
      <c r="T1879"/>
      <c r="AK1879" s="12"/>
      <c r="AL1879" s="1"/>
      <c r="AM1879" s="1"/>
      <c r="AN1879" s="1"/>
      <c r="AO1879" s="2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</row>
    <row r="1880" spans="1:58" x14ac:dyDescent="0.25">
      <c r="A1880" s="14"/>
      <c r="B1880" s="14"/>
      <c r="C1880" s="14"/>
      <c r="D1880" s="14"/>
      <c r="E1880" s="14"/>
      <c r="F1880" s="14"/>
      <c r="T1880"/>
      <c r="AK1880" s="12"/>
      <c r="AL1880" s="1"/>
      <c r="AM1880" s="1"/>
      <c r="AN1880" s="1"/>
      <c r="AO1880" s="2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</row>
    <row r="1881" spans="1:58" x14ac:dyDescent="0.25">
      <c r="A1881" s="14"/>
      <c r="B1881" s="14"/>
      <c r="C1881" s="14"/>
      <c r="D1881" s="14"/>
      <c r="E1881" s="14"/>
      <c r="F1881" s="14"/>
      <c r="T1881"/>
      <c r="AK1881" s="12"/>
      <c r="AL1881" s="1"/>
      <c r="AM1881" s="1"/>
      <c r="AN1881" s="1"/>
      <c r="AO1881" s="2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</row>
    <row r="1882" spans="1:58" x14ac:dyDescent="0.25">
      <c r="A1882" s="14"/>
      <c r="B1882" s="14"/>
      <c r="C1882" s="14"/>
      <c r="D1882" s="14"/>
      <c r="E1882" s="14"/>
      <c r="F1882" s="14"/>
      <c r="T1882"/>
      <c r="AK1882" s="12"/>
      <c r="AL1882" s="1"/>
      <c r="AM1882" s="1"/>
      <c r="AN1882" s="1"/>
      <c r="AO1882" s="2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</row>
    <row r="1883" spans="1:58" x14ac:dyDescent="0.25">
      <c r="A1883" s="14"/>
      <c r="B1883" s="14"/>
      <c r="C1883" s="14"/>
      <c r="D1883" s="14"/>
      <c r="E1883" s="14"/>
      <c r="F1883" s="14"/>
      <c r="T1883"/>
      <c r="AK1883" s="12"/>
      <c r="AL1883" s="1"/>
      <c r="AM1883" s="1"/>
      <c r="AN1883" s="1"/>
      <c r="AO1883" s="2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</row>
    <row r="1884" spans="1:58" x14ac:dyDescent="0.25">
      <c r="A1884" s="14"/>
      <c r="B1884" s="14"/>
      <c r="C1884" s="14"/>
      <c r="D1884" s="14"/>
      <c r="E1884" s="14"/>
      <c r="F1884" s="14"/>
      <c r="T1884"/>
      <c r="AK1884" s="12"/>
      <c r="AL1884" s="1"/>
      <c r="AM1884" s="1"/>
      <c r="AN1884" s="1"/>
      <c r="AO1884" s="2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</row>
    <row r="1885" spans="1:58" x14ac:dyDescent="0.25">
      <c r="A1885" s="14"/>
      <c r="B1885" s="14"/>
      <c r="C1885" s="14"/>
      <c r="D1885" s="14"/>
      <c r="E1885" s="14"/>
      <c r="F1885" s="14"/>
      <c r="T1885"/>
      <c r="AK1885" s="12"/>
      <c r="AL1885" s="1"/>
      <c r="AM1885" s="1"/>
      <c r="AN1885" s="1"/>
      <c r="AO1885" s="2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</row>
    <row r="1886" spans="1:58" x14ac:dyDescent="0.25">
      <c r="A1886" s="14"/>
      <c r="B1886" s="14"/>
      <c r="C1886" s="14"/>
      <c r="D1886" s="14"/>
      <c r="E1886" s="14"/>
      <c r="F1886" s="14"/>
      <c r="T1886"/>
      <c r="AK1886" s="12"/>
      <c r="AL1886" s="1"/>
      <c r="AM1886" s="1"/>
      <c r="AN1886" s="1"/>
      <c r="AO1886" s="2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</row>
    <row r="1887" spans="1:58" x14ac:dyDescent="0.25">
      <c r="A1887" s="14"/>
      <c r="B1887" s="14"/>
      <c r="C1887" s="14"/>
      <c r="D1887" s="14"/>
      <c r="E1887" s="14"/>
      <c r="F1887" s="14"/>
      <c r="T1887"/>
      <c r="AK1887" s="12"/>
      <c r="AL1887" s="1"/>
      <c r="AM1887" s="1"/>
      <c r="AN1887" s="1"/>
      <c r="AO1887" s="2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</row>
    <row r="1888" spans="1:58" x14ac:dyDescent="0.25">
      <c r="A1888" s="14"/>
      <c r="B1888" s="14"/>
      <c r="C1888" s="14"/>
      <c r="D1888" s="14"/>
      <c r="E1888" s="14"/>
      <c r="F1888" s="14"/>
      <c r="T1888"/>
      <c r="AK1888" s="12"/>
      <c r="AL1888" s="1"/>
      <c r="AM1888" s="1"/>
      <c r="AN1888" s="1"/>
      <c r="AO1888" s="2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</row>
    <row r="1889" spans="1:58" x14ac:dyDescent="0.25">
      <c r="A1889" s="14"/>
      <c r="B1889" s="14"/>
      <c r="C1889" s="14"/>
      <c r="D1889" s="14"/>
      <c r="E1889" s="14"/>
      <c r="F1889" s="14"/>
      <c r="T1889"/>
      <c r="AK1889" s="12"/>
      <c r="AL1889" s="1"/>
      <c r="AM1889" s="1"/>
      <c r="AN1889" s="1"/>
      <c r="AO1889" s="2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</row>
    <row r="1890" spans="1:58" x14ac:dyDescent="0.25">
      <c r="A1890" s="14"/>
      <c r="B1890" s="14"/>
      <c r="C1890" s="14"/>
      <c r="D1890" s="14"/>
      <c r="E1890" s="14"/>
      <c r="F1890" s="14"/>
      <c r="T1890"/>
      <c r="AK1890" s="12"/>
      <c r="AL1890" s="1"/>
      <c r="AM1890" s="1"/>
      <c r="AN1890" s="1"/>
      <c r="AO1890" s="2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</row>
    <row r="1891" spans="1:58" x14ac:dyDescent="0.25">
      <c r="A1891" s="14"/>
      <c r="B1891" s="14"/>
      <c r="C1891" s="14"/>
      <c r="D1891" s="14"/>
      <c r="E1891" s="14"/>
      <c r="F1891" s="14"/>
      <c r="T1891"/>
      <c r="AK1891" s="12"/>
      <c r="AL1891" s="1"/>
      <c r="AM1891" s="1"/>
      <c r="AN1891" s="1"/>
      <c r="AO1891" s="2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</row>
    <row r="1892" spans="1:58" x14ac:dyDescent="0.25">
      <c r="A1892" s="14"/>
      <c r="B1892" s="14"/>
      <c r="C1892" s="14"/>
      <c r="D1892" s="14"/>
      <c r="E1892" s="14"/>
      <c r="F1892" s="14"/>
      <c r="T1892"/>
      <c r="AK1892" s="12"/>
      <c r="AL1892" s="1"/>
      <c r="AM1892" s="1"/>
      <c r="AN1892" s="1"/>
      <c r="AO1892" s="2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</row>
    <row r="1893" spans="1:58" x14ac:dyDescent="0.25">
      <c r="A1893" s="14"/>
      <c r="B1893" s="14"/>
      <c r="C1893" s="14"/>
      <c r="D1893" s="14"/>
      <c r="E1893" s="14"/>
      <c r="F1893" s="14"/>
      <c r="T1893"/>
      <c r="AK1893" s="12"/>
      <c r="AL1893" s="1"/>
      <c r="AM1893" s="1"/>
      <c r="AN1893" s="1"/>
      <c r="AO1893" s="2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</row>
    <row r="1894" spans="1:58" x14ac:dyDescent="0.25">
      <c r="A1894" s="14"/>
      <c r="B1894" s="14"/>
      <c r="C1894" s="14"/>
      <c r="D1894" s="14"/>
      <c r="E1894" s="14"/>
      <c r="F1894" s="14"/>
      <c r="T1894"/>
      <c r="AK1894" s="12"/>
      <c r="AL1894" s="1"/>
      <c r="AM1894" s="1"/>
      <c r="AN1894" s="1"/>
      <c r="AO1894" s="2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</row>
    <row r="1895" spans="1:58" x14ac:dyDescent="0.25">
      <c r="A1895" s="14"/>
      <c r="B1895" s="14"/>
      <c r="C1895" s="14"/>
      <c r="D1895" s="14"/>
      <c r="E1895" s="14"/>
      <c r="F1895" s="14"/>
      <c r="T1895"/>
      <c r="AK1895" s="12"/>
      <c r="AL1895" s="1"/>
      <c r="AM1895" s="1"/>
      <c r="AN1895" s="1"/>
      <c r="AO1895" s="2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</row>
    <row r="1896" spans="1:58" x14ac:dyDescent="0.25">
      <c r="A1896" s="14"/>
      <c r="B1896" s="14"/>
      <c r="C1896" s="14"/>
      <c r="D1896" s="14"/>
      <c r="E1896" s="14"/>
      <c r="F1896" s="14"/>
      <c r="T1896"/>
      <c r="AK1896" s="12"/>
      <c r="AL1896" s="1"/>
      <c r="AM1896" s="1"/>
      <c r="AN1896" s="1"/>
      <c r="AO1896" s="2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</row>
    <row r="1897" spans="1:58" x14ac:dyDescent="0.25">
      <c r="A1897" s="14"/>
      <c r="B1897" s="14"/>
      <c r="C1897" s="14"/>
      <c r="D1897" s="14"/>
      <c r="E1897" s="14"/>
      <c r="F1897" s="14"/>
      <c r="T1897"/>
      <c r="AK1897" s="12"/>
      <c r="AL1897" s="1"/>
      <c r="AM1897" s="1"/>
      <c r="AN1897" s="1"/>
      <c r="AO1897" s="2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</row>
    <row r="1898" spans="1:58" x14ac:dyDescent="0.25">
      <c r="A1898" s="14"/>
      <c r="B1898" s="14"/>
      <c r="C1898" s="14"/>
      <c r="D1898" s="14"/>
      <c r="E1898" s="14"/>
      <c r="F1898" s="14"/>
      <c r="T1898"/>
      <c r="AK1898" s="12"/>
      <c r="AL1898" s="1"/>
      <c r="AM1898" s="1"/>
      <c r="AN1898" s="1"/>
      <c r="AO1898" s="2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</row>
    <row r="1899" spans="1:58" x14ac:dyDescent="0.25">
      <c r="A1899" s="14"/>
      <c r="B1899" s="14"/>
      <c r="C1899" s="14"/>
      <c r="D1899" s="14"/>
      <c r="E1899" s="14"/>
      <c r="F1899" s="14"/>
      <c r="T1899"/>
      <c r="AK1899" s="12"/>
      <c r="AL1899" s="1"/>
      <c r="AM1899" s="1"/>
      <c r="AN1899" s="1"/>
      <c r="AO1899" s="2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</row>
    <row r="1900" spans="1:58" x14ac:dyDescent="0.25">
      <c r="A1900" s="14"/>
      <c r="B1900" s="14"/>
      <c r="C1900" s="14"/>
      <c r="D1900" s="14"/>
      <c r="E1900" s="14"/>
      <c r="F1900" s="14"/>
      <c r="T1900"/>
      <c r="AK1900" s="12"/>
      <c r="AL1900" s="1"/>
      <c r="AM1900" s="1"/>
      <c r="AN1900" s="1"/>
      <c r="AO1900" s="2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</row>
    <row r="1901" spans="1:58" x14ac:dyDescent="0.25">
      <c r="A1901" s="14"/>
      <c r="B1901" s="14"/>
      <c r="C1901" s="14"/>
      <c r="D1901" s="14"/>
      <c r="E1901" s="14"/>
      <c r="F1901" s="14"/>
      <c r="T1901"/>
      <c r="AK1901" s="12"/>
      <c r="AL1901" s="1"/>
      <c r="AM1901" s="1"/>
      <c r="AN1901" s="1"/>
      <c r="AO1901" s="2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</row>
    <row r="1902" spans="1:58" x14ac:dyDescent="0.25">
      <c r="A1902" s="14"/>
      <c r="B1902" s="14"/>
      <c r="C1902" s="14"/>
      <c r="D1902" s="14"/>
      <c r="E1902" s="14"/>
      <c r="F1902" s="14"/>
      <c r="T1902"/>
      <c r="AK1902" s="12"/>
      <c r="AL1902" s="1"/>
      <c r="AM1902" s="1"/>
      <c r="AN1902" s="1"/>
      <c r="AO1902" s="2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</row>
    <row r="1903" spans="1:58" x14ac:dyDescent="0.25">
      <c r="A1903" s="14"/>
      <c r="B1903" s="14"/>
      <c r="C1903" s="14"/>
      <c r="D1903" s="14"/>
      <c r="E1903" s="14"/>
      <c r="F1903" s="14"/>
      <c r="T1903"/>
      <c r="AK1903" s="12"/>
      <c r="AL1903" s="1"/>
      <c r="AM1903" s="1"/>
      <c r="AN1903" s="1"/>
      <c r="AO1903" s="2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</row>
    <row r="1904" spans="1:58" x14ac:dyDescent="0.25">
      <c r="A1904" s="14"/>
      <c r="B1904" s="14"/>
      <c r="C1904" s="14"/>
      <c r="D1904" s="14"/>
      <c r="E1904" s="14"/>
      <c r="F1904" s="14"/>
      <c r="T1904"/>
      <c r="AK1904" s="12"/>
      <c r="AL1904" s="1"/>
      <c r="AM1904" s="1"/>
      <c r="AN1904" s="1"/>
      <c r="AO1904" s="2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</row>
    <row r="1905" spans="1:58" x14ac:dyDescent="0.25">
      <c r="A1905" s="14"/>
      <c r="B1905" s="14"/>
      <c r="C1905" s="14"/>
      <c r="D1905" s="14"/>
      <c r="E1905" s="14"/>
      <c r="F1905" s="14"/>
      <c r="T1905"/>
      <c r="AK1905" s="12"/>
      <c r="AL1905" s="1"/>
      <c r="AM1905" s="1"/>
      <c r="AN1905" s="1"/>
      <c r="AO1905" s="2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</row>
    <row r="1906" spans="1:58" x14ac:dyDescent="0.25">
      <c r="A1906" s="14"/>
      <c r="B1906" s="14"/>
      <c r="C1906" s="14"/>
      <c r="D1906" s="14"/>
      <c r="E1906" s="14"/>
      <c r="F1906" s="14"/>
      <c r="T1906"/>
      <c r="AK1906" s="12"/>
      <c r="AL1906" s="1"/>
      <c r="AM1906" s="1"/>
      <c r="AN1906" s="1"/>
      <c r="AO1906" s="2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</row>
    <row r="1907" spans="1:58" x14ac:dyDescent="0.25">
      <c r="A1907" s="14"/>
      <c r="B1907" s="14"/>
      <c r="C1907" s="14"/>
      <c r="D1907" s="14"/>
      <c r="E1907" s="14"/>
      <c r="F1907" s="14"/>
      <c r="T1907"/>
      <c r="AK1907" s="12"/>
      <c r="AL1907" s="1"/>
      <c r="AM1907" s="1"/>
      <c r="AN1907" s="1"/>
      <c r="AO1907" s="2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</row>
    <row r="1908" spans="1:58" x14ac:dyDescent="0.25">
      <c r="A1908" s="14"/>
      <c r="B1908" s="14"/>
      <c r="C1908" s="14"/>
      <c r="D1908" s="14"/>
      <c r="E1908" s="14"/>
      <c r="F1908" s="14"/>
      <c r="T1908"/>
      <c r="AK1908" s="12"/>
      <c r="AL1908" s="1"/>
      <c r="AM1908" s="1"/>
      <c r="AN1908" s="1"/>
      <c r="AO1908" s="2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</row>
    <row r="1909" spans="1:58" x14ac:dyDescent="0.25">
      <c r="A1909" s="14"/>
      <c r="B1909" s="14"/>
      <c r="C1909" s="14"/>
      <c r="D1909" s="14"/>
      <c r="E1909" s="14"/>
      <c r="F1909" s="14"/>
      <c r="T1909"/>
      <c r="AK1909" s="12"/>
      <c r="AL1909" s="1"/>
      <c r="AM1909" s="1"/>
      <c r="AN1909" s="1"/>
      <c r="AO1909" s="2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</row>
    <row r="1910" spans="1:58" x14ac:dyDescent="0.25">
      <c r="A1910" s="14"/>
      <c r="B1910" s="14"/>
      <c r="C1910" s="14"/>
      <c r="D1910" s="14"/>
      <c r="E1910" s="14"/>
      <c r="F1910" s="14"/>
      <c r="T1910"/>
      <c r="AK1910" s="12"/>
      <c r="AL1910" s="1"/>
      <c r="AM1910" s="1"/>
      <c r="AN1910" s="1"/>
      <c r="AO1910" s="2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</row>
    <row r="1911" spans="1:58" x14ac:dyDescent="0.25">
      <c r="A1911" s="14"/>
      <c r="B1911" s="14"/>
      <c r="C1911" s="14"/>
      <c r="D1911" s="14"/>
      <c r="E1911" s="14"/>
      <c r="F1911" s="14"/>
      <c r="T1911"/>
      <c r="AK1911" s="12"/>
      <c r="AL1911" s="1"/>
      <c r="AM1911" s="1"/>
      <c r="AN1911" s="1"/>
      <c r="AO1911" s="2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</row>
    <row r="1912" spans="1:58" x14ac:dyDescent="0.25">
      <c r="A1912" s="14"/>
      <c r="B1912" s="14"/>
      <c r="C1912" s="14"/>
      <c r="D1912" s="14"/>
      <c r="E1912" s="14"/>
      <c r="F1912" s="14"/>
      <c r="T1912"/>
      <c r="AK1912" s="12"/>
      <c r="AL1912" s="1"/>
      <c r="AM1912" s="1"/>
      <c r="AN1912" s="1"/>
      <c r="AO1912" s="2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</row>
    <row r="1913" spans="1:58" x14ac:dyDescent="0.25">
      <c r="A1913" s="14"/>
      <c r="B1913" s="14"/>
      <c r="C1913" s="14"/>
      <c r="D1913" s="14"/>
      <c r="E1913" s="14"/>
      <c r="F1913" s="14"/>
      <c r="T1913"/>
      <c r="AK1913" s="12"/>
      <c r="AL1913" s="1"/>
      <c r="AM1913" s="1"/>
      <c r="AN1913" s="1"/>
      <c r="AO1913" s="2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</row>
    <row r="1914" spans="1:58" x14ac:dyDescent="0.25">
      <c r="A1914" s="14"/>
      <c r="B1914" s="14"/>
      <c r="C1914" s="14"/>
      <c r="D1914" s="14"/>
      <c r="E1914" s="14"/>
      <c r="F1914" s="14"/>
      <c r="T1914"/>
      <c r="AK1914" s="12"/>
      <c r="AL1914" s="1"/>
      <c r="AM1914" s="1"/>
      <c r="AN1914" s="1"/>
      <c r="AO1914" s="2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</row>
    <row r="1915" spans="1:58" x14ac:dyDescent="0.25">
      <c r="A1915" s="14"/>
      <c r="B1915" s="14"/>
      <c r="C1915" s="14"/>
      <c r="D1915" s="14"/>
      <c r="E1915" s="14"/>
      <c r="F1915" s="14"/>
      <c r="T1915"/>
      <c r="AK1915" s="12"/>
      <c r="AL1915" s="1"/>
      <c r="AM1915" s="1"/>
      <c r="AN1915" s="1"/>
      <c r="AO1915" s="2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</row>
    <row r="1916" spans="1:58" x14ac:dyDescent="0.25">
      <c r="A1916" s="14"/>
      <c r="B1916" s="14"/>
      <c r="C1916" s="14"/>
      <c r="D1916" s="14"/>
      <c r="E1916" s="14"/>
      <c r="F1916" s="14"/>
      <c r="T1916"/>
      <c r="AK1916" s="12"/>
      <c r="AL1916" s="1"/>
      <c r="AM1916" s="1"/>
      <c r="AN1916" s="1"/>
      <c r="AO1916" s="2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</row>
    <row r="1917" spans="1:58" x14ac:dyDescent="0.25">
      <c r="A1917" s="14"/>
      <c r="B1917" s="14"/>
      <c r="C1917" s="14"/>
      <c r="D1917" s="14"/>
      <c r="E1917" s="14"/>
      <c r="F1917" s="14"/>
      <c r="T1917"/>
      <c r="AK1917" s="12"/>
      <c r="AL1917" s="1"/>
      <c r="AM1917" s="1"/>
      <c r="AN1917" s="1"/>
      <c r="AO1917" s="2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</row>
    <row r="1918" spans="1:58" x14ac:dyDescent="0.25">
      <c r="A1918" s="14"/>
      <c r="B1918" s="14"/>
      <c r="C1918" s="14"/>
      <c r="D1918" s="14"/>
      <c r="E1918" s="14"/>
      <c r="F1918" s="14"/>
      <c r="T1918"/>
      <c r="AK1918" s="12"/>
      <c r="AL1918" s="1"/>
      <c r="AM1918" s="1"/>
      <c r="AN1918" s="1"/>
      <c r="AO1918" s="2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</row>
    <row r="1919" spans="1:58" x14ac:dyDescent="0.25">
      <c r="A1919" s="14"/>
      <c r="B1919" s="14"/>
      <c r="C1919" s="14"/>
      <c r="D1919" s="14"/>
      <c r="E1919" s="14"/>
      <c r="F1919" s="14"/>
      <c r="T1919"/>
      <c r="AK1919" s="12"/>
      <c r="AL1919" s="1"/>
      <c r="AM1919" s="1"/>
      <c r="AN1919" s="1"/>
      <c r="AO1919" s="2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</row>
    <row r="1920" spans="1:58" x14ac:dyDescent="0.25">
      <c r="A1920" s="14"/>
      <c r="B1920" s="14"/>
      <c r="C1920" s="14"/>
      <c r="D1920" s="14"/>
      <c r="E1920" s="14"/>
      <c r="F1920" s="14"/>
      <c r="T1920"/>
      <c r="AK1920" s="12"/>
      <c r="AL1920" s="1"/>
      <c r="AM1920" s="1"/>
      <c r="AN1920" s="1"/>
      <c r="AO1920" s="2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</row>
    <row r="1921" spans="1:58" x14ac:dyDescent="0.25">
      <c r="A1921" s="14"/>
      <c r="B1921" s="14"/>
      <c r="C1921" s="14"/>
      <c r="D1921" s="14"/>
      <c r="E1921" s="14"/>
      <c r="F1921" s="14"/>
      <c r="T1921"/>
      <c r="AK1921" s="12"/>
      <c r="AL1921" s="1"/>
      <c r="AM1921" s="1"/>
      <c r="AN1921" s="1"/>
      <c r="AO1921" s="2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</row>
    <row r="1922" spans="1:58" x14ac:dyDescent="0.25">
      <c r="A1922" s="14"/>
      <c r="B1922" s="14"/>
      <c r="C1922" s="14"/>
      <c r="D1922" s="14"/>
      <c r="E1922" s="14"/>
      <c r="F1922" s="14"/>
      <c r="T1922"/>
      <c r="AK1922" s="12"/>
      <c r="AL1922" s="1"/>
      <c r="AM1922" s="1"/>
      <c r="AN1922" s="1"/>
      <c r="AO1922" s="2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</row>
    <row r="1923" spans="1:58" x14ac:dyDescent="0.25">
      <c r="A1923" s="14"/>
      <c r="B1923" s="14"/>
      <c r="C1923" s="14"/>
      <c r="D1923" s="14"/>
      <c r="E1923" s="14"/>
      <c r="F1923" s="14"/>
      <c r="T1923"/>
      <c r="AK1923" s="12"/>
      <c r="AL1923" s="1"/>
      <c r="AM1923" s="1"/>
      <c r="AN1923" s="1"/>
      <c r="AO1923" s="2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</row>
    <row r="1924" spans="1:58" x14ac:dyDescent="0.25">
      <c r="A1924" s="14"/>
      <c r="B1924" s="14"/>
      <c r="C1924" s="14"/>
      <c r="D1924" s="14"/>
      <c r="E1924" s="14"/>
      <c r="F1924" s="14"/>
      <c r="T1924"/>
      <c r="AK1924" s="12"/>
      <c r="AL1924" s="1"/>
      <c r="AM1924" s="1"/>
      <c r="AN1924" s="1"/>
      <c r="AO1924" s="2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</row>
    <row r="1925" spans="1:58" x14ac:dyDescent="0.25">
      <c r="A1925" s="14"/>
      <c r="B1925" s="14"/>
      <c r="C1925" s="14"/>
      <c r="D1925" s="14"/>
      <c r="E1925" s="14"/>
      <c r="F1925" s="14"/>
      <c r="T1925"/>
      <c r="AK1925" s="12"/>
      <c r="AL1925" s="1"/>
      <c r="AM1925" s="1"/>
      <c r="AN1925" s="1"/>
      <c r="AO1925" s="2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</row>
    <row r="1926" spans="1:58" x14ac:dyDescent="0.25">
      <c r="A1926" s="14"/>
      <c r="B1926" s="14"/>
      <c r="C1926" s="14"/>
      <c r="D1926" s="14"/>
      <c r="E1926" s="14"/>
      <c r="F1926" s="14"/>
      <c r="T1926"/>
      <c r="AK1926" s="12"/>
      <c r="AL1926" s="1"/>
      <c r="AM1926" s="1"/>
      <c r="AN1926" s="1"/>
      <c r="AO1926" s="2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</row>
    <row r="1927" spans="1:58" x14ac:dyDescent="0.25">
      <c r="A1927" s="14"/>
      <c r="B1927" s="14"/>
      <c r="C1927" s="14"/>
      <c r="D1927" s="14"/>
      <c r="E1927" s="14"/>
      <c r="F1927" s="14"/>
      <c r="T1927"/>
      <c r="AK1927" s="12"/>
      <c r="AL1927" s="1"/>
      <c r="AM1927" s="1"/>
      <c r="AN1927" s="1"/>
      <c r="AO1927" s="2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</row>
    <row r="1928" spans="1:58" x14ac:dyDescent="0.25">
      <c r="A1928" s="14"/>
      <c r="B1928" s="14"/>
      <c r="C1928" s="14"/>
      <c r="D1928" s="14"/>
      <c r="E1928" s="14"/>
      <c r="F1928" s="14"/>
      <c r="T1928"/>
      <c r="AK1928" s="12"/>
      <c r="AL1928" s="1"/>
      <c r="AM1928" s="1"/>
      <c r="AN1928" s="1"/>
      <c r="AO1928" s="2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</row>
    <row r="1929" spans="1:58" x14ac:dyDescent="0.25">
      <c r="A1929" s="14"/>
      <c r="B1929" s="14"/>
      <c r="C1929" s="14"/>
      <c r="D1929" s="14"/>
      <c r="E1929" s="14"/>
      <c r="F1929" s="14"/>
      <c r="T1929"/>
      <c r="AK1929" s="12"/>
      <c r="AL1929" s="1"/>
      <c r="AM1929" s="1"/>
      <c r="AN1929" s="1"/>
      <c r="AO1929" s="2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</row>
    <row r="1930" spans="1:58" x14ac:dyDescent="0.25">
      <c r="A1930" s="14"/>
      <c r="B1930" s="14"/>
      <c r="C1930" s="14"/>
      <c r="D1930" s="14"/>
      <c r="E1930" s="14"/>
      <c r="F1930" s="14"/>
      <c r="T1930"/>
      <c r="AK1930" s="12"/>
      <c r="AL1930" s="1"/>
      <c r="AM1930" s="1"/>
      <c r="AN1930" s="1"/>
      <c r="AO1930" s="2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</row>
    <row r="1931" spans="1:58" x14ac:dyDescent="0.25">
      <c r="A1931" s="14"/>
      <c r="B1931" s="14"/>
      <c r="C1931" s="14"/>
      <c r="D1931" s="14"/>
      <c r="E1931" s="14"/>
      <c r="F1931" s="14"/>
      <c r="T1931"/>
      <c r="AK1931" s="12"/>
      <c r="AL1931" s="1"/>
      <c r="AM1931" s="1"/>
      <c r="AN1931" s="1"/>
      <c r="AO1931" s="2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</row>
    <row r="1932" spans="1:58" x14ac:dyDescent="0.25">
      <c r="A1932" s="14"/>
      <c r="B1932" s="14"/>
      <c r="C1932" s="14"/>
      <c r="D1932" s="14"/>
      <c r="E1932" s="14"/>
      <c r="F1932" s="14"/>
      <c r="T1932"/>
      <c r="AK1932" s="12"/>
      <c r="AL1932" s="1"/>
      <c r="AM1932" s="1"/>
      <c r="AN1932" s="1"/>
      <c r="AO1932" s="2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</row>
    <row r="1933" spans="1:58" x14ac:dyDescent="0.25">
      <c r="A1933" s="14"/>
      <c r="B1933" s="14"/>
      <c r="C1933" s="14"/>
      <c r="D1933" s="14"/>
      <c r="E1933" s="14"/>
      <c r="F1933" s="14"/>
      <c r="T1933"/>
      <c r="AK1933" s="12"/>
      <c r="AL1933" s="1"/>
      <c r="AM1933" s="1"/>
      <c r="AN1933" s="1"/>
      <c r="AO1933" s="2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</row>
    <row r="1934" spans="1:58" x14ac:dyDescent="0.25">
      <c r="A1934" s="14"/>
      <c r="B1934" s="14"/>
      <c r="C1934" s="14"/>
      <c r="D1934" s="14"/>
      <c r="E1934" s="14"/>
      <c r="F1934" s="14"/>
      <c r="T1934"/>
      <c r="AK1934" s="12"/>
      <c r="AL1934" s="1"/>
      <c r="AM1934" s="1"/>
      <c r="AN1934" s="1"/>
      <c r="AO1934" s="2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</row>
    <row r="1935" spans="1:58" x14ac:dyDescent="0.25">
      <c r="A1935" s="14"/>
      <c r="B1935" s="14"/>
      <c r="C1935" s="14"/>
      <c r="D1935" s="14"/>
      <c r="E1935" s="14"/>
      <c r="F1935" s="14"/>
      <c r="T1935"/>
      <c r="AK1935" s="12"/>
      <c r="AL1935" s="1"/>
      <c r="AM1935" s="1"/>
      <c r="AN1935" s="1"/>
      <c r="AO1935" s="2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</row>
    <row r="1936" spans="1:58" x14ac:dyDescent="0.25">
      <c r="A1936" s="14"/>
      <c r="B1936" s="14"/>
      <c r="C1936" s="14"/>
      <c r="D1936" s="14"/>
      <c r="E1936" s="14"/>
      <c r="F1936" s="14"/>
      <c r="T1936"/>
      <c r="AK1936" s="12"/>
      <c r="AL1936" s="1"/>
      <c r="AM1936" s="1"/>
      <c r="AN1936" s="1"/>
      <c r="AO1936" s="2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</row>
    <row r="1937" spans="1:58" x14ac:dyDescent="0.25">
      <c r="A1937" s="14"/>
      <c r="B1937" s="14"/>
      <c r="C1937" s="14"/>
      <c r="D1937" s="14"/>
      <c r="E1937" s="14"/>
      <c r="F1937" s="14"/>
      <c r="T1937"/>
      <c r="AK1937" s="12"/>
      <c r="AL1937" s="1"/>
      <c r="AM1937" s="1"/>
      <c r="AN1937" s="1"/>
      <c r="AO1937" s="2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</row>
    <row r="1938" spans="1:58" x14ac:dyDescent="0.25">
      <c r="A1938" s="14"/>
      <c r="B1938" s="14"/>
      <c r="C1938" s="14"/>
      <c r="D1938" s="14"/>
      <c r="E1938" s="14"/>
      <c r="F1938" s="14"/>
      <c r="T1938"/>
      <c r="AK1938" s="12"/>
      <c r="AL1938" s="1"/>
      <c r="AM1938" s="1"/>
      <c r="AN1938" s="1"/>
      <c r="AO1938" s="2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</row>
    <row r="1939" spans="1:58" x14ac:dyDescent="0.25">
      <c r="A1939" s="14"/>
      <c r="B1939" s="14"/>
      <c r="C1939" s="14"/>
      <c r="D1939" s="14"/>
      <c r="E1939" s="14"/>
      <c r="F1939" s="14"/>
      <c r="T1939"/>
      <c r="AK1939" s="12"/>
      <c r="AL1939" s="1"/>
      <c r="AM1939" s="1"/>
      <c r="AN1939" s="1"/>
      <c r="AO1939" s="2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</row>
    <row r="1940" spans="1:58" x14ac:dyDescent="0.25">
      <c r="A1940" s="14"/>
      <c r="B1940" s="14"/>
      <c r="C1940" s="14"/>
      <c r="D1940" s="14"/>
      <c r="E1940" s="14"/>
      <c r="F1940" s="14"/>
      <c r="T1940"/>
      <c r="AK1940" s="12"/>
      <c r="AL1940" s="1"/>
      <c r="AM1940" s="1"/>
      <c r="AN1940" s="1"/>
      <c r="AO1940" s="2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</row>
    <row r="1941" spans="1:58" x14ac:dyDescent="0.25">
      <c r="A1941" s="14"/>
      <c r="B1941" s="14"/>
      <c r="C1941" s="14"/>
      <c r="D1941" s="14"/>
      <c r="E1941" s="14"/>
      <c r="F1941" s="14"/>
      <c r="T1941"/>
      <c r="AK1941" s="12"/>
      <c r="AL1941" s="1"/>
      <c r="AM1941" s="1"/>
      <c r="AN1941" s="1"/>
      <c r="AO1941" s="2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</row>
    <row r="1942" spans="1:58" x14ac:dyDescent="0.25">
      <c r="A1942" s="14"/>
      <c r="B1942" s="14"/>
      <c r="C1942" s="14"/>
      <c r="D1942" s="14"/>
      <c r="E1942" s="14"/>
      <c r="F1942" s="14"/>
      <c r="T1942"/>
      <c r="AK1942" s="12"/>
      <c r="AL1942" s="1"/>
      <c r="AM1942" s="1"/>
      <c r="AN1942" s="1"/>
      <c r="AO1942" s="2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</row>
    <row r="1943" spans="1:58" x14ac:dyDescent="0.25">
      <c r="A1943" s="14"/>
      <c r="B1943" s="14"/>
      <c r="C1943" s="14"/>
      <c r="D1943" s="14"/>
      <c r="E1943" s="14"/>
      <c r="F1943" s="14"/>
      <c r="T1943"/>
      <c r="AK1943" s="12"/>
      <c r="AL1943" s="1"/>
      <c r="AM1943" s="1"/>
      <c r="AN1943" s="1"/>
      <c r="AO1943" s="2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</row>
    <row r="1944" spans="1:58" x14ac:dyDescent="0.25">
      <c r="A1944" s="14"/>
      <c r="B1944" s="14"/>
      <c r="C1944" s="14"/>
      <c r="D1944" s="14"/>
      <c r="E1944" s="14"/>
      <c r="F1944" s="14"/>
      <c r="T1944"/>
      <c r="AK1944" s="12"/>
      <c r="AL1944" s="1"/>
      <c r="AM1944" s="1"/>
      <c r="AN1944" s="1"/>
      <c r="AO1944" s="2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</row>
    <row r="1945" spans="1:58" x14ac:dyDescent="0.25">
      <c r="A1945" s="14"/>
      <c r="B1945" s="14"/>
      <c r="C1945" s="14"/>
      <c r="D1945" s="14"/>
      <c r="E1945" s="14"/>
      <c r="F1945" s="14"/>
      <c r="T1945"/>
      <c r="AK1945" s="12"/>
      <c r="AL1945" s="1"/>
      <c r="AM1945" s="1"/>
      <c r="AN1945" s="1"/>
      <c r="AO1945" s="2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</row>
    <row r="1946" spans="1:58" x14ac:dyDescent="0.25">
      <c r="A1946" s="14"/>
      <c r="B1946" s="14"/>
      <c r="C1946" s="14"/>
      <c r="D1946" s="14"/>
      <c r="E1946" s="14"/>
      <c r="F1946" s="14"/>
      <c r="T1946"/>
      <c r="AK1946" s="12"/>
      <c r="AL1946" s="1"/>
      <c r="AM1946" s="1"/>
      <c r="AN1946" s="1"/>
      <c r="AO1946" s="2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</row>
    <row r="1947" spans="1:58" x14ac:dyDescent="0.25">
      <c r="A1947" s="14"/>
      <c r="B1947" s="14"/>
      <c r="C1947" s="14"/>
      <c r="D1947" s="14"/>
      <c r="E1947" s="14"/>
      <c r="F1947" s="14"/>
      <c r="T1947"/>
      <c r="AK1947" s="12"/>
      <c r="AL1947" s="1"/>
      <c r="AM1947" s="1"/>
      <c r="AN1947" s="1"/>
      <c r="AO1947" s="2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</row>
    <row r="1948" spans="1:58" x14ac:dyDescent="0.25">
      <c r="A1948" s="14"/>
      <c r="B1948" s="14"/>
      <c r="C1948" s="14"/>
      <c r="D1948" s="14"/>
      <c r="E1948" s="14"/>
      <c r="F1948" s="14"/>
      <c r="T1948"/>
      <c r="AK1948" s="12"/>
      <c r="AL1948" s="1"/>
      <c r="AM1948" s="1"/>
      <c r="AN1948" s="1"/>
      <c r="AO1948" s="2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</row>
    <row r="1949" spans="1:58" x14ac:dyDescent="0.25">
      <c r="A1949" s="14"/>
      <c r="B1949" s="14"/>
      <c r="C1949" s="14"/>
      <c r="D1949" s="14"/>
      <c r="E1949" s="14"/>
      <c r="F1949" s="14"/>
      <c r="T1949"/>
      <c r="AK1949" s="12"/>
      <c r="AL1949" s="1"/>
      <c r="AM1949" s="1"/>
      <c r="AN1949" s="1"/>
      <c r="AO1949" s="2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</row>
    <row r="1950" spans="1:58" x14ac:dyDescent="0.25">
      <c r="A1950" s="14"/>
      <c r="B1950" s="14"/>
      <c r="C1950" s="14"/>
      <c r="D1950" s="14"/>
      <c r="E1950" s="14"/>
      <c r="F1950" s="14"/>
      <c r="T1950"/>
      <c r="AK1950" s="12"/>
      <c r="AL1950" s="1"/>
      <c r="AM1950" s="1"/>
      <c r="AN1950" s="1"/>
      <c r="AO1950" s="2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</row>
    <row r="1951" spans="1:58" x14ac:dyDescent="0.25">
      <c r="A1951" s="14"/>
      <c r="B1951" s="14"/>
      <c r="C1951" s="14"/>
      <c r="D1951" s="14"/>
      <c r="E1951" s="14"/>
      <c r="F1951" s="14"/>
      <c r="T1951"/>
      <c r="AK1951" s="12"/>
      <c r="AL1951" s="1"/>
      <c r="AM1951" s="1"/>
      <c r="AN1951" s="1"/>
      <c r="AO1951" s="2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</row>
    <row r="1952" spans="1:58" x14ac:dyDescent="0.25">
      <c r="A1952" s="14"/>
      <c r="B1952" s="14"/>
      <c r="C1952" s="14"/>
      <c r="D1952" s="14"/>
      <c r="E1952" s="14"/>
      <c r="F1952" s="14"/>
      <c r="T1952"/>
      <c r="AK1952" s="12"/>
      <c r="AL1952" s="1"/>
      <c r="AM1952" s="1"/>
      <c r="AN1952" s="1"/>
      <c r="AO1952" s="2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</row>
    <row r="1953" spans="1:58" x14ac:dyDescent="0.25">
      <c r="A1953" s="14"/>
      <c r="B1953" s="14"/>
      <c r="C1953" s="14"/>
      <c r="D1953" s="14"/>
      <c r="E1953" s="14"/>
      <c r="F1953" s="14"/>
      <c r="T1953"/>
      <c r="AK1953" s="12"/>
      <c r="AL1953" s="1"/>
      <c r="AM1953" s="1"/>
      <c r="AN1953" s="1"/>
      <c r="AO1953" s="2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</row>
    <row r="1954" spans="1:58" x14ac:dyDescent="0.25">
      <c r="A1954" s="14"/>
      <c r="B1954" s="14"/>
      <c r="C1954" s="14"/>
      <c r="D1954" s="14"/>
      <c r="E1954" s="14"/>
      <c r="F1954" s="14"/>
      <c r="T1954"/>
      <c r="AK1954" s="12"/>
      <c r="AL1954" s="1"/>
      <c r="AM1954" s="1"/>
      <c r="AN1954" s="1"/>
      <c r="AO1954" s="2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</row>
    <row r="1955" spans="1:58" x14ac:dyDescent="0.25">
      <c r="A1955" s="14"/>
      <c r="B1955" s="14"/>
      <c r="C1955" s="14"/>
      <c r="D1955" s="14"/>
      <c r="E1955" s="14"/>
      <c r="F1955" s="14"/>
      <c r="T1955"/>
      <c r="AK1955" s="12"/>
      <c r="AL1955" s="1"/>
      <c r="AM1955" s="1"/>
      <c r="AN1955" s="1"/>
      <c r="AO1955" s="2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</row>
    <row r="1956" spans="1:58" x14ac:dyDescent="0.25">
      <c r="A1956" s="14"/>
      <c r="B1956" s="14"/>
      <c r="C1956" s="14"/>
      <c r="D1956" s="14"/>
      <c r="E1956" s="14"/>
      <c r="F1956" s="14"/>
      <c r="T1956"/>
      <c r="AK1956" s="12"/>
      <c r="AL1956" s="1"/>
      <c r="AM1956" s="1"/>
      <c r="AN1956" s="1"/>
      <c r="AO1956" s="2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</row>
    <row r="1957" spans="1:58" x14ac:dyDescent="0.25">
      <c r="A1957" s="14"/>
      <c r="B1957" s="14"/>
      <c r="C1957" s="14"/>
      <c r="D1957" s="14"/>
      <c r="E1957" s="14"/>
      <c r="F1957" s="14"/>
      <c r="T1957"/>
      <c r="AK1957" s="12"/>
      <c r="AL1957" s="1"/>
      <c r="AM1957" s="1"/>
      <c r="AN1957" s="1"/>
      <c r="AO1957" s="2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</row>
    <row r="1958" spans="1:58" x14ac:dyDescent="0.25">
      <c r="A1958" s="14"/>
      <c r="B1958" s="14"/>
      <c r="C1958" s="14"/>
      <c r="D1958" s="14"/>
      <c r="E1958" s="14"/>
      <c r="F1958" s="14"/>
      <c r="T1958"/>
      <c r="AK1958" s="12"/>
      <c r="AL1958" s="1"/>
      <c r="AM1958" s="1"/>
      <c r="AN1958" s="1"/>
      <c r="AO1958" s="2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</row>
    <row r="1959" spans="1:58" x14ac:dyDescent="0.25">
      <c r="A1959" s="14"/>
      <c r="B1959" s="14"/>
      <c r="C1959" s="14"/>
      <c r="D1959" s="14"/>
      <c r="E1959" s="14"/>
      <c r="F1959" s="14"/>
      <c r="T1959"/>
      <c r="AK1959" s="12"/>
      <c r="AL1959" s="1"/>
      <c r="AM1959" s="1"/>
      <c r="AN1959" s="1"/>
      <c r="AO1959" s="2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</row>
    <row r="1960" spans="1:58" x14ac:dyDescent="0.25">
      <c r="A1960" s="14"/>
      <c r="B1960" s="14"/>
      <c r="C1960" s="14"/>
      <c r="D1960" s="14"/>
      <c r="E1960" s="14"/>
      <c r="F1960" s="14"/>
      <c r="T1960"/>
      <c r="AK1960" s="12"/>
      <c r="AL1960" s="1"/>
      <c r="AM1960" s="1"/>
      <c r="AN1960" s="1"/>
      <c r="AO1960" s="2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</row>
    <row r="1961" spans="1:58" x14ac:dyDescent="0.25">
      <c r="A1961" s="14"/>
      <c r="B1961" s="14"/>
      <c r="C1961" s="14"/>
      <c r="D1961" s="14"/>
      <c r="E1961" s="14"/>
      <c r="F1961" s="14"/>
      <c r="T1961"/>
      <c r="AK1961" s="12"/>
      <c r="AL1961" s="1"/>
      <c r="AM1961" s="1"/>
      <c r="AN1961" s="1"/>
      <c r="AO1961" s="2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</row>
    <row r="1962" spans="1:58" x14ac:dyDescent="0.25">
      <c r="A1962" s="14"/>
      <c r="B1962" s="14"/>
      <c r="C1962" s="14"/>
      <c r="D1962" s="14"/>
      <c r="E1962" s="14"/>
      <c r="F1962" s="14"/>
      <c r="T1962"/>
      <c r="AK1962" s="12"/>
      <c r="AL1962" s="1"/>
      <c r="AM1962" s="1"/>
      <c r="AN1962" s="1"/>
      <c r="AO1962" s="2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</row>
    <row r="1963" spans="1:58" x14ac:dyDescent="0.25">
      <c r="A1963" s="14"/>
      <c r="B1963" s="14"/>
      <c r="C1963" s="14"/>
      <c r="D1963" s="14"/>
      <c r="E1963" s="14"/>
      <c r="F1963" s="14"/>
      <c r="T1963"/>
      <c r="AK1963" s="12"/>
      <c r="AL1963" s="1"/>
      <c r="AM1963" s="1"/>
      <c r="AN1963" s="1"/>
      <c r="AO1963" s="2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</row>
    <row r="1964" spans="1:58" x14ac:dyDescent="0.25">
      <c r="A1964" s="14"/>
      <c r="B1964" s="14"/>
      <c r="C1964" s="14"/>
      <c r="D1964" s="14"/>
      <c r="E1964" s="14"/>
      <c r="F1964" s="14"/>
      <c r="T1964"/>
      <c r="AK1964" s="12"/>
      <c r="AL1964" s="1"/>
      <c r="AM1964" s="1"/>
      <c r="AN1964" s="1"/>
      <c r="AO1964" s="2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</row>
    <row r="1965" spans="1:58" x14ac:dyDescent="0.25">
      <c r="A1965" s="14"/>
      <c r="B1965" s="14"/>
      <c r="C1965" s="14"/>
      <c r="D1965" s="14"/>
      <c r="E1965" s="14"/>
      <c r="F1965" s="14"/>
      <c r="T1965"/>
      <c r="AK1965" s="12"/>
      <c r="AL1965" s="1"/>
      <c r="AM1965" s="1"/>
      <c r="AN1965" s="1"/>
      <c r="AO1965" s="2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</row>
    <row r="1966" spans="1:58" x14ac:dyDescent="0.25">
      <c r="A1966" s="14"/>
      <c r="B1966" s="14"/>
      <c r="C1966" s="14"/>
      <c r="D1966" s="14"/>
      <c r="E1966" s="14"/>
      <c r="F1966" s="14"/>
      <c r="T1966"/>
      <c r="AK1966" s="12"/>
      <c r="AL1966" s="1"/>
      <c r="AM1966" s="1"/>
      <c r="AN1966" s="1"/>
      <c r="AO1966" s="2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</row>
    <row r="1967" spans="1:58" x14ac:dyDescent="0.25">
      <c r="A1967" s="14"/>
      <c r="B1967" s="14"/>
      <c r="C1967" s="14"/>
      <c r="D1967" s="14"/>
      <c r="E1967" s="14"/>
      <c r="F1967" s="14"/>
      <c r="T1967"/>
      <c r="AK1967" s="12"/>
      <c r="AL1967" s="1"/>
      <c r="AM1967" s="1"/>
      <c r="AN1967" s="1"/>
      <c r="AO1967" s="2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</row>
    <row r="1968" spans="1:58" x14ac:dyDescent="0.25">
      <c r="A1968" s="14"/>
      <c r="B1968" s="14"/>
      <c r="C1968" s="14"/>
      <c r="D1968" s="14"/>
      <c r="E1968" s="14"/>
      <c r="F1968" s="14"/>
      <c r="T1968"/>
      <c r="AK1968" s="12"/>
      <c r="AL1968" s="1"/>
      <c r="AM1968" s="1"/>
      <c r="AN1968" s="1"/>
      <c r="AO1968" s="2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</row>
    <row r="1969" spans="1:58" x14ac:dyDescent="0.25">
      <c r="A1969" s="14"/>
      <c r="B1969" s="14"/>
      <c r="C1969" s="14"/>
      <c r="D1969" s="14"/>
      <c r="E1969" s="14"/>
      <c r="F1969" s="14"/>
      <c r="T1969"/>
      <c r="AK1969" s="12"/>
      <c r="AL1969" s="1"/>
      <c r="AM1969" s="1"/>
      <c r="AN1969" s="1"/>
      <c r="AO1969" s="2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</row>
    <row r="1970" spans="1:58" x14ac:dyDescent="0.25">
      <c r="A1970" s="14"/>
      <c r="B1970" s="14"/>
      <c r="C1970" s="14"/>
      <c r="D1970" s="14"/>
      <c r="E1970" s="14"/>
      <c r="F1970" s="14"/>
      <c r="T1970"/>
      <c r="AK1970" s="12"/>
      <c r="AL1970" s="1"/>
      <c r="AM1970" s="1"/>
      <c r="AN1970" s="1"/>
      <c r="AO1970" s="2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</row>
    <row r="1971" spans="1:58" x14ac:dyDescent="0.25">
      <c r="A1971" s="14"/>
      <c r="B1971" s="14"/>
      <c r="C1971" s="14"/>
      <c r="D1971" s="14"/>
      <c r="E1971" s="14"/>
      <c r="F1971" s="14"/>
      <c r="T1971"/>
      <c r="AK1971" s="12"/>
      <c r="AL1971" s="1"/>
      <c r="AM1971" s="1"/>
      <c r="AN1971" s="1"/>
      <c r="AO1971" s="2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</row>
    <row r="1972" spans="1:58" x14ac:dyDescent="0.25">
      <c r="A1972" s="14"/>
      <c r="B1972" s="14"/>
      <c r="C1972" s="14"/>
      <c r="D1972" s="14"/>
      <c r="E1972" s="14"/>
      <c r="F1972" s="14"/>
      <c r="T1972"/>
      <c r="AK1972" s="12"/>
      <c r="AL1972" s="1"/>
      <c r="AM1972" s="1"/>
      <c r="AN1972" s="1"/>
      <c r="AO1972" s="2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</row>
    <row r="1973" spans="1:58" x14ac:dyDescent="0.25">
      <c r="A1973" s="14"/>
      <c r="B1973" s="14"/>
      <c r="C1973" s="14"/>
      <c r="D1973" s="14"/>
      <c r="E1973" s="14"/>
      <c r="F1973" s="14"/>
      <c r="T1973"/>
      <c r="AK1973" s="12"/>
      <c r="AL1973" s="1"/>
      <c r="AM1973" s="1"/>
      <c r="AN1973" s="1"/>
      <c r="AO1973" s="2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</row>
    <row r="1974" spans="1:58" x14ac:dyDescent="0.25">
      <c r="A1974" s="14"/>
      <c r="B1974" s="14"/>
      <c r="C1974" s="14"/>
      <c r="D1974" s="14"/>
      <c r="E1974" s="14"/>
      <c r="F1974" s="14"/>
      <c r="T1974"/>
      <c r="AK1974" s="12"/>
      <c r="AL1974" s="1"/>
      <c r="AM1974" s="1"/>
      <c r="AN1974" s="1"/>
      <c r="AO1974" s="2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</row>
    <row r="1975" spans="1:58" x14ac:dyDescent="0.25">
      <c r="A1975" s="14"/>
      <c r="B1975" s="14"/>
      <c r="C1975" s="14"/>
      <c r="D1975" s="14"/>
      <c r="E1975" s="14"/>
      <c r="F1975" s="14"/>
      <c r="T1975"/>
      <c r="AK1975" s="12"/>
      <c r="AL1975" s="1"/>
      <c r="AM1975" s="1"/>
      <c r="AN1975" s="1"/>
      <c r="AO1975" s="2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</row>
    <row r="1976" spans="1:58" x14ac:dyDescent="0.25">
      <c r="A1976" s="14"/>
      <c r="B1976" s="14"/>
      <c r="C1976" s="14"/>
      <c r="D1976" s="14"/>
      <c r="E1976" s="14"/>
      <c r="F1976" s="14"/>
      <c r="T1976"/>
      <c r="AK1976" s="12"/>
      <c r="AL1976" s="1"/>
      <c r="AM1976" s="1"/>
      <c r="AN1976" s="1"/>
      <c r="AO1976" s="2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</row>
    <row r="1977" spans="1:58" x14ac:dyDescent="0.25">
      <c r="A1977" s="14"/>
      <c r="B1977" s="14"/>
      <c r="C1977" s="14"/>
      <c r="D1977" s="14"/>
      <c r="E1977" s="14"/>
      <c r="F1977" s="14"/>
      <c r="T1977"/>
      <c r="AK1977" s="12"/>
      <c r="AL1977" s="1"/>
      <c r="AM1977" s="1"/>
      <c r="AN1977" s="1"/>
      <c r="AO1977" s="2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</row>
    <row r="1978" spans="1:58" x14ac:dyDescent="0.25">
      <c r="A1978" s="14"/>
      <c r="B1978" s="14"/>
      <c r="C1978" s="14"/>
      <c r="D1978" s="14"/>
      <c r="E1978" s="14"/>
      <c r="F1978" s="14"/>
      <c r="T1978"/>
      <c r="AK1978" s="12"/>
      <c r="AL1978" s="1"/>
      <c r="AM1978" s="1"/>
      <c r="AN1978" s="1"/>
      <c r="AO1978" s="2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</row>
    <row r="1979" spans="1:58" x14ac:dyDescent="0.25">
      <c r="A1979" s="14"/>
      <c r="B1979" s="14"/>
      <c r="C1979" s="14"/>
      <c r="D1979" s="14"/>
      <c r="E1979" s="14"/>
      <c r="F1979" s="14"/>
      <c r="T1979"/>
      <c r="AK1979" s="12"/>
      <c r="AL1979" s="1"/>
      <c r="AM1979" s="1"/>
      <c r="AN1979" s="1"/>
      <c r="AO1979" s="2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</row>
    <row r="1980" spans="1:58" x14ac:dyDescent="0.25">
      <c r="A1980" s="14"/>
      <c r="B1980" s="14"/>
      <c r="C1980" s="14"/>
      <c r="D1980" s="14"/>
      <c r="E1980" s="14"/>
      <c r="F1980" s="14"/>
      <c r="T1980"/>
      <c r="AK1980" s="12"/>
      <c r="AL1980" s="1"/>
      <c r="AM1980" s="1"/>
      <c r="AN1980" s="1"/>
      <c r="AO1980" s="2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</row>
    <row r="1981" spans="1:58" x14ac:dyDescent="0.25">
      <c r="A1981" s="14"/>
      <c r="B1981" s="14"/>
      <c r="C1981" s="14"/>
      <c r="D1981" s="14"/>
      <c r="E1981" s="14"/>
      <c r="F1981" s="14"/>
      <c r="T1981"/>
      <c r="AK1981" s="12"/>
      <c r="AL1981" s="1"/>
      <c r="AM1981" s="1"/>
      <c r="AN1981" s="1"/>
      <c r="AO1981" s="2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</row>
    <row r="1982" spans="1:58" x14ac:dyDescent="0.25">
      <c r="A1982" s="14"/>
      <c r="B1982" s="14"/>
      <c r="C1982" s="14"/>
      <c r="D1982" s="14"/>
      <c r="E1982" s="14"/>
      <c r="F1982" s="14"/>
      <c r="T1982"/>
      <c r="AK1982" s="12"/>
      <c r="AL1982" s="1"/>
      <c r="AM1982" s="1"/>
      <c r="AN1982" s="1"/>
      <c r="AO1982" s="2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</row>
    <row r="1983" spans="1:58" x14ac:dyDescent="0.25">
      <c r="A1983" s="14"/>
      <c r="B1983" s="14"/>
      <c r="C1983" s="14"/>
      <c r="D1983" s="14"/>
      <c r="E1983" s="14"/>
      <c r="F1983" s="14"/>
      <c r="T1983"/>
      <c r="AK1983" s="12"/>
      <c r="AL1983" s="1"/>
      <c r="AM1983" s="1"/>
      <c r="AN1983" s="1"/>
      <c r="AO1983" s="2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</row>
    <row r="1984" spans="1:58" x14ac:dyDescent="0.25">
      <c r="A1984" s="14"/>
      <c r="B1984" s="14"/>
      <c r="C1984" s="14"/>
      <c r="D1984" s="14"/>
      <c r="E1984" s="14"/>
      <c r="F1984" s="14"/>
      <c r="T1984"/>
      <c r="AK1984" s="12"/>
      <c r="AL1984" s="1"/>
      <c r="AM1984" s="1"/>
      <c r="AN1984" s="1"/>
      <c r="AO1984" s="2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</row>
    <row r="1985" spans="1:58" x14ac:dyDescent="0.25">
      <c r="A1985" s="14"/>
      <c r="B1985" s="14"/>
      <c r="C1985" s="14"/>
      <c r="D1985" s="14"/>
      <c r="E1985" s="14"/>
      <c r="F1985" s="14"/>
      <c r="T1985"/>
      <c r="AK1985" s="12"/>
      <c r="AL1985" s="1"/>
      <c r="AM1985" s="1"/>
      <c r="AN1985" s="1"/>
      <c r="AO1985" s="2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</row>
    <row r="1986" spans="1:58" x14ac:dyDescent="0.25">
      <c r="A1986" s="14"/>
      <c r="B1986" s="14"/>
      <c r="C1986" s="14"/>
      <c r="D1986" s="14"/>
      <c r="E1986" s="14"/>
      <c r="F1986" s="14"/>
      <c r="T1986"/>
      <c r="AK1986" s="12"/>
      <c r="AL1986" s="1"/>
      <c r="AM1986" s="1"/>
      <c r="AN1986" s="1"/>
      <c r="AO1986" s="2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</row>
    <row r="1987" spans="1:58" x14ac:dyDescent="0.25">
      <c r="A1987" s="14"/>
      <c r="B1987" s="14"/>
      <c r="C1987" s="14"/>
      <c r="D1987" s="14"/>
      <c r="E1987" s="14"/>
      <c r="F1987" s="14"/>
      <c r="T1987"/>
      <c r="AK1987" s="12"/>
      <c r="AL1987" s="1"/>
      <c r="AM1987" s="1"/>
      <c r="AN1987" s="1"/>
      <c r="AO1987" s="2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</row>
    <row r="1988" spans="1:58" x14ac:dyDescent="0.25">
      <c r="A1988" s="14"/>
      <c r="B1988" s="14"/>
      <c r="C1988" s="14"/>
      <c r="D1988" s="14"/>
      <c r="E1988" s="14"/>
      <c r="F1988" s="14"/>
      <c r="T1988"/>
      <c r="AK1988" s="12"/>
      <c r="AL1988" s="1"/>
      <c r="AM1988" s="1"/>
      <c r="AN1988" s="1"/>
      <c r="AO1988" s="2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</row>
    <row r="1989" spans="1:58" x14ac:dyDescent="0.25">
      <c r="A1989" s="14"/>
      <c r="B1989" s="14"/>
      <c r="C1989" s="14"/>
      <c r="D1989" s="14"/>
      <c r="E1989" s="14"/>
      <c r="F1989" s="14"/>
      <c r="T1989"/>
      <c r="AK1989" s="12"/>
      <c r="AL1989" s="1"/>
      <c r="AM1989" s="1"/>
      <c r="AN1989" s="1"/>
      <c r="AO1989" s="2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</row>
    <row r="1990" spans="1:58" x14ac:dyDescent="0.25">
      <c r="A1990" s="14"/>
      <c r="B1990" s="14"/>
      <c r="C1990" s="14"/>
      <c r="D1990" s="14"/>
      <c r="E1990" s="14"/>
      <c r="F1990" s="14"/>
      <c r="T1990"/>
      <c r="AK1990" s="12"/>
      <c r="AL1990" s="1"/>
      <c r="AM1990" s="1"/>
      <c r="AN1990" s="1"/>
      <c r="AO1990" s="2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</row>
    <row r="1991" spans="1:58" x14ac:dyDescent="0.25">
      <c r="A1991" s="14"/>
      <c r="B1991" s="14"/>
      <c r="C1991" s="14"/>
      <c r="D1991" s="14"/>
      <c r="E1991" s="14"/>
      <c r="F1991" s="14"/>
      <c r="T1991"/>
      <c r="AK1991" s="12"/>
      <c r="AL1991" s="1"/>
      <c r="AM1991" s="1"/>
      <c r="AN1991" s="1"/>
      <c r="AO1991" s="2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</row>
    <row r="1992" spans="1:58" x14ac:dyDescent="0.25">
      <c r="A1992" s="14"/>
      <c r="B1992" s="14"/>
      <c r="C1992" s="14"/>
      <c r="D1992" s="14"/>
      <c r="E1992" s="14"/>
      <c r="F1992" s="14"/>
      <c r="T1992"/>
      <c r="AK1992" s="12"/>
      <c r="AL1992" s="1"/>
      <c r="AM1992" s="1"/>
      <c r="AN1992" s="1"/>
      <c r="AO1992" s="2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</row>
    <row r="1993" spans="1:58" x14ac:dyDescent="0.25">
      <c r="A1993" s="14"/>
      <c r="B1993" s="14"/>
      <c r="C1993" s="14"/>
      <c r="D1993" s="14"/>
      <c r="E1993" s="14"/>
      <c r="F1993" s="14"/>
      <c r="T1993"/>
      <c r="AK1993" s="12"/>
      <c r="AL1993" s="1"/>
      <c r="AM1993" s="1"/>
      <c r="AN1993" s="1"/>
      <c r="AO1993" s="2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</row>
    <row r="1994" spans="1:58" x14ac:dyDescent="0.25">
      <c r="A1994" s="14"/>
      <c r="B1994" s="14"/>
      <c r="C1994" s="14"/>
      <c r="D1994" s="14"/>
      <c r="E1994" s="14"/>
      <c r="F1994" s="14"/>
      <c r="T1994"/>
      <c r="AK1994" s="12"/>
      <c r="AL1994" s="1"/>
      <c r="AM1994" s="1"/>
      <c r="AN1994" s="1"/>
      <c r="AO1994" s="2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</row>
    <row r="1995" spans="1:58" x14ac:dyDescent="0.25">
      <c r="A1995" s="14"/>
      <c r="B1995" s="14"/>
      <c r="C1995" s="14"/>
      <c r="D1995" s="14"/>
      <c r="E1995" s="14"/>
      <c r="F1995" s="14"/>
      <c r="T1995"/>
      <c r="AK1995" s="12"/>
      <c r="AL1995" s="1"/>
      <c r="AM1995" s="1"/>
      <c r="AN1995" s="1"/>
      <c r="AO1995" s="2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</row>
    <row r="1996" spans="1:58" x14ac:dyDescent="0.25">
      <c r="A1996" s="14"/>
      <c r="B1996" s="14"/>
      <c r="C1996" s="14"/>
      <c r="D1996" s="14"/>
      <c r="E1996" s="14"/>
      <c r="F1996" s="14"/>
      <c r="T1996"/>
      <c r="AK1996" s="12"/>
      <c r="AL1996" s="1"/>
      <c r="AM1996" s="1"/>
      <c r="AN1996" s="1"/>
      <c r="AO1996" s="2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</row>
    <row r="1997" spans="1:58" x14ac:dyDescent="0.25">
      <c r="A1997" s="14"/>
      <c r="B1997" s="14"/>
      <c r="C1997" s="14"/>
      <c r="D1997" s="14"/>
      <c r="E1997" s="14"/>
      <c r="F1997" s="14"/>
      <c r="T1997"/>
      <c r="AK1997" s="12"/>
      <c r="AL1997" s="1"/>
      <c r="AM1997" s="1"/>
      <c r="AN1997" s="1"/>
      <c r="AO1997" s="2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</row>
    <row r="1998" spans="1:58" x14ac:dyDescent="0.25">
      <c r="A1998" s="14"/>
      <c r="B1998" s="14"/>
      <c r="C1998" s="14"/>
      <c r="D1998" s="14"/>
      <c r="E1998" s="14"/>
      <c r="F1998" s="14"/>
      <c r="T1998"/>
      <c r="AK1998" s="12"/>
      <c r="AL1998" s="1"/>
      <c r="AM1998" s="1"/>
      <c r="AN1998" s="1"/>
      <c r="AO1998" s="2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</row>
    <row r="1999" spans="1:58" x14ac:dyDescent="0.25">
      <c r="A1999" s="14"/>
      <c r="B1999" s="14"/>
      <c r="C1999" s="14"/>
      <c r="D1999" s="14"/>
      <c r="E1999" s="14"/>
      <c r="F1999" s="14"/>
      <c r="T1999"/>
      <c r="AK1999" s="12"/>
      <c r="AL1999" s="1"/>
      <c r="AM1999" s="1"/>
      <c r="AN1999" s="1"/>
      <c r="AO1999" s="2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</row>
    <row r="2000" spans="1:58" x14ac:dyDescent="0.25">
      <c r="A2000" s="14"/>
      <c r="B2000" s="14"/>
      <c r="C2000" s="14"/>
      <c r="D2000" s="14"/>
      <c r="E2000" s="14"/>
      <c r="F2000" s="14"/>
      <c r="T2000"/>
      <c r="AK2000" s="12"/>
      <c r="AL2000" s="1"/>
      <c r="AM2000" s="1"/>
      <c r="AN2000" s="1"/>
      <c r="AO2000" s="2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</row>
    <row r="2001" spans="1:58" x14ac:dyDescent="0.25">
      <c r="A2001" s="14"/>
      <c r="B2001" s="14"/>
      <c r="C2001" s="14"/>
      <c r="D2001" s="14"/>
      <c r="E2001" s="14"/>
      <c r="F2001" s="14"/>
      <c r="T2001"/>
      <c r="AK2001" s="12"/>
      <c r="AL2001" s="1"/>
      <c r="AM2001" s="1"/>
      <c r="AN2001" s="1"/>
      <c r="AO2001" s="2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</row>
    <row r="2002" spans="1:58" x14ac:dyDescent="0.25">
      <c r="A2002" s="14"/>
      <c r="B2002" s="14"/>
      <c r="C2002" s="14"/>
      <c r="D2002" s="14"/>
      <c r="E2002" s="14"/>
      <c r="F2002" s="14"/>
      <c r="T2002"/>
      <c r="AK2002" s="12"/>
      <c r="AL2002" s="1"/>
      <c r="AM2002" s="1"/>
      <c r="AN2002" s="1"/>
      <c r="AO2002" s="2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</row>
    <row r="2003" spans="1:58" x14ac:dyDescent="0.25">
      <c r="A2003" s="14"/>
      <c r="B2003" s="14"/>
      <c r="C2003" s="14"/>
      <c r="D2003" s="14"/>
      <c r="E2003" s="14"/>
      <c r="F2003" s="14"/>
      <c r="T2003"/>
      <c r="AK2003" s="12"/>
      <c r="AL2003" s="1"/>
      <c r="AM2003" s="1"/>
      <c r="AN2003" s="1"/>
      <c r="AO2003" s="2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</row>
    <row r="2004" spans="1:58" x14ac:dyDescent="0.25">
      <c r="A2004" s="14"/>
      <c r="B2004" s="14"/>
      <c r="C2004" s="14"/>
      <c r="D2004" s="14"/>
      <c r="E2004" s="14"/>
      <c r="F2004" s="14"/>
      <c r="T2004"/>
      <c r="AK2004" s="12"/>
      <c r="AL2004" s="1"/>
      <c r="AM2004" s="1"/>
      <c r="AN2004" s="1"/>
      <c r="AO2004" s="2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</row>
    <row r="2005" spans="1:58" x14ac:dyDescent="0.25">
      <c r="A2005" s="14"/>
      <c r="B2005" s="14"/>
      <c r="C2005" s="14"/>
      <c r="D2005" s="14"/>
      <c r="E2005" s="14"/>
      <c r="F2005" s="14"/>
      <c r="T2005"/>
      <c r="AK2005" s="12"/>
      <c r="AL2005" s="1"/>
      <c r="AM2005" s="1"/>
      <c r="AN2005" s="1"/>
      <c r="AO2005" s="2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</row>
    <row r="2006" spans="1:58" x14ac:dyDescent="0.25">
      <c r="A2006" s="14"/>
      <c r="B2006" s="14"/>
      <c r="C2006" s="14"/>
      <c r="D2006" s="14"/>
      <c r="E2006" s="14"/>
      <c r="F2006" s="14"/>
      <c r="T2006"/>
      <c r="AK2006" s="12"/>
      <c r="AL2006" s="1"/>
      <c r="AM2006" s="1"/>
      <c r="AN2006" s="1"/>
      <c r="AO2006" s="2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</row>
    <row r="2007" spans="1:58" x14ac:dyDescent="0.25">
      <c r="A2007" s="14"/>
      <c r="B2007" s="14"/>
      <c r="C2007" s="14"/>
      <c r="D2007" s="14"/>
      <c r="E2007" s="14"/>
      <c r="F2007" s="14"/>
      <c r="T2007"/>
      <c r="AK2007" s="12"/>
      <c r="AL2007" s="1"/>
      <c r="AM2007" s="1"/>
      <c r="AN2007" s="1"/>
      <c r="AO2007" s="2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</row>
    <row r="2008" spans="1:58" x14ac:dyDescent="0.25">
      <c r="A2008" s="14"/>
      <c r="B2008" s="14"/>
      <c r="C2008" s="14"/>
      <c r="D2008" s="14"/>
      <c r="E2008" s="14"/>
      <c r="F2008" s="14"/>
      <c r="T2008"/>
      <c r="AK2008" s="12"/>
      <c r="AL2008" s="1"/>
      <c r="AM2008" s="1"/>
      <c r="AN2008" s="1"/>
      <c r="AO2008" s="2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</row>
    <row r="2009" spans="1:58" x14ac:dyDescent="0.25">
      <c r="A2009" s="14"/>
      <c r="B2009" s="14"/>
      <c r="C2009" s="14"/>
      <c r="D2009" s="14"/>
      <c r="E2009" s="14"/>
      <c r="F2009" s="14"/>
      <c r="T2009"/>
      <c r="AK2009" s="12"/>
      <c r="AL2009" s="1"/>
      <c r="AM2009" s="1"/>
      <c r="AN2009" s="1"/>
      <c r="AO2009" s="2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</row>
    <row r="2010" spans="1:58" x14ac:dyDescent="0.25">
      <c r="A2010" s="14"/>
      <c r="B2010" s="14"/>
      <c r="C2010" s="14"/>
      <c r="D2010" s="14"/>
      <c r="E2010" s="14"/>
      <c r="F2010" s="14"/>
      <c r="T2010"/>
      <c r="AK2010" s="12"/>
      <c r="AL2010" s="1"/>
      <c r="AM2010" s="1"/>
      <c r="AN2010" s="1"/>
      <c r="AO2010" s="2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</row>
    <row r="2011" spans="1:58" x14ac:dyDescent="0.25">
      <c r="A2011" s="14"/>
      <c r="B2011" s="14"/>
      <c r="C2011" s="14"/>
      <c r="D2011" s="14"/>
      <c r="E2011" s="14"/>
      <c r="F2011" s="14"/>
      <c r="T2011"/>
      <c r="AK2011" s="12"/>
      <c r="AL2011" s="1"/>
      <c r="AM2011" s="1"/>
      <c r="AN2011" s="1"/>
      <c r="AO2011" s="2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</row>
    <row r="2012" spans="1:58" x14ac:dyDescent="0.25">
      <c r="A2012" s="14"/>
      <c r="B2012" s="14"/>
      <c r="C2012" s="14"/>
      <c r="D2012" s="14"/>
      <c r="E2012" s="14"/>
      <c r="F2012" s="14"/>
      <c r="T2012"/>
      <c r="AK2012" s="12"/>
      <c r="AL2012" s="1"/>
      <c r="AM2012" s="1"/>
      <c r="AN2012" s="1"/>
      <c r="AO2012" s="2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</row>
    <row r="2013" spans="1:58" x14ac:dyDescent="0.25">
      <c r="A2013" s="14"/>
      <c r="B2013" s="14"/>
      <c r="C2013" s="14"/>
      <c r="D2013" s="14"/>
      <c r="E2013" s="14"/>
      <c r="F2013" s="14"/>
      <c r="T2013"/>
      <c r="AK2013" s="12"/>
      <c r="AL2013" s="1"/>
      <c r="AM2013" s="1"/>
      <c r="AN2013" s="1"/>
      <c r="AO2013" s="2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</row>
    <row r="2014" spans="1:58" x14ac:dyDescent="0.25">
      <c r="A2014" s="14"/>
      <c r="B2014" s="14"/>
      <c r="C2014" s="14"/>
      <c r="D2014" s="14"/>
      <c r="E2014" s="14"/>
      <c r="F2014" s="14"/>
      <c r="T2014"/>
      <c r="AK2014" s="12"/>
      <c r="AL2014" s="1"/>
      <c r="AM2014" s="1"/>
      <c r="AN2014" s="1"/>
      <c r="AO2014" s="2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</row>
    <row r="2015" spans="1:58" x14ac:dyDescent="0.25">
      <c r="A2015" s="14"/>
      <c r="B2015" s="14"/>
      <c r="C2015" s="14"/>
      <c r="D2015" s="14"/>
      <c r="E2015" s="14"/>
      <c r="F2015" s="14"/>
      <c r="T2015"/>
      <c r="AK2015" s="12"/>
      <c r="AL2015" s="1"/>
      <c r="AM2015" s="1"/>
      <c r="AN2015" s="1"/>
      <c r="AO2015" s="2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</row>
    <row r="2016" spans="1:58" x14ac:dyDescent="0.25">
      <c r="A2016" s="14"/>
      <c r="B2016" s="14"/>
      <c r="C2016" s="14"/>
      <c r="D2016" s="14"/>
      <c r="E2016" s="14"/>
      <c r="F2016" s="14"/>
      <c r="T2016"/>
      <c r="AK2016" s="12"/>
      <c r="AL2016" s="1"/>
      <c r="AM2016" s="1"/>
      <c r="AN2016" s="1"/>
      <c r="AO2016" s="2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</row>
    <row r="2017" spans="1:58" x14ac:dyDescent="0.25">
      <c r="A2017" s="14"/>
      <c r="B2017" s="14"/>
      <c r="C2017" s="14"/>
      <c r="D2017" s="14"/>
      <c r="E2017" s="14"/>
      <c r="F2017" s="14"/>
      <c r="T2017"/>
      <c r="AK2017" s="12"/>
      <c r="AL2017" s="1"/>
      <c r="AM2017" s="1"/>
      <c r="AN2017" s="1"/>
      <c r="AO2017" s="2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</row>
    <row r="2018" spans="1:58" x14ac:dyDescent="0.25">
      <c r="A2018" s="14"/>
      <c r="B2018" s="14"/>
      <c r="C2018" s="14"/>
      <c r="D2018" s="14"/>
      <c r="E2018" s="14"/>
      <c r="F2018" s="14"/>
      <c r="T2018"/>
      <c r="AK2018" s="12"/>
      <c r="AL2018" s="1"/>
      <c r="AM2018" s="1"/>
      <c r="AN2018" s="1"/>
      <c r="AO2018" s="2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</row>
    <row r="2019" spans="1:58" x14ac:dyDescent="0.25">
      <c r="A2019" s="14"/>
      <c r="B2019" s="14"/>
      <c r="C2019" s="14"/>
      <c r="D2019" s="14"/>
      <c r="E2019" s="14"/>
      <c r="F2019" s="14"/>
      <c r="T2019"/>
      <c r="AK2019" s="12"/>
      <c r="AL2019" s="1"/>
      <c r="AM2019" s="1"/>
      <c r="AN2019" s="1"/>
      <c r="AO2019" s="2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</row>
    <row r="2020" spans="1:58" x14ac:dyDescent="0.25">
      <c r="A2020" s="14"/>
      <c r="B2020" s="14"/>
      <c r="C2020" s="14"/>
      <c r="D2020" s="14"/>
      <c r="E2020" s="14"/>
      <c r="F2020" s="14"/>
      <c r="T2020"/>
      <c r="AK2020" s="12"/>
      <c r="AL2020" s="1"/>
      <c r="AM2020" s="1"/>
      <c r="AN2020" s="1"/>
      <c r="AO2020" s="2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</row>
    <row r="2021" spans="1:58" x14ac:dyDescent="0.25">
      <c r="A2021" s="14"/>
      <c r="B2021" s="14"/>
      <c r="C2021" s="14"/>
      <c r="D2021" s="14"/>
      <c r="E2021" s="14"/>
      <c r="F2021" s="14"/>
      <c r="T2021"/>
      <c r="AK2021" s="12"/>
      <c r="AL2021" s="1"/>
      <c r="AM2021" s="1"/>
      <c r="AN2021" s="1"/>
      <c r="AO2021" s="2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</row>
    <row r="2022" spans="1:58" x14ac:dyDescent="0.25">
      <c r="A2022" s="14"/>
      <c r="B2022" s="14"/>
      <c r="C2022" s="14"/>
      <c r="D2022" s="14"/>
      <c r="E2022" s="14"/>
      <c r="F2022" s="14"/>
      <c r="T2022"/>
      <c r="AK2022" s="12"/>
      <c r="AL2022" s="1"/>
      <c r="AM2022" s="1"/>
      <c r="AN2022" s="1"/>
      <c r="AO2022" s="2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</row>
    <row r="2023" spans="1:58" x14ac:dyDescent="0.25">
      <c r="A2023" s="14"/>
      <c r="B2023" s="14"/>
      <c r="C2023" s="14"/>
      <c r="D2023" s="14"/>
      <c r="E2023" s="14"/>
      <c r="F2023" s="14"/>
      <c r="T2023"/>
      <c r="AK2023" s="12"/>
      <c r="AL2023" s="1"/>
      <c r="AM2023" s="1"/>
      <c r="AN2023" s="1"/>
      <c r="AO2023" s="2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</row>
    <row r="2024" spans="1:58" x14ac:dyDescent="0.25">
      <c r="A2024" s="14"/>
      <c r="B2024" s="14"/>
      <c r="C2024" s="14"/>
      <c r="D2024" s="14"/>
      <c r="E2024" s="14"/>
      <c r="F2024" s="14"/>
      <c r="T2024"/>
      <c r="AK2024" s="12"/>
      <c r="AL2024" s="1"/>
      <c r="AM2024" s="1"/>
      <c r="AN2024" s="1"/>
      <c r="AO2024" s="2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</row>
    <row r="2025" spans="1:58" x14ac:dyDescent="0.25">
      <c r="A2025" s="14"/>
      <c r="B2025" s="14"/>
      <c r="C2025" s="14"/>
      <c r="D2025" s="14"/>
      <c r="E2025" s="14"/>
      <c r="F2025" s="14"/>
      <c r="T2025"/>
      <c r="AK2025" s="12"/>
      <c r="AL2025" s="1"/>
      <c r="AM2025" s="1"/>
      <c r="AN2025" s="1"/>
      <c r="AO2025" s="2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</row>
    <row r="2026" spans="1:58" x14ac:dyDescent="0.25">
      <c r="A2026" s="14"/>
      <c r="B2026" s="14"/>
      <c r="C2026" s="14"/>
      <c r="D2026" s="14"/>
      <c r="E2026" s="14"/>
      <c r="F2026" s="14"/>
      <c r="T2026"/>
      <c r="AK2026" s="12"/>
      <c r="AL2026" s="1"/>
      <c r="AM2026" s="1"/>
      <c r="AN2026" s="1"/>
      <c r="AO2026" s="2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</row>
    <row r="2027" spans="1:58" x14ac:dyDescent="0.25">
      <c r="A2027" s="14"/>
      <c r="B2027" s="14"/>
      <c r="C2027" s="14"/>
      <c r="D2027" s="14"/>
      <c r="E2027" s="14"/>
      <c r="F2027" s="14"/>
      <c r="T2027"/>
      <c r="AK2027" s="12"/>
      <c r="AL2027" s="1"/>
      <c r="AM2027" s="1"/>
      <c r="AN2027" s="1"/>
      <c r="AO2027" s="2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</row>
    <row r="2028" spans="1:58" x14ac:dyDescent="0.25">
      <c r="A2028" s="14"/>
      <c r="B2028" s="14"/>
      <c r="C2028" s="14"/>
      <c r="D2028" s="14"/>
      <c r="E2028" s="14"/>
      <c r="F2028" s="14"/>
      <c r="T2028"/>
      <c r="AK2028" s="12"/>
      <c r="AL2028" s="1"/>
      <c r="AM2028" s="1"/>
      <c r="AN2028" s="1"/>
      <c r="AO2028" s="2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</row>
    <row r="2029" spans="1:58" x14ac:dyDescent="0.25">
      <c r="A2029" s="14"/>
      <c r="B2029" s="14"/>
      <c r="C2029" s="14"/>
      <c r="D2029" s="14"/>
      <c r="E2029" s="14"/>
      <c r="F2029" s="14"/>
      <c r="T2029"/>
      <c r="AK2029" s="12"/>
      <c r="AL2029" s="1"/>
      <c r="AM2029" s="1"/>
      <c r="AN2029" s="1"/>
      <c r="AO2029" s="2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</row>
    <row r="2030" spans="1:58" x14ac:dyDescent="0.25">
      <c r="A2030" s="14"/>
      <c r="B2030" s="14"/>
      <c r="C2030" s="14"/>
      <c r="D2030" s="14"/>
      <c r="E2030" s="14"/>
      <c r="F2030" s="14"/>
      <c r="T2030"/>
      <c r="AK2030" s="12"/>
      <c r="AL2030" s="1"/>
      <c r="AM2030" s="1"/>
      <c r="AN2030" s="1"/>
      <c r="AO2030" s="2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</row>
    <row r="2031" spans="1:58" x14ac:dyDescent="0.25">
      <c r="A2031" s="14"/>
      <c r="B2031" s="14"/>
      <c r="C2031" s="14"/>
      <c r="D2031" s="14"/>
      <c r="E2031" s="14"/>
      <c r="F2031" s="14"/>
      <c r="T2031"/>
      <c r="AK2031" s="12"/>
      <c r="AL2031" s="1"/>
      <c r="AM2031" s="1"/>
      <c r="AN2031" s="1"/>
      <c r="AO2031" s="2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</row>
    <row r="2032" spans="1:58" x14ac:dyDescent="0.25">
      <c r="A2032" s="14"/>
      <c r="B2032" s="14"/>
      <c r="C2032" s="14"/>
      <c r="D2032" s="14"/>
      <c r="E2032" s="14"/>
      <c r="F2032" s="14"/>
      <c r="T2032"/>
      <c r="AK2032" s="12"/>
      <c r="AL2032" s="1"/>
      <c r="AM2032" s="1"/>
      <c r="AN2032" s="1"/>
      <c r="AO2032" s="2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</row>
    <row r="2033" spans="1:58" x14ac:dyDescent="0.25">
      <c r="A2033" s="14"/>
      <c r="B2033" s="14"/>
      <c r="C2033" s="14"/>
      <c r="D2033" s="14"/>
      <c r="E2033" s="14"/>
      <c r="F2033" s="14"/>
      <c r="T2033"/>
      <c r="AK2033" s="12"/>
      <c r="AL2033" s="1"/>
      <c r="AM2033" s="1"/>
      <c r="AN2033" s="1"/>
      <c r="AO2033" s="2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</row>
    <row r="2034" spans="1:58" x14ac:dyDescent="0.25">
      <c r="A2034" s="14"/>
      <c r="B2034" s="14"/>
      <c r="C2034" s="14"/>
      <c r="D2034" s="14"/>
      <c r="E2034" s="14"/>
      <c r="F2034" s="14"/>
      <c r="T2034"/>
      <c r="AK2034" s="12"/>
      <c r="AL2034" s="1"/>
      <c r="AM2034" s="1"/>
      <c r="AN2034" s="1"/>
      <c r="AO2034" s="2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</row>
    <row r="2035" spans="1:58" x14ac:dyDescent="0.25">
      <c r="A2035" s="14"/>
      <c r="B2035" s="14"/>
      <c r="C2035" s="14"/>
      <c r="D2035" s="14"/>
      <c r="E2035" s="14"/>
      <c r="F2035" s="14"/>
      <c r="T2035"/>
      <c r="AK2035" s="12"/>
      <c r="AL2035" s="1"/>
      <c r="AM2035" s="1"/>
      <c r="AN2035" s="1"/>
      <c r="AO2035" s="2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</row>
    <row r="2036" spans="1:58" x14ac:dyDescent="0.25">
      <c r="A2036" s="14"/>
      <c r="B2036" s="14"/>
      <c r="C2036" s="14"/>
      <c r="D2036" s="14"/>
      <c r="E2036" s="14"/>
      <c r="F2036" s="14"/>
      <c r="T2036"/>
      <c r="AK2036" s="12"/>
      <c r="AL2036" s="1"/>
      <c r="AM2036" s="1"/>
      <c r="AN2036" s="1"/>
      <c r="AO2036" s="2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</row>
    <row r="2037" spans="1:58" x14ac:dyDescent="0.25">
      <c r="A2037" s="14"/>
      <c r="B2037" s="14"/>
      <c r="C2037" s="14"/>
      <c r="D2037" s="14"/>
      <c r="E2037" s="14"/>
      <c r="F2037" s="14"/>
      <c r="T2037"/>
      <c r="AK2037" s="12"/>
      <c r="AL2037" s="1"/>
      <c r="AM2037" s="1"/>
      <c r="AN2037" s="1"/>
      <c r="AO2037" s="2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</row>
    <row r="2038" spans="1:58" x14ac:dyDescent="0.25">
      <c r="A2038" s="14"/>
      <c r="B2038" s="14"/>
      <c r="C2038" s="14"/>
      <c r="D2038" s="14"/>
      <c r="E2038" s="14"/>
      <c r="F2038" s="14"/>
      <c r="T2038"/>
      <c r="AK2038" s="12"/>
      <c r="AL2038" s="1"/>
      <c r="AM2038" s="1"/>
      <c r="AN2038" s="1"/>
      <c r="AO2038" s="2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</row>
    <row r="2039" spans="1:58" x14ac:dyDescent="0.25">
      <c r="A2039" s="14"/>
      <c r="B2039" s="14"/>
      <c r="C2039" s="14"/>
      <c r="D2039" s="14"/>
      <c r="E2039" s="14"/>
      <c r="F2039" s="14"/>
      <c r="T2039"/>
      <c r="AK2039" s="12"/>
      <c r="AL2039" s="1"/>
      <c r="AM2039" s="1"/>
      <c r="AN2039" s="1"/>
      <c r="AO2039" s="2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</row>
    <row r="2040" spans="1:58" x14ac:dyDescent="0.25">
      <c r="A2040" s="14"/>
      <c r="B2040" s="14"/>
      <c r="C2040" s="14"/>
      <c r="D2040" s="14"/>
      <c r="E2040" s="14"/>
      <c r="F2040" s="14"/>
      <c r="T2040"/>
      <c r="AK2040" s="12"/>
      <c r="AL2040" s="1"/>
      <c r="AM2040" s="1"/>
      <c r="AN2040" s="1"/>
      <c r="AO2040" s="2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</row>
    <row r="2041" spans="1:58" x14ac:dyDescent="0.25">
      <c r="A2041" s="14"/>
      <c r="B2041" s="14"/>
      <c r="C2041" s="14"/>
      <c r="D2041" s="14"/>
      <c r="E2041" s="14"/>
      <c r="F2041" s="14"/>
      <c r="T2041"/>
      <c r="AK2041" s="12"/>
      <c r="AL2041" s="1"/>
      <c r="AM2041" s="1"/>
      <c r="AN2041" s="1"/>
      <c r="AO2041" s="2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</row>
    <row r="2042" spans="1:58" x14ac:dyDescent="0.25">
      <c r="A2042" s="14"/>
      <c r="B2042" s="14"/>
      <c r="C2042" s="14"/>
      <c r="D2042" s="14"/>
      <c r="E2042" s="14"/>
      <c r="F2042" s="14"/>
      <c r="T2042"/>
      <c r="AK2042" s="12"/>
      <c r="AL2042" s="1"/>
      <c r="AM2042" s="1"/>
      <c r="AN2042" s="1"/>
      <c r="AO2042" s="2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</row>
    <row r="2043" spans="1:58" x14ac:dyDescent="0.25">
      <c r="A2043" s="14"/>
      <c r="B2043" s="14"/>
      <c r="C2043" s="14"/>
      <c r="D2043" s="14"/>
      <c r="E2043" s="14"/>
      <c r="F2043" s="14"/>
      <c r="T2043"/>
      <c r="AK2043" s="12"/>
      <c r="AL2043" s="1"/>
      <c r="AM2043" s="1"/>
      <c r="AN2043" s="1"/>
      <c r="AO2043" s="2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</row>
    <row r="2044" spans="1:58" x14ac:dyDescent="0.25">
      <c r="A2044" s="14"/>
      <c r="B2044" s="14"/>
      <c r="C2044" s="14"/>
      <c r="D2044" s="14"/>
      <c r="E2044" s="14"/>
      <c r="F2044" s="14"/>
      <c r="T2044"/>
      <c r="AK2044" s="12"/>
      <c r="AL2044" s="1"/>
      <c r="AM2044" s="1"/>
      <c r="AN2044" s="1"/>
      <c r="AO2044" s="2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</row>
    <row r="2045" spans="1:58" x14ac:dyDescent="0.25">
      <c r="A2045" s="14"/>
      <c r="B2045" s="14"/>
      <c r="C2045" s="14"/>
      <c r="D2045" s="14"/>
      <c r="E2045" s="14"/>
      <c r="F2045" s="14"/>
      <c r="T2045"/>
      <c r="AK2045" s="12"/>
      <c r="AL2045" s="1"/>
      <c r="AM2045" s="1"/>
      <c r="AN2045" s="1"/>
      <c r="AO2045" s="2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</row>
    <row r="2046" spans="1:58" x14ac:dyDescent="0.25">
      <c r="A2046" s="14"/>
      <c r="B2046" s="14"/>
      <c r="C2046" s="14"/>
      <c r="D2046" s="14"/>
      <c r="E2046" s="14"/>
      <c r="F2046" s="14"/>
      <c r="T2046"/>
      <c r="AK2046" s="12"/>
      <c r="AL2046" s="1"/>
      <c r="AM2046" s="1"/>
      <c r="AN2046" s="1"/>
      <c r="AO2046" s="2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</row>
    <row r="2047" spans="1:58" x14ac:dyDescent="0.25">
      <c r="A2047" s="14"/>
      <c r="B2047" s="14"/>
      <c r="C2047" s="14"/>
      <c r="D2047" s="14"/>
      <c r="E2047" s="14"/>
      <c r="F2047" s="14"/>
      <c r="T2047"/>
      <c r="AK2047" s="12"/>
      <c r="AL2047" s="1"/>
      <c r="AM2047" s="1"/>
      <c r="AN2047" s="1"/>
      <c r="AO2047" s="2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</row>
    <row r="2048" spans="1:58" x14ac:dyDescent="0.25">
      <c r="A2048" s="14"/>
      <c r="B2048" s="14"/>
      <c r="C2048" s="14"/>
      <c r="D2048" s="14"/>
      <c r="E2048" s="14"/>
      <c r="F2048" s="14"/>
      <c r="T2048"/>
      <c r="AK2048" s="12"/>
      <c r="AL2048" s="1"/>
      <c r="AM2048" s="1"/>
      <c r="AN2048" s="1"/>
      <c r="AO2048" s="2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</row>
    <row r="2049" spans="1:58" x14ac:dyDescent="0.25">
      <c r="A2049" s="14"/>
      <c r="B2049" s="14"/>
      <c r="C2049" s="14"/>
      <c r="D2049" s="14"/>
      <c r="E2049" s="14"/>
      <c r="F2049" s="14"/>
      <c r="T2049"/>
      <c r="AK2049" s="12"/>
      <c r="AL2049" s="1"/>
      <c r="AM2049" s="1"/>
      <c r="AN2049" s="1"/>
      <c r="AO2049" s="2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</row>
    <row r="2050" spans="1:58" x14ac:dyDescent="0.25">
      <c r="A2050" s="14"/>
      <c r="B2050" s="14"/>
      <c r="C2050" s="14"/>
      <c r="D2050" s="14"/>
      <c r="E2050" s="14"/>
      <c r="F2050" s="14"/>
      <c r="T2050"/>
      <c r="AK2050" s="12"/>
      <c r="AL2050" s="1"/>
      <c r="AM2050" s="1"/>
      <c r="AN2050" s="1"/>
      <c r="AO2050" s="2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</row>
    <row r="2051" spans="1:58" x14ac:dyDescent="0.25">
      <c r="A2051" s="14"/>
      <c r="B2051" s="14"/>
      <c r="C2051" s="14"/>
      <c r="D2051" s="14"/>
      <c r="E2051" s="14"/>
      <c r="F2051" s="14"/>
      <c r="T2051"/>
      <c r="AK2051" s="12"/>
      <c r="AL2051" s="1"/>
      <c r="AM2051" s="1"/>
      <c r="AN2051" s="1"/>
      <c r="AO2051" s="2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</row>
    <row r="2052" spans="1:58" x14ac:dyDescent="0.25">
      <c r="A2052" s="14"/>
      <c r="B2052" s="14"/>
      <c r="C2052" s="14"/>
      <c r="D2052" s="14"/>
      <c r="E2052" s="14"/>
      <c r="F2052" s="14"/>
      <c r="T2052"/>
      <c r="AK2052" s="12"/>
      <c r="AL2052" s="1"/>
      <c r="AM2052" s="1"/>
      <c r="AN2052" s="1"/>
      <c r="AO2052" s="2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</row>
    <row r="2053" spans="1:58" x14ac:dyDescent="0.25">
      <c r="A2053" s="14"/>
      <c r="B2053" s="14"/>
      <c r="C2053" s="14"/>
      <c r="D2053" s="14"/>
      <c r="E2053" s="14"/>
      <c r="F2053" s="14"/>
      <c r="T2053"/>
      <c r="AK2053" s="12"/>
      <c r="AL2053" s="1"/>
      <c r="AM2053" s="1"/>
      <c r="AN2053" s="1"/>
      <c r="AO2053" s="2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</row>
    <row r="2054" spans="1:58" x14ac:dyDescent="0.25">
      <c r="A2054" s="14"/>
      <c r="B2054" s="14"/>
      <c r="C2054" s="14"/>
      <c r="D2054" s="14"/>
      <c r="E2054" s="14"/>
      <c r="F2054" s="14"/>
      <c r="T2054"/>
      <c r="AK2054" s="12"/>
      <c r="AL2054" s="1"/>
      <c r="AM2054" s="1"/>
      <c r="AN2054" s="1"/>
      <c r="AO2054" s="2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</row>
    <row r="2055" spans="1:58" x14ac:dyDescent="0.25">
      <c r="A2055" s="14"/>
      <c r="B2055" s="14"/>
      <c r="C2055" s="14"/>
      <c r="D2055" s="14"/>
      <c r="E2055" s="14"/>
      <c r="F2055" s="14"/>
      <c r="T2055"/>
      <c r="AK2055" s="12"/>
      <c r="AL2055" s="1"/>
      <c r="AM2055" s="1"/>
      <c r="AN2055" s="1"/>
      <c r="AO2055" s="2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</row>
    <row r="2056" spans="1:58" x14ac:dyDescent="0.25">
      <c r="A2056" s="14"/>
      <c r="B2056" s="14"/>
      <c r="C2056" s="14"/>
      <c r="D2056" s="14"/>
      <c r="E2056" s="14"/>
      <c r="F2056" s="14"/>
      <c r="T2056"/>
      <c r="AK2056" s="12"/>
      <c r="AL2056" s="1"/>
      <c r="AM2056" s="1"/>
      <c r="AN2056" s="1"/>
      <c r="AO2056" s="2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</row>
    <row r="2057" spans="1:58" x14ac:dyDescent="0.25">
      <c r="A2057" s="14"/>
      <c r="B2057" s="14"/>
      <c r="C2057" s="14"/>
      <c r="D2057" s="14"/>
      <c r="E2057" s="14"/>
      <c r="F2057" s="14"/>
      <c r="T2057"/>
      <c r="AK2057" s="12"/>
      <c r="AL2057" s="1"/>
      <c r="AM2057" s="1"/>
      <c r="AN2057" s="1"/>
      <c r="AO2057" s="2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</row>
    <row r="2058" spans="1:58" x14ac:dyDescent="0.25">
      <c r="A2058" s="14"/>
      <c r="B2058" s="14"/>
      <c r="C2058" s="14"/>
      <c r="D2058" s="14"/>
      <c r="E2058" s="14"/>
      <c r="F2058" s="14"/>
      <c r="T2058"/>
      <c r="AK2058" s="12"/>
      <c r="AL2058" s="1"/>
      <c r="AM2058" s="1"/>
      <c r="AN2058" s="1"/>
      <c r="AO2058" s="2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</row>
    <row r="2059" spans="1:58" x14ac:dyDescent="0.25">
      <c r="A2059" s="14"/>
      <c r="B2059" s="14"/>
      <c r="C2059" s="14"/>
      <c r="D2059" s="14"/>
      <c r="E2059" s="14"/>
      <c r="F2059" s="14"/>
      <c r="T2059"/>
      <c r="AK2059" s="12"/>
      <c r="AL2059" s="1"/>
      <c r="AM2059" s="1"/>
      <c r="AN2059" s="1"/>
      <c r="AO2059" s="2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</row>
    <row r="2060" spans="1:58" x14ac:dyDescent="0.25">
      <c r="A2060" s="14"/>
      <c r="B2060" s="14"/>
      <c r="C2060" s="14"/>
      <c r="D2060" s="14"/>
      <c r="E2060" s="14"/>
      <c r="F2060" s="14"/>
      <c r="T2060"/>
      <c r="AK2060" s="12"/>
      <c r="AL2060" s="1"/>
      <c r="AM2060" s="1"/>
      <c r="AN2060" s="1"/>
      <c r="AO2060" s="2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</row>
    <row r="2061" spans="1:58" x14ac:dyDescent="0.25">
      <c r="A2061" s="14"/>
      <c r="B2061" s="14"/>
      <c r="C2061" s="14"/>
      <c r="D2061" s="14"/>
      <c r="E2061" s="14"/>
      <c r="F2061" s="14"/>
      <c r="T2061"/>
      <c r="AK2061" s="12"/>
      <c r="AL2061" s="1"/>
      <c r="AM2061" s="1"/>
      <c r="AN2061" s="1"/>
      <c r="AO2061" s="2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</row>
    <row r="2062" spans="1:58" x14ac:dyDescent="0.25">
      <c r="A2062" s="14"/>
      <c r="B2062" s="14"/>
      <c r="C2062" s="14"/>
      <c r="D2062" s="14"/>
      <c r="E2062" s="14"/>
      <c r="F2062" s="14"/>
      <c r="T2062"/>
      <c r="AK2062" s="12"/>
      <c r="AL2062" s="1"/>
      <c r="AM2062" s="1"/>
      <c r="AN2062" s="1"/>
      <c r="AO2062" s="2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</row>
    <row r="2063" spans="1:58" x14ac:dyDescent="0.25">
      <c r="A2063" s="14"/>
      <c r="B2063" s="14"/>
      <c r="C2063" s="14"/>
      <c r="D2063" s="14"/>
      <c r="E2063" s="14"/>
      <c r="F2063" s="14"/>
      <c r="T2063"/>
      <c r="AK2063" s="12"/>
      <c r="AL2063" s="1"/>
      <c r="AM2063" s="1"/>
      <c r="AN2063" s="1"/>
      <c r="AO2063" s="2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</row>
    <row r="2064" spans="1:58" x14ac:dyDescent="0.25">
      <c r="A2064" s="14"/>
      <c r="B2064" s="14"/>
      <c r="C2064" s="14"/>
      <c r="D2064" s="14"/>
      <c r="E2064" s="14"/>
      <c r="F2064" s="14"/>
      <c r="T2064"/>
      <c r="AK2064" s="12"/>
      <c r="AL2064" s="1"/>
      <c r="AM2064" s="1"/>
      <c r="AN2064" s="1"/>
      <c r="AO2064" s="2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</row>
    <row r="2065" spans="1:58" x14ac:dyDescent="0.25">
      <c r="A2065" s="14"/>
      <c r="B2065" s="14"/>
      <c r="C2065" s="14"/>
      <c r="D2065" s="14"/>
      <c r="E2065" s="14"/>
      <c r="F2065" s="14"/>
      <c r="T2065"/>
      <c r="AK2065" s="12"/>
      <c r="AL2065" s="1"/>
      <c r="AM2065" s="1"/>
      <c r="AN2065" s="1"/>
      <c r="AO2065" s="2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</row>
    <row r="2066" spans="1:58" x14ac:dyDescent="0.25">
      <c r="A2066" s="14"/>
      <c r="B2066" s="14"/>
      <c r="C2066" s="14"/>
      <c r="D2066" s="14"/>
      <c r="E2066" s="14"/>
      <c r="F2066" s="14"/>
      <c r="T2066"/>
      <c r="AK2066" s="12"/>
      <c r="AL2066" s="1"/>
      <c r="AM2066" s="1"/>
      <c r="AN2066" s="1"/>
      <c r="AO2066" s="2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</row>
    <row r="2067" spans="1:58" x14ac:dyDescent="0.25">
      <c r="A2067" s="14"/>
      <c r="B2067" s="14"/>
      <c r="C2067" s="14"/>
      <c r="D2067" s="14"/>
      <c r="E2067" s="14"/>
      <c r="F2067" s="14"/>
      <c r="T2067"/>
      <c r="AK2067" s="12"/>
      <c r="AL2067" s="1"/>
      <c r="AM2067" s="1"/>
      <c r="AN2067" s="1"/>
      <c r="AO2067" s="2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</row>
    <row r="2068" spans="1:58" x14ac:dyDescent="0.25">
      <c r="A2068" s="14"/>
      <c r="B2068" s="14"/>
      <c r="C2068" s="14"/>
      <c r="D2068" s="14"/>
      <c r="E2068" s="14"/>
      <c r="F2068" s="14"/>
      <c r="T2068"/>
      <c r="AK2068" s="12"/>
      <c r="AL2068" s="1"/>
      <c r="AM2068" s="1"/>
      <c r="AN2068" s="1"/>
      <c r="AO2068" s="2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</row>
    <row r="2069" spans="1:58" x14ac:dyDescent="0.25">
      <c r="A2069" s="14"/>
      <c r="B2069" s="14"/>
      <c r="C2069" s="14"/>
      <c r="D2069" s="14"/>
      <c r="E2069" s="14"/>
      <c r="F2069" s="14"/>
      <c r="T2069"/>
      <c r="AK2069" s="12"/>
      <c r="AL2069" s="1"/>
      <c r="AM2069" s="1"/>
      <c r="AN2069" s="1"/>
      <c r="AO2069" s="2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</row>
    <row r="2070" spans="1:58" x14ac:dyDescent="0.25">
      <c r="A2070" s="14"/>
      <c r="B2070" s="14"/>
      <c r="C2070" s="14"/>
      <c r="D2070" s="14"/>
      <c r="E2070" s="14"/>
      <c r="F2070" s="14"/>
      <c r="T2070"/>
      <c r="AK2070" s="12"/>
      <c r="AL2070" s="1"/>
      <c r="AM2070" s="1"/>
      <c r="AN2070" s="1"/>
      <c r="AO2070" s="2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</row>
    <row r="2071" spans="1:58" x14ac:dyDescent="0.25">
      <c r="A2071" s="14"/>
      <c r="B2071" s="14"/>
      <c r="C2071" s="14"/>
      <c r="D2071" s="14"/>
      <c r="E2071" s="14"/>
      <c r="F2071" s="14"/>
      <c r="T2071"/>
      <c r="AK2071" s="12"/>
      <c r="AL2071" s="1"/>
      <c r="AM2071" s="1"/>
      <c r="AN2071" s="1"/>
      <c r="AO2071" s="2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</row>
    <row r="2072" spans="1:58" x14ac:dyDescent="0.25">
      <c r="A2072" s="14"/>
      <c r="B2072" s="14"/>
      <c r="C2072" s="14"/>
      <c r="D2072" s="14"/>
      <c r="E2072" s="14"/>
      <c r="F2072" s="14"/>
      <c r="T2072"/>
      <c r="AK2072" s="12"/>
      <c r="AL2072" s="1"/>
      <c r="AM2072" s="1"/>
      <c r="AN2072" s="1"/>
      <c r="AO2072" s="2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</row>
    <row r="2073" spans="1:58" x14ac:dyDescent="0.25">
      <c r="A2073" s="14"/>
      <c r="B2073" s="14"/>
      <c r="C2073" s="14"/>
      <c r="D2073" s="14"/>
      <c r="E2073" s="14"/>
      <c r="F2073" s="14"/>
      <c r="T2073"/>
      <c r="AK2073" s="12"/>
      <c r="AL2073" s="1"/>
      <c r="AM2073" s="1"/>
      <c r="AN2073" s="1"/>
      <c r="AO2073" s="2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</row>
    <row r="2074" spans="1:58" x14ac:dyDescent="0.25">
      <c r="A2074" s="14"/>
      <c r="B2074" s="14"/>
      <c r="C2074" s="14"/>
      <c r="D2074" s="14"/>
      <c r="E2074" s="14"/>
      <c r="F2074" s="14"/>
      <c r="T2074"/>
      <c r="AK2074" s="12"/>
      <c r="AL2074" s="1"/>
      <c r="AM2074" s="1"/>
      <c r="AN2074" s="1"/>
      <c r="AO2074" s="2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</row>
    <row r="2075" spans="1:58" x14ac:dyDescent="0.25">
      <c r="A2075" s="14"/>
      <c r="B2075" s="14"/>
      <c r="C2075" s="14"/>
      <c r="D2075" s="14"/>
      <c r="E2075" s="14"/>
      <c r="F2075" s="14"/>
      <c r="T2075"/>
      <c r="AK2075" s="12"/>
      <c r="AL2075" s="1"/>
      <c r="AM2075" s="1"/>
      <c r="AN2075" s="1"/>
      <c r="AO2075" s="2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</row>
    <row r="2076" spans="1:58" x14ac:dyDescent="0.25">
      <c r="A2076" s="14"/>
      <c r="B2076" s="14"/>
      <c r="C2076" s="14"/>
      <c r="D2076" s="14"/>
      <c r="E2076" s="14"/>
      <c r="F2076" s="14"/>
      <c r="T2076"/>
      <c r="AK2076" s="12"/>
      <c r="AL2076" s="1"/>
      <c r="AM2076" s="1"/>
      <c r="AN2076" s="1"/>
      <c r="AO2076" s="2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</row>
    <row r="2077" spans="1:58" x14ac:dyDescent="0.25">
      <c r="A2077" s="14"/>
      <c r="B2077" s="14"/>
      <c r="C2077" s="14"/>
      <c r="D2077" s="14"/>
      <c r="E2077" s="14"/>
      <c r="F2077" s="14"/>
      <c r="T2077"/>
      <c r="AK2077" s="12"/>
      <c r="AL2077" s="1"/>
      <c r="AM2077" s="1"/>
      <c r="AN2077" s="1"/>
      <c r="AO2077" s="2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</row>
    <row r="2078" spans="1:58" x14ac:dyDescent="0.25">
      <c r="A2078" s="14"/>
      <c r="B2078" s="14"/>
      <c r="C2078" s="14"/>
      <c r="D2078" s="14"/>
      <c r="E2078" s="14"/>
      <c r="F2078" s="14"/>
      <c r="T2078"/>
      <c r="AK2078" s="12"/>
      <c r="AL2078" s="1"/>
      <c r="AM2078" s="1"/>
      <c r="AN2078" s="1"/>
      <c r="AO2078" s="2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</row>
    <row r="2079" spans="1:58" x14ac:dyDescent="0.25">
      <c r="A2079" s="14"/>
      <c r="B2079" s="14"/>
      <c r="C2079" s="14"/>
      <c r="D2079" s="14"/>
      <c r="E2079" s="14"/>
      <c r="F2079" s="14"/>
      <c r="T2079"/>
      <c r="AK2079" s="12"/>
      <c r="AL2079" s="1"/>
      <c r="AM2079" s="1"/>
      <c r="AN2079" s="1"/>
      <c r="AO2079" s="2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</row>
    <row r="2080" spans="1:58" x14ac:dyDescent="0.25">
      <c r="A2080" s="14"/>
      <c r="B2080" s="14"/>
      <c r="C2080" s="14"/>
      <c r="D2080" s="14"/>
      <c r="E2080" s="14"/>
      <c r="F2080" s="14"/>
      <c r="T2080"/>
      <c r="AK2080" s="12"/>
      <c r="AL2080" s="1"/>
      <c r="AM2080" s="1"/>
      <c r="AN2080" s="1"/>
      <c r="AO2080" s="2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</row>
    <row r="2081" spans="1:58" x14ac:dyDescent="0.25">
      <c r="A2081" s="14"/>
      <c r="B2081" s="14"/>
      <c r="C2081" s="14"/>
      <c r="D2081" s="14"/>
      <c r="E2081" s="14"/>
      <c r="F2081" s="14"/>
      <c r="T2081"/>
      <c r="AK2081" s="12"/>
      <c r="AL2081" s="1"/>
      <c r="AM2081" s="1"/>
      <c r="AN2081" s="1"/>
      <c r="AO2081" s="2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</row>
    <row r="2082" spans="1:58" x14ac:dyDescent="0.25">
      <c r="A2082" s="14"/>
      <c r="B2082" s="14"/>
      <c r="C2082" s="14"/>
      <c r="D2082" s="14"/>
      <c r="E2082" s="14"/>
      <c r="F2082" s="14"/>
      <c r="T2082"/>
      <c r="AK2082" s="12"/>
      <c r="AL2082" s="1"/>
      <c r="AM2082" s="1"/>
      <c r="AN2082" s="1"/>
      <c r="AO2082" s="2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</row>
    <row r="2083" spans="1:58" x14ac:dyDescent="0.25">
      <c r="A2083" s="14"/>
      <c r="B2083" s="14"/>
      <c r="C2083" s="14"/>
      <c r="D2083" s="14"/>
      <c r="E2083" s="14"/>
      <c r="F2083" s="14"/>
      <c r="T2083"/>
      <c r="AK2083" s="12"/>
      <c r="AL2083" s="1"/>
      <c r="AM2083" s="1"/>
      <c r="AN2083" s="1"/>
      <c r="AO2083" s="2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</row>
    <row r="2084" spans="1:58" x14ac:dyDescent="0.25">
      <c r="A2084" s="14"/>
      <c r="B2084" s="14"/>
      <c r="C2084" s="14"/>
      <c r="D2084" s="14"/>
      <c r="E2084" s="14"/>
      <c r="F2084" s="14"/>
      <c r="T2084"/>
      <c r="AK2084" s="12"/>
      <c r="AL2084" s="1"/>
      <c r="AM2084" s="1"/>
      <c r="AN2084" s="1"/>
      <c r="AO2084" s="2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</row>
    <row r="2085" spans="1:58" x14ac:dyDescent="0.25">
      <c r="A2085" s="14"/>
      <c r="B2085" s="14"/>
      <c r="C2085" s="14"/>
      <c r="D2085" s="14"/>
      <c r="E2085" s="14"/>
      <c r="F2085" s="14"/>
      <c r="T2085"/>
      <c r="AK2085" s="12"/>
      <c r="AL2085" s="1"/>
      <c r="AM2085" s="1"/>
      <c r="AN2085" s="1"/>
      <c r="AO2085" s="2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</row>
    <row r="2086" spans="1:58" x14ac:dyDescent="0.25">
      <c r="A2086" s="14"/>
      <c r="B2086" s="14"/>
      <c r="C2086" s="14"/>
      <c r="D2086" s="14"/>
      <c r="E2086" s="14"/>
      <c r="F2086" s="14"/>
      <c r="T2086"/>
      <c r="AK2086" s="12"/>
      <c r="AL2086" s="1"/>
      <c r="AM2086" s="1"/>
      <c r="AN2086" s="1"/>
      <c r="AO2086" s="2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</row>
    <row r="2087" spans="1:58" x14ac:dyDescent="0.25">
      <c r="A2087" s="14"/>
      <c r="B2087" s="14"/>
      <c r="C2087" s="14"/>
      <c r="D2087" s="14"/>
      <c r="E2087" s="14"/>
      <c r="F2087" s="14"/>
      <c r="T2087"/>
      <c r="AK2087" s="12"/>
      <c r="AL2087" s="1"/>
      <c r="AM2087" s="1"/>
      <c r="AN2087" s="1"/>
      <c r="AO2087" s="2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</row>
    <row r="2088" spans="1:58" x14ac:dyDescent="0.25">
      <c r="A2088" s="14"/>
      <c r="B2088" s="14"/>
      <c r="C2088" s="14"/>
      <c r="D2088" s="14"/>
      <c r="E2088" s="14"/>
      <c r="F2088" s="14"/>
      <c r="T2088"/>
      <c r="AK2088" s="12"/>
      <c r="AL2088" s="1"/>
      <c r="AM2088" s="1"/>
      <c r="AN2088" s="1"/>
      <c r="AO2088" s="2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</row>
    <row r="2089" spans="1:58" x14ac:dyDescent="0.25">
      <c r="A2089" s="14"/>
      <c r="B2089" s="14"/>
      <c r="C2089" s="14"/>
      <c r="D2089" s="14"/>
      <c r="E2089" s="14"/>
      <c r="F2089" s="14"/>
      <c r="T2089"/>
      <c r="AK2089" s="12"/>
      <c r="AL2089" s="1"/>
      <c r="AM2089" s="1"/>
      <c r="AN2089" s="1"/>
      <c r="AO2089" s="2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</row>
    <row r="2090" spans="1:58" x14ac:dyDescent="0.25">
      <c r="A2090" s="14"/>
      <c r="B2090" s="14"/>
      <c r="C2090" s="14"/>
      <c r="D2090" s="14"/>
      <c r="E2090" s="14"/>
      <c r="F2090" s="14"/>
      <c r="T2090"/>
      <c r="AK2090" s="12"/>
      <c r="AL2090" s="1"/>
      <c r="AM2090" s="1"/>
      <c r="AN2090" s="1"/>
      <c r="AO2090" s="2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</row>
    <row r="2091" spans="1:58" x14ac:dyDescent="0.25">
      <c r="A2091" s="14"/>
      <c r="B2091" s="14"/>
      <c r="C2091" s="14"/>
      <c r="D2091" s="14"/>
      <c r="E2091" s="14"/>
      <c r="F2091" s="14"/>
      <c r="T2091"/>
      <c r="AK2091" s="12"/>
      <c r="AL2091" s="1"/>
      <c r="AM2091" s="1"/>
      <c r="AN2091" s="1"/>
      <c r="AO2091" s="2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</row>
    <row r="2092" spans="1:58" x14ac:dyDescent="0.25">
      <c r="A2092" s="14"/>
      <c r="B2092" s="14"/>
      <c r="C2092" s="14"/>
      <c r="D2092" s="14"/>
      <c r="E2092" s="14"/>
      <c r="F2092" s="14"/>
      <c r="T2092"/>
      <c r="AK2092" s="12"/>
      <c r="AL2092" s="1"/>
      <c r="AM2092" s="1"/>
      <c r="AN2092" s="1"/>
      <c r="AO2092" s="2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</row>
    <row r="2093" spans="1:58" x14ac:dyDescent="0.25">
      <c r="A2093" s="14"/>
      <c r="B2093" s="14"/>
      <c r="C2093" s="14"/>
      <c r="D2093" s="14"/>
      <c r="E2093" s="14"/>
      <c r="F2093" s="14"/>
      <c r="T2093"/>
      <c r="AK2093" s="12"/>
      <c r="AL2093" s="1"/>
      <c r="AM2093" s="1"/>
      <c r="AN2093" s="1"/>
      <c r="AO2093" s="2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</row>
    <row r="2094" spans="1:58" x14ac:dyDescent="0.25">
      <c r="A2094" s="14"/>
      <c r="B2094" s="14"/>
      <c r="C2094" s="14"/>
      <c r="D2094" s="14"/>
      <c r="E2094" s="14"/>
      <c r="F2094" s="14"/>
      <c r="T2094"/>
      <c r="AK2094" s="12"/>
      <c r="AL2094" s="1"/>
      <c r="AM2094" s="1"/>
      <c r="AN2094" s="1"/>
      <c r="AO2094" s="2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</row>
    <row r="2095" spans="1:58" x14ac:dyDescent="0.25">
      <c r="A2095" s="14"/>
      <c r="B2095" s="14"/>
      <c r="C2095" s="14"/>
      <c r="D2095" s="14"/>
      <c r="E2095" s="14"/>
      <c r="F2095" s="14"/>
      <c r="T2095"/>
      <c r="AK2095" s="12"/>
      <c r="AL2095" s="1"/>
      <c r="AM2095" s="1"/>
      <c r="AN2095" s="1"/>
      <c r="AO2095" s="2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</row>
    <row r="2096" spans="1:58" x14ac:dyDescent="0.25">
      <c r="A2096" s="14"/>
      <c r="B2096" s="14"/>
      <c r="C2096" s="14"/>
      <c r="D2096" s="14"/>
      <c r="E2096" s="14"/>
      <c r="F2096" s="14"/>
      <c r="T2096"/>
      <c r="AK2096" s="12"/>
      <c r="AL2096" s="1"/>
      <c r="AM2096" s="1"/>
      <c r="AN2096" s="1"/>
      <c r="AO2096" s="2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</row>
    <row r="2097" spans="1:58" x14ac:dyDescent="0.25">
      <c r="A2097" s="14"/>
      <c r="B2097" s="14"/>
      <c r="C2097" s="14"/>
      <c r="D2097" s="14"/>
      <c r="E2097" s="14"/>
      <c r="F2097" s="14"/>
      <c r="T2097"/>
      <c r="AK2097" s="12"/>
      <c r="AL2097" s="1"/>
      <c r="AM2097" s="1"/>
      <c r="AN2097" s="1"/>
      <c r="AO2097" s="2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</row>
    <row r="2098" spans="1:58" x14ac:dyDescent="0.25">
      <c r="A2098" s="14"/>
      <c r="B2098" s="14"/>
      <c r="C2098" s="14"/>
      <c r="D2098" s="14"/>
      <c r="E2098" s="14"/>
      <c r="F2098" s="14"/>
      <c r="T2098"/>
      <c r="AK2098" s="12"/>
      <c r="AL2098" s="1"/>
      <c r="AM2098" s="1"/>
      <c r="AN2098" s="1"/>
      <c r="AO2098" s="2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</row>
    <row r="2099" spans="1:58" x14ac:dyDescent="0.25">
      <c r="A2099" s="14"/>
      <c r="B2099" s="14"/>
      <c r="C2099" s="14"/>
      <c r="D2099" s="14"/>
      <c r="E2099" s="14"/>
      <c r="F2099" s="14"/>
      <c r="T2099"/>
      <c r="AK2099" s="12"/>
      <c r="AL2099" s="1"/>
      <c r="AM2099" s="1"/>
      <c r="AN2099" s="1"/>
      <c r="AO2099" s="2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</row>
    <row r="2100" spans="1:58" x14ac:dyDescent="0.25">
      <c r="A2100" s="14"/>
      <c r="B2100" s="14"/>
      <c r="C2100" s="14"/>
      <c r="D2100" s="14"/>
      <c r="E2100" s="14"/>
      <c r="F2100" s="14"/>
      <c r="T2100"/>
      <c r="AK2100" s="12"/>
      <c r="AL2100" s="1"/>
      <c r="AM2100" s="1"/>
      <c r="AN2100" s="1"/>
      <c r="AO2100" s="2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</row>
    <row r="2101" spans="1:58" x14ac:dyDescent="0.25">
      <c r="A2101" s="14"/>
      <c r="B2101" s="14"/>
      <c r="C2101" s="14"/>
      <c r="D2101" s="14"/>
      <c r="E2101" s="14"/>
      <c r="F2101" s="14"/>
      <c r="T2101"/>
      <c r="AK2101" s="12"/>
      <c r="AL2101" s="1"/>
      <c r="AM2101" s="1"/>
      <c r="AN2101" s="1"/>
      <c r="AO2101" s="2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</row>
    <row r="2102" spans="1:58" x14ac:dyDescent="0.25">
      <c r="A2102" s="14"/>
      <c r="B2102" s="14"/>
      <c r="C2102" s="14"/>
      <c r="D2102" s="14"/>
      <c r="E2102" s="14"/>
      <c r="F2102" s="14"/>
      <c r="T2102"/>
      <c r="AK2102" s="12"/>
      <c r="AL2102" s="1"/>
      <c r="AM2102" s="1"/>
      <c r="AN2102" s="1"/>
      <c r="AO2102" s="2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</row>
    <row r="2103" spans="1:58" x14ac:dyDescent="0.25">
      <c r="A2103" s="14"/>
      <c r="B2103" s="14"/>
      <c r="C2103" s="14"/>
      <c r="D2103" s="14"/>
      <c r="E2103" s="14"/>
      <c r="F2103" s="14"/>
      <c r="T2103"/>
      <c r="AK2103" s="12"/>
      <c r="AL2103" s="1"/>
      <c r="AM2103" s="1"/>
      <c r="AN2103" s="1"/>
      <c r="AO2103" s="2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</row>
    <row r="2104" spans="1:58" x14ac:dyDescent="0.25">
      <c r="A2104" s="14"/>
      <c r="B2104" s="14"/>
      <c r="C2104" s="14"/>
      <c r="D2104" s="14"/>
      <c r="E2104" s="14"/>
      <c r="F2104" s="14"/>
      <c r="T2104"/>
      <c r="AK2104" s="12"/>
      <c r="AL2104" s="1"/>
      <c r="AM2104" s="1"/>
      <c r="AN2104" s="1"/>
      <c r="AO2104" s="2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</row>
    <row r="2105" spans="1:58" x14ac:dyDescent="0.25">
      <c r="A2105" s="14"/>
      <c r="B2105" s="14"/>
      <c r="C2105" s="14"/>
      <c r="D2105" s="14"/>
      <c r="E2105" s="14"/>
      <c r="F2105" s="14"/>
      <c r="T2105"/>
      <c r="AK2105" s="12"/>
      <c r="AL2105" s="1"/>
      <c r="AM2105" s="1"/>
      <c r="AN2105" s="1"/>
      <c r="AO2105" s="2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</row>
    <row r="2106" spans="1:58" x14ac:dyDescent="0.25">
      <c r="A2106" s="14"/>
      <c r="B2106" s="14"/>
      <c r="C2106" s="14"/>
      <c r="D2106" s="14"/>
      <c r="E2106" s="14"/>
      <c r="F2106" s="14"/>
      <c r="T2106"/>
      <c r="AK2106" s="12"/>
      <c r="AL2106" s="1"/>
      <c r="AM2106" s="1"/>
      <c r="AN2106" s="1"/>
      <c r="AO2106" s="2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</row>
    <row r="2107" spans="1:58" x14ac:dyDescent="0.25">
      <c r="A2107" s="14"/>
      <c r="B2107" s="14"/>
      <c r="C2107" s="14"/>
      <c r="D2107" s="14"/>
      <c r="E2107" s="14"/>
      <c r="F2107" s="14"/>
      <c r="T2107"/>
      <c r="AK2107" s="12"/>
      <c r="AL2107" s="1"/>
      <c r="AM2107" s="1"/>
      <c r="AN2107" s="1"/>
      <c r="AO2107" s="2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</row>
    <row r="2108" spans="1:58" x14ac:dyDescent="0.25">
      <c r="A2108" s="14"/>
      <c r="B2108" s="14"/>
      <c r="C2108" s="14"/>
      <c r="D2108" s="14"/>
      <c r="E2108" s="14"/>
      <c r="F2108" s="14"/>
      <c r="T2108"/>
      <c r="AK2108" s="12"/>
      <c r="AL2108" s="1"/>
      <c r="AM2108" s="1"/>
      <c r="AN2108" s="1"/>
      <c r="AO2108" s="2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</row>
    <row r="2109" spans="1:58" x14ac:dyDescent="0.25">
      <c r="A2109" s="14"/>
      <c r="B2109" s="14"/>
      <c r="C2109" s="14"/>
      <c r="D2109" s="14"/>
      <c r="E2109" s="14"/>
      <c r="F2109" s="14"/>
      <c r="T2109"/>
      <c r="AK2109" s="12"/>
      <c r="AL2109" s="1"/>
      <c r="AM2109" s="1"/>
      <c r="AN2109" s="1"/>
      <c r="AO2109" s="2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</row>
    <row r="2110" spans="1:58" x14ac:dyDescent="0.25">
      <c r="A2110" s="14"/>
      <c r="B2110" s="14"/>
      <c r="C2110" s="14"/>
      <c r="D2110" s="14"/>
      <c r="E2110" s="14"/>
      <c r="F2110" s="14"/>
      <c r="T2110"/>
      <c r="AK2110" s="12"/>
      <c r="AL2110" s="1"/>
      <c r="AM2110" s="1"/>
      <c r="AN2110" s="1"/>
      <c r="AO2110" s="2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</row>
    <row r="2111" spans="1:58" x14ac:dyDescent="0.25">
      <c r="A2111" s="14"/>
      <c r="B2111" s="14"/>
      <c r="C2111" s="14"/>
      <c r="D2111" s="14"/>
      <c r="E2111" s="14"/>
      <c r="F2111" s="14"/>
      <c r="T2111"/>
      <c r="AK2111" s="12"/>
      <c r="AL2111" s="1"/>
      <c r="AM2111" s="1"/>
      <c r="AN2111" s="1"/>
      <c r="AO2111" s="2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</row>
    <row r="2112" spans="1:58" x14ac:dyDescent="0.25">
      <c r="A2112" s="14"/>
      <c r="B2112" s="14"/>
      <c r="C2112" s="14"/>
      <c r="D2112" s="14"/>
      <c r="E2112" s="14"/>
      <c r="F2112" s="14"/>
      <c r="T2112"/>
      <c r="AK2112" s="12"/>
      <c r="AL2112" s="1"/>
      <c r="AM2112" s="1"/>
      <c r="AN2112" s="1"/>
      <c r="AO2112" s="2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</row>
    <row r="2113" spans="1:58" x14ac:dyDescent="0.25">
      <c r="A2113" s="14"/>
      <c r="B2113" s="14"/>
      <c r="C2113" s="14"/>
      <c r="D2113" s="14"/>
      <c r="E2113" s="14"/>
      <c r="F2113" s="14"/>
      <c r="T2113"/>
      <c r="AK2113" s="12"/>
      <c r="AL2113" s="1"/>
      <c r="AM2113" s="1"/>
      <c r="AN2113" s="1"/>
      <c r="AO2113" s="2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</row>
    <row r="2114" spans="1:58" x14ac:dyDescent="0.25">
      <c r="A2114" s="14"/>
      <c r="B2114" s="14"/>
      <c r="C2114" s="14"/>
      <c r="D2114" s="14"/>
      <c r="E2114" s="14"/>
      <c r="F2114" s="14"/>
      <c r="T2114"/>
      <c r="AK2114" s="12"/>
      <c r="AL2114" s="1"/>
      <c r="AM2114" s="1"/>
      <c r="AN2114" s="1"/>
      <c r="AO2114" s="2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</row>
    <row r="2115" spans="1:58" x14ac:dyDescent="0.25">
      <c r="A2115" s="14"/>
      <c r="B2115" s="14"/>
      <c r="C2115" s="14"/>
      <c r="D2115" s="14"/>
      <c r="E2115" s="14"/>
      <c r="F2115" s="14"/>
      <c r="T2115"/>
      <c r="AK2115" s="12"/>
      <c r="AL2115" s="1"/>
      <c r="AM2115" s="1"/>
      <c r="AN2115" s="1"/>
      <c r="AO2115" s="2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</row>
    <row r="2116" spans="1:58" x14ac:dyDescent="0.25">
      <c r="A2116" s="14"/>
      <c r="B2116" s="14"/>
      <c r="C2116" s="14"/>
      <c r="D2116" s="14"/>
      <c r="E2116" s="14"/>
      <c r="F2116" s="14"/>
      <c r="T2116"/>
      <c r="AK2116" s="12"/>
      <c r="AL2116" s="1"/>
      <c r="AM2116" s="1"/>
      <c r="AN2116" s="1"/>
      <c r="AO2116" s="2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</row>
    <row r="2117" spans="1:58" x14ac:dyDescent="0.25">
      <c r="A2117" s="14"/>
      <c r="B2117" s="14"/>
      <c r="C2117" s="14"/>
      <c r="D2117" s="14"/>
      <c r="E2117" s="14"/>
      <c r="F2117" s="14"/>
      <c r="T2117"/>
      <c r="AK2117" s="12"/>
      <c r="AL2117" s="1"/>
      <c r="AM2117" s="1"/>
      <c r="AN2117" s="1"/>
      <c r="AO2117" s="2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</row>
    <row r="2118" spans="1:58" x14ac:dyDescent="0.25">
      <c r="A2118" s="14"/>
      <c r="B2118" s="14"/>
      <c r="C2118" s="14"/>
      <c r="D2118" s="14"/>
      <c r="E2118" s="14"/>
      <c r="F2118" s="14"/>
      <c r="T2118"/>
      <c r="AK2118" s="12"/>
      <c r="AL2118" s="1"/>
      <c r="AM2118" s="1"/>
      <c r="AN2118" s="1"/>
      <c r="AO2118" s="2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</row>
    <row r="2119" spans="1:58" x14ac:dyDescent="0.25">
      <c r="A2119" s="14"/>
      <c r="B2119" s="14"/>
      <c r="C2119" s="14"/>
      <c r="D2119" s="14"/>
      <c r="E2119" s="14"/>
      <c r="F2119" s="14"/>
      <c r="T2119"/>
      <c r="AK2119" s="12"/>
      <c r="AL2119" s="1"/>
      <c r="AM2119" s="1"/>
      <c r="AN2119" s="1"/>
      <c r="AO2119" s="2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</row>
    <row r="2120" spans="1:58" x14ac:dyDescent="0.25">
      <c r="A2120" s="14"/>
      <c r="B2120" s="14"/>
      <c r="C2120" s="14"/>
      <c r="D2120" s="14"/>
      <c r="E2120" s="14"/>
      <c r="F2120" s="14"/>
      <c r="T2120"/>
      <c r="AK2120" s="12"/>
      <c r="AL2120" s="1"/>
      <c r="AM2120" s="1"/>
      <c r="AN2120" s="1"/>
      <c r="AO2120" s="2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</row>
    <row r="2121" spans="1:58" x14ac:dyDescent="0.25">
      <c r="A2121" s="14"/>
      <c r="B2121" s="14"/>
      <c r="C2121" s="14"/>
      <c r="D2121" s="14"/>
      <c r="E2121" s="14"/>
      <c r="F2121" s="14"/>
      <c r="T2121"/>
      <c r="AK2121" s="12"/>
      <c r="AL2121" s="1"/>
      <c r="AM2121" s="1"/>
      <c r="AN2121" s="1"/>
      <c r="AO2121" s="2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</row>
    <row r="2122" spans="1:58" x14ac:dyDescent="0.25">
      <c r="A2122" s="14"/>
      <c r="B2122" s="14"/>
      <c r="C2122" s="14"/>
      <c r="D2122" s="14"/>
      <c r="E2122" s="14"/>
      <c r="F2122" s="14"/>
      <c r="T2122"/>
      <c r="AK2122" s="12"/>
      <c r="AL2122" s="1"/>
      <c r="AM2122" s="1"/>
      <c r="AN2122" s="1"/>
      <c r="AO2122" s="2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</row>
    <row r="2123" spans="1:58" x14ac:dyDescent="0.25">
      <c r="A2123" s="14"/>
      <c r="B2123" s="14"/>
      <c r="C2123" s="14"/>
      <c r="D2123" s="14"/>
      <c r="E2123" s="14"/>
      <c r="F2123" s="14"/>
      <c r="T2123"/>
      <c r="AK2123" s="12"/>
      <c r="AL2123" s="1"/>
      <c r="AM2123" s="1"/>
      <c r="AN2123" s="1"/>
      <c r="AO2123" s="2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</row>
    <row r="2124" spans="1:58" x14ac:dyDescent="0.25">
      <c r="A2124" s="14"/>
      <c r="B2124" s="14"/>
      <c r="C2124" s="14"/>
      <c r="D2124" s="14"/>
      <c r="E2124" s="14"/>
      <c r="F2124" s="14"/>
      <c r="T2124"/>
      <c r="AK2124" s="12"/>
      <c r="AL2124" s="1"/>
      <c r="AM2124" s="1"/>
      <c r="AN2124" s="1"/>
      <c r="AO2124" s="2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</row>
    <row r="2125" spans="1:58" x14ac:dyDescent="0.25">
      <c r="A2125" s="14"/>
      <c r="B2125" s="14"/>
      <c r="C2125" s="14"/>
      <c r="D2125" s="14"/>
      <c r="E2125" s="14"/>
      <c r="F2125" s="14"/>
      <c r="T2125"/>
      <c r="AK2125" s="12"/>
      <c r="AL2125" s="1"/>
      <c r="AM2125" s="1"/>
      <c r="AN2125" s="1"/>
      <c r="AO2125" s="2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</row>
    <row r="2126" spans="1:58" x14ac:dyDescent="0.25">
      <c r="A2126" s="14"/>
      <c r="B2126" s="14"/>
      <c r="C2126" s="14"/>
      <c r="D2126" s="14"/>
      <c r="E2126" s="14"/>
      <c r="F2126" s="14"/>
      <c r="T2126"/>
      <c r="AK2126" s="12"/>
      <c r="AL2126" s="1"/>
      <c r="AM2126" s="1"/>
      <c r="AN2126" s="1"/>
      <c r="AO2126" s="2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</row>
    <row r="2127" spans="1:58" x14ac:dyDescent="0.25">
      <c r="A2127" s="14"/>
      <c r="B2127" s="14"/>
      <c r="C2127" s="14"/>
      <c r="D2127" s="14"/>
      <c r="E2127" s="14"/>
      <c r="F2127" s="14"/>
      <c r="T2127"/>
      <c r="AK2127" s="12"/>
      <c r="AL2127" s="1"/>
      <c r="AM2127" s="1"/>
      <c r="AN2127" s="1"/>
      <c r="AO2127" s="2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</row>
    <row r="2128" spans="1:58" x14ac:dyDescent="0.25">
      <c r="A2128" s="14"/>
      <c r="B2128" s="14"/>
      <c r="C2128" s="14"/>
      <c r="D2128" s="14"/>
      <c r="E2128" s="14"/>
      <c r="F2128" s="14"/>
      <c r="T2128"/>
      <c r="AK2128" s="12"/>
      <c r="AL2128" s="1"/>
      <c r="AM2128" s="1"/>
      <c r="AN2128" s="1"/>
      <c r="AO2128" s="2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</row>
    <row r="2129" spans="1:58" x14ac:dyDescent="0.25">
      <c r="A2129" s="14"/>
      <c r="B2129" s="14"/>
      <c r="C2129" s="14"/>
      <c r="D2129" s="14"/>
      <c r="E2129" s="14"/>
      <c r="F2129" s="14"/>
      <c r="T2129"/>
      <c r="AK2129" s="12"/>
      <c r="AL2129" s="1"/>
      <c r="AM2129" s="1"/>
      <c r="AN2129" s="1"/>
      <c r="AO2129" s="2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</row>
    <row r="2130" spans="1:58" x14ac:dyDescent="0.25">
      <c r="A2130" s="14"/>
      <c r="B2130" s="14"/>
      <c r="C2130" s="14"/>
      <c r="D2130" s="14"/>
      <c r="E2130" s="14"/>
      <c r="F2130" s="14"/>
      <c r="T2130"/>
      <c r="AK2130" s="12"/>
      <c r="AL2130" s="1"/>
      <c r="AM2130" s="1"/>
      <c r="AN2130" s="1"/>
      <c r="AO2130" s="2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</row>
    <row r="2131" spans="1:58" x14ac:dyDescent="0.25">
      <c r="A2131" s="14"/>
      <c r="B2131" s="14"/>
      <c r="C2131" s="14"/>
      <c r="D2131" s="14"/>
      <c r="E2131" s="14"/>
      <c r="F2131" s="14"/>
      <c r="T2131"/>
      <c r="AK2131" s="12"/>
      <c r="AL2131" s="1"/>
      <c r="AM2131" s="1"/>
      <c r="AN2131" s="1"/>
      <c r="AO2131" s="2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</row>
    <row r="2132" spans="1:58" x14ac:dyDescent="0.25">
      <c r="A2132" s="14"/>
      <c r="B2132" s="14"/>
      <c r="C2132" s="14"/>
      <c r="D2132" s="14"/>
      <c r="E2132" s="14"/>
      <c r="F2132" s="14"/>
      <c r="T2132"/>
      <c r="AK2132" s="12"/>
      <c r="AL2132" s="1"/>
      <c r="AM2132" s="1"/>
      <c r="AN2132" s="1"/>
      <c r="AO2132" s="2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</row>
    <row r="2133" spans="1:58" x14ac:dyDescent="0.25">
      <c r="A2133" s="14"/>
      <c r="B2133" s="14"/>
      <c r="C2133" s="14"/>
      <c r="D2133" s="14"/>
      <c r="E2133" s="14"/>
      <c r="F2133" s="14"/>
      <c r="T2133"/>
      <c r="AK2133" s="12"/>
      <c r="AL2133" s="1"/>
      <c r="AM2133" s="1"/>
      <c r="AN2133" s="1"/>
      <c r="AO2133" s="2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</row>
    <row r="2134" spans="1:58" x14ac:dyDescent="0.25">
      <c r="A2134" s="14"/>
      <c r="B2134" s="14"/>
      <c r="C2134" s="14"/>
      <c r="D2134" s="14"/>
      <c r="E2134" s="14"/>
      <c r="F2134" s="14"/>
      <c r="T2134"/>
      <c r="AK2134" s="12"/>
      <c r="AL2134" s="1"/>
      <c r="AM2134" s="1"/>
      <c r="AN2134" s="1"/>
      <c r="AO2134" s="2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</row>
    <row r="2135" spans="1:58" x14ac:dyDescent="0.25">
      <c r="A2135" s="14"/>
      <c r="B2135" s="14"/>
      <c r="C2135" s="14"/>
      <c r="D2135" s="14"/>
      <c r="E2135" s="14"/>
      <c r="F2135" s="14"/>
      <c r="T2135"/>
      <c r="AK2135" s="12"/>
      <c r="AL2135" s="1"/>
      <c r="AM2135" s="1"/>
      <c r="AN2135" s="1"/>
      <c r="AO2135" s="2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</row>
    <row r="2136" spans="1:58" x14ac:dyDescent="0.25">
      <c r="A2136" s="14"/>
      <c r="B2136" s="14"/>
      <c r="C2136" s="14"/>
      <c r="D2136" s="14"/>
      <c r="E2136" s="14"/>
      <c r="F2136" s="14"/>
      <c r="T2136"/>
      <c r="AK2136" s="12"/>
      <c r="AL2136" s="1"/>
      <c r="AM2136" s="1"/>
      <c r="AN2136" s="1"/>
      <c r="AO2136" s="2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</row>
    <row r="2137" spans="1:58" x14ac:dyDescent="0.25">
      <c r="A2137" s="14"/>
      <c r="B2137" s="14"/>
      <c r="C2137" s="14"/>
      <c r="D2137" s="14"/>
      <c r="E2137" s="14"/>
      <c r="F2137" s="14"/>
      <c r="T2137"/>
      <c r="AK2137" s="12"/>
      <c r="AL2137" s="1"/>
      <c r="AM2137" s="1"/>
      <c r="AN2137" s="1"/>
      <c r="AO2137" s="2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</row>
    <row r="2138" spans="1:58" x14ac:dyDescent="0.25">
      <c r="A2138" s="14"/>
      <c r="B2138" s="14"/>
      <c r="C2138" s="14"/>
      <c r="D2138" s="14"/>
      <c r="E2138" s="14"/>
      <c r="F2138" s="14"/>
      <c r="T2138"/>
      <c r="AK2138" s="12"/>
      <c r="AL2138" s="1"/>
      <c r="AM2138" s="1"/>
      <c r="AN2138" s="1"/>
      <c r="AO2138" s="2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</row>
    <row r="2139" spans="1:58" x14ac:dyDescent="0.25">
      <c r="A2139" s="14"/>
      <c r="B2139" s="14"/>
      <c r="C2139" s="14"/>
      <c r="D2139" s="14"/>
      <c r="E2139" s="14"/>
      <c r="F2139" s="14"/>
      <c r="T2139"/>
      <c r="AK2139" s="12"/>
      <c r="AL2139" s="1"/>
      <c r="AM2139" s="1"/>
      <c r="AN2139" s="1"/>
      <c r="AO2139" s="2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</row>
    <row r="2140" spans="1:58" x14ac:dyDescent="0.25">
      <c r="A2140" s="14"/>
      <c r="B2140" s="14"/>
      <c r="C2140" s="14"/>
      <c r="D2140" s="14"/>
      <c r="E2140" s="14"/>
      <c r="F2140" s="14"/>
      <c r="T2140"/>
      <c r="AK2140" s="12"/>
      <c r="AL2140" s="1"/>
      <c r="AM2140" s="1"/>
      <c r="AN2140" s="1"/>
      <c r="AO2140" s="2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</row>
    <row r="2141" spans="1:58" x14ac:dyDescent="0.25">
      <c r="A2141" s="14"/>
      <c r="B2141" s="14"/>
      <c r="C2141" s="14"/>
      <c r="D2141" s="14"/>
      <c r="E2141" s="14"/>
      <c r="F2141" s="14"/>
      <c r="T2141"/>
      <c r="AK2141" s="12"/>
      <c r="AL2141" s="1"/>
      <c r="AM2141" s="1"/>
      <c r="AN2141" s="1"/>
      <c r="AO2141" s="2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</row>
    <row r="2142" spans="1:58" x14ac:dyDescent="0.25">
      <c r="A2142" s="14"/>
      <c r="B2142" s="14"/>
      <c r="C2142" s="14"/>
      <c r="D2142" s="14"/>
      <c r="E2142" s="14"/>
      <c r="F2142" s="14"/>
      <c r="T2142"/>
      <c r="AK2142" s="12"/>
      <c r="AL2142" s="1"/>
      <c r="AM2142" s="1"/>
      <c r="AN2142" s="1"/>
      <c r="AO2142" s="2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</row>
    <row r="2143" spans="1:58" x14ac:dyDescent="0.25">
      <c r="A2143" s="14"/>
      <c r="B2143" s="14"/>
      <c r="C2143" s="14"/>
      <c r="D2143" s="14"/>
      <c r="E2143" s="14"/>
      <c r="F2143" s="14"/>
      <c r="T2143"/>
      <c r="AK2143" s="12"/>
      <c r="AL2143" s="1"/>
      <c r="AM2143" s="1"/>
      <c r="AN2143" s="1"/>
      <c r="AO2143" s="2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</row>
    <row r="2144" spans="1:58" x14ac:dyDescent="0.25">
      <c r="A2144" s="14"/>
      <c r="B2144" s="14"/>
      <c r="C2144" s="14"/>
      <c r="D2144" s="14"/>
      <c r="E2144" s="14"/>
      <c r="F2144" s="14"/>
      <c r="T2144"/>
      <c r="AK2144" s="12"/>
      <c r="AL2144" s="1"/>
      <c r="AM2144" s="1"/>
      <c r="AN2144" s="1"/>
      <c r="AO2144" s="2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</row>
    <row r="2145" spans="1:58" x14ac:dyDescent="0.25">
      <c r="A2145" s="14"/>
      <c r="B2145" s="14"/>
      <c r="C2145" s="14"/>
      <c r="D2145" s="14"/>
      <c r="E2145" s="14"/>
      <c r="F2145" s="14"/>
      <c r="T2145"/>
      <c r="AK2145" s="12"/>
      <c r="AL2145" s="1"/>
      <c r="AM2145" s="1"/>
      <c r="AN2145" s="1"/>
      <c r="AO2145" s="2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</row>
    <row r="2146" spans="1:58" x14ac:dyDescent="0.25">
      <c r="A2146" s="14"/>
      <c r="B2146" s="14"/>
      <c r="C2146" s="14"/>
      <c r="D2146" s="14"/>
      <c r="E2146" s="14"/>
      <c r="F2146" s="14"/>
      <c r="T2146"/>
      <c r="AK2146" s="12"/>
      <c r="AL2146" s="1"/>
      <c r="AM2146" s="1"/>
      <c r="AN2146" s="1"/>
      <c r="AO2146" s="2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</row>
    <row r="2147" spans="1:58" x14ac:dyDescent="0.25">
      <c r="A2147" s="14"/>
      <c r="B2147" s="14"/>
      <c r="C2147" s="14"/>
      <c r="D2147" s="14"/>
      <c r="E2147" s="14"/>
      <c r="F2147" s="14"/>
      <c r="T2147"/>
      <c r="AK2147" s="12"/>
      <c r="AL2147" s="1"/>
      <c r="AM2147" s="1"/>
      <c r="AN2147" s="1"/>
      <c r="AO2147" s="2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</row>
    <row r="2148" spans="1:58" x14ac:dyDescent="0.25">
      <c r="A2148" s="14"/>
      <c r="B2148" s="14"/>
      <c r="C2148" s="14"/>
      <c r="D2148" s="14"/>
      <c r="E2148" s="14"/>
      <c r="F2148" s="14"/>
      <c r="T2148"/>
      <c r="AK2148" s="12"/>
      <c r="AL2148" s="1"/>
      <c r="AM2148" s="1"/>
      <c r="AN2148" s="1"/>
      <c r="AO2148" s="2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</row>
    <row r="2149" spans="1:58" x14ac:dyDescent="0.25">
      <c r="A2149" s="14"/>
      <c r="B2149" s="14"/>
      <c r="C2149" s="14"/>
      <c r="D2149" s="14"/>
      <c r="E2149" s="14"/>
      <c r="F2149" s="14"/>
      <c r="T2149"/>
      <c r="AK2149" s="12"/>
      <c r="AL2149" s="1"/>
      <c r="AM2149" s="1"/>
      <c r="AN2149" s="1"/>
      <c r="AO2149" s="2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</row>
    <row r="2150" spans="1:58" x14ac:dyDescent="0.25">
      <c r="A2150" s="14"/>
      <c r="B2150" s="14"/>
      <c r="C2150" s="14"/>
      <c r="D2150" s="14"/>
      <c r="E2150" s="14"/>
      <c r="F2150" s="14"/>
      <c r="T2150"/>
      <c r="AK2150" s="12"/>
      <c r="AL2150" s="1"/>
      <c r="AM2150" s="1"/>
      <c r="AN2150" s="1"/>
      <c r="AO2150" s="2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</row>
    <row r="2151" spans="1:58" x14ac:dyDescent="0.25">
      <c r="A2151" s="14"/>
      <c r="B2151" s="14"/>
      <c r="C2151" s="14"/>
      <c r="D2151" s="14"/>
      <c r="E2151" s="14"/>
      <c r="F2151" s="14"/>
      <c r="T2151"/>
      <c r="AK2151" s="12"/>
      <c r="AL2151" s="1"/>
      <c r="AM2151" s="1"/>
      <c r="AN2151" s="1"/>
      <c r="AO2151" s="2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</row>
    <row r="2152" spans="1:58" x14ac:dyDescent="0.25">
      <c r="A2152" s="14"/>
      <c r="B2152" s="14"/>
      <c r="C2152" s="14"/>
      <c r="D2152" s="14"/>
      <c r="E2152" s="14"/>
      <c r="F2152" s="14"/>
      <c r="T2152"/>
      <c r="AK2152" s="12"/>
      <c r="AL2152" s="1"/>
      <c r="AM2152" s="1"/>
      <c r="AN2152" s="1"/>
      <c r="AO2152" s="2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</row>
    <row r="2153" spans="1:58" x14ac:dyDescent="0.25">
      <c r="A2153" s="14"/>
      <c r="B2153" s="14"/>
      <c r="C2153" s="14"/>
      <c r="D2153" s="14"/>
      <c r="E2153" s="14"/>
      <c r="F2153" s="14"/>
      <c r="T2153"/>
      <c r="AK2153" s="12"/>
      <c r="AL2153" s="1"/>
      <c r="AM2153" s="1"/>
      <c r="AN2153" s="1"/>
      <c r="AO2153" s="2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</row>
    <row r="2154" spans="1:58" x14ac:dyDescent="0.25">
      <c r="A2154" s="14"/>
      <c r="B2154" s="14"/>
      <c r="C2154" s="14"/>
      <c r="D2154" s="14"/>
      <c r="E2154" s="14"/>
      <c r="F2154" s="14"/>
      <c r="T2154"/>
      <c r="AK2154" s="12"/>
      <c r="AL2154" s="1"/>
      <c r="AM2154" s="1"/>
      <c r="AN2154" s="1"/>
      <c r="AO2154" s="2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</row>
    <row r="2155" spans="1:58" x14ac:dyDescent="0.25">
      <c r="A2155" s="14"/>
      <c r="B2155" s="14"/>
      <c r="C2155" s="14"/>
      <c r="D2155" s="14"/>
      <c r="E2155" s="14"/>
      <c r="F2155" s="14"/>
      <c r="T2155"/>
      <c r="AK2155" s="12"/>
      <c r="AL2155" s="1"/>
      <c r="AM2155" s="1"/>
      <c r="AN2155" s="1"/>
      <c r="AO2155" s="2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</row>
    <row r="2156" spans="1:58" x14ac:dyDescent="0.25">
      <c r="A2156" s="14"/>
      <c r="B2156" s="14"/>
      <c r="C2156" s="14"/>
      <c r="D2156" s="14"/>
      <c r="E2156" s="14"/>
      <c r="F2156" s="14"/>
      <c r="T2156"/>
      <c r="AK2156" s="12"/>
      <c r="AL2156" s="1"/>
      <c r="AM2156" s="1"/>
      <c r="AN2156" s="1"/>
      <c r="AO2156" s="2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</row>
    <row r="2157" spans="1:58" x14ac:dyDescent="0.25">
      <c r="A2157" s="14"/>
      <c r="B2157" s="14"/>
      <c r="C2157" s="14"/>
      <c r="D2157" s="14"/>
      <c r="E2157" s="14"/>
      <c r="F2157" s="14"/>
      <c r="T2157"/>
      <c r="AK2157" s="12"/>
      <c r="AL2157" s="1"/>
      <c r="AM2157" s="1"/>
      <c r="AN2157" s="1"/>
      <c r="AO2157" s="2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</row>
    <row r="2158" spans="1:58" x14ac:dyDescent="0.25">
      <c r="A2158" s="14"/>
      <c r="B2158" s="14"/>
      <c r="C2158" s="14"/>
      <c r="D2158" s="14"/>
      <c r="E2158" s="14"/>
      <c r="F2158" s="14"/>
      <c r="T2158"/>
      <c r="AK2158" s="12"/>
      <c r="AL2158" s="1"/>
      <c r="AM2158" s="1"/>
      <c r="AN2158" s="1"/>
      <c r="AO2158" s="2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</row>
    <row r="2159" spans="1:58" x14ac:dyDescent="0.25">
      <c r="A2159" s="14"/>
      <c r="B2159" s="14"/>
      <c r="C2159" s="14"/>
      <c r="D2159" s="14"/>
      <c r="E2159" s="14"/>
      <c r="F2159" s="14"/>
      <c r="T2159"/>
      <c r="AK2159" s="12"/>
      <c r="AL2159" s="1"/>
      <c r="AM2159" s="1"/>
      <c r="AN2159" s="1"/>
      <c r="AO2159" s="2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</row>
    <row r="2160" spans="1:58" x14ac:dyDescent="0.25">
      <c r="A2160" s="14"/>
      <c r="B2160" s="14"/>
      <c r="C2160" s="14"/>
      <c r="D2160" s="14"/>
      <c r="E2160" s="14"/>
      <c r="F2160" s="14"/>
      <c r="T2160"/>
      <c r="AK2160" s="12"/>
      <c r="AL2160" s="1"/>
      <c r="AM2160" s="1"/>
      <c r="AN2160" s="1"/>
      <c r="AO2160" s="2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</row>
    <row r="2161" spans="1:58" x14ac:dyDescent="0.25">
      <c r="A2161" s="14"/>
      <c r="B2161" s="14"/>
      <c r="C2161" s="14"/>
      <c r="D2161" s="14"/>
      <c r="E2161" s="14"/>
      <c r="F2161" s="14"/>
      <c r="T2161"/>
      <c r="AK2161" s="12"/>
      <c r="AL2161" s="1"/>
      <c r="AM2161" s="1"/>
      <c r="AN2161" s="1"/>
      <c r="AO2161" s="2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</row>
    <row r="2162" spans="1:58" x14ac:dyDescent="0.25">
      <c r="A2162" s="14"/>
      <c r="B2162" s="14"/>
      <c r="C2162" s="14"/>
      <c r="D2162" s="14"/>
      <c r="E2162" s="14"/>
      <c r="F2162" s="14"/>
      <c r="T2162"/>
      <c r="AK2162" s="12"/>
      <c r="AL2162" s="1"/>
      <c r="AM2162" s="1"/>
      <c r="AN2162" s="1"/>
      <c r="AO2162" s="2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</row>
    <row r="2163" spans="1:58" x14ac:dyDescent="0.25">
      <c r="A2163" s="14"/>
      <c r="B2163" s="14"/>
      <c r="C2163" s="14"/>
      <c r="D2163" s="14"/>
      <c r="E2163" s="14"/>
      <c r="F2163" s="14"/>
      <c r="T2163"/>
      <c r="AK2163" s="12"/>
      <c r="AL2163" s="1"/>
      <c r="AM2163" s="1"/>
      <c r="AN2163" s="1"/>
      <c r="AO2163" s="2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</row>
    <row r="2164" spans="1:58" x14ac:dyDescent="0.25">
      <c r="A2164" s="14"/>
      <c r="B2164" s="14"/>
      <c r="C2164" s="14"/>
      <c r="D2164" s="14"/>
      <c r="E2164" s="14"/>
      <c r="F2164" s="14"/>
      <c r="T2164"/>
      <c r="AK2164" s="12"/>
      <c r="AL2164" s="1"/>
      <c r="AM2164" s="1"/>
      <c r="AN2164" s="1"/>
      <c r="AO2164" s="2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</row>
    <row r="2165" spans="1:58" x14ac:dyDescent="0.25">
      <c r="A2165" s="14"/>
      <c r="B2165" s="14"/>
      <c r="C2165" s="14"/>
      <c r="D2165" s="14"/>
      <c r="E2165" s="14"/>
      <c r="F2165" s="14"/>
      <c r="T2165"/>
      <c r="AK2165" s="12"/>
      <c r="AL2165" s="1"/>
      <c r="AM2165" s="1"/>
      <c r="AN2165" s="1"/>
      <c r="AO2165" s="2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</row>
    <row r="2166" spans="1:58" x14ac:dyDescent="0.25">
      <c r="A2166" s="14"/>
      <c r="B2166" s="14"/>
      <c r="C2166" s="14"/>
      <c r="D2166" s="14"/>
      <c r="E2166" s="14"/>
      <c r="F2166" s="14"/>
      <c r="T2166"/>
      <c r="AK2166" s="12"/>
      <c r="AL2166" s="1"/>
      <c r="AM2166" s="1"/>
      <c r="AN2166" s="1"/>
      <c r="AO2166" s="2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</row>
    <row r="2167" spans="1:58" x14ac:dyDescent="0.25">
      <c r="A2167" s="14"/>
      <c r="B2167" s="14"/>
      <c r="C2167" s="14"/>
      <c r="D2167" s="14"/>
      <c r="E2167" s="14"/>
      <c r="F2167" s="14"/>
      <c r="T2167"/>
      <c r="AK2167" s="12"/>
      <c r="AL2167" s="1"/>
      <c r="AM2167" s="1"/>
      <c r="AN2167" s="1"/>
      <c r="AO2167" s="2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</row>
    <row r="2168" spans="1:58" x14ac:dyDescent="0.25">
      <c r="A2168" s="14"/>
      <c r="B2168" s="14"/>
      <c r="C2168" s="14"/>
      <c r="D2168" s="14"/>
      <c r="E2168" s="14"/>
      <c r="F2168" s="14"/>
      <c r="T2168"/>
      <c r="AK2168" s="12"/>
      <c r="AL2168" s="1"/>
      <c r="AM2168" s="1"/>
      <c r="AN2168" s="1"/>
      <c r="AO2168" s="2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</row>
    <row r="2169" spans="1:58" x14ac:dyDescent="0.25">
      <c r="A2169" s="14"/>
      <c r="B2169" s="14"/>
      <c r="C2169" s="14"/>
      <c r="D2169" s="14"/>
      <c r="E2169" s="14"/>
      <c r="F2169" s="14"/>
      <c r="T2169"/>
      <c r="AK2169" s="12"/>
      <c r="AL2169" s="1"/>
      <c r="AM2169" s="1"/>
      <c r="AN2169" s="1"/>
      <c r="AO2169" s="2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</row>
    <row r="2170" spans="1:58" x14ac:dyDescent="0.25">
      <c r="A2170" s="14"/>
      <c r="B2170" s="14"/>
      <c r="C2170" s="14"/>
      <c r="D2170" s="14"/>
      <c r="E2170" s="14"/>
      <c r="F2170" s="14"/>
      <c r="T2170"/>
      <c r="AK2170" s="12"/>
      <c r="AL2170" s="1"/>
      <c r="AM2170" s="1"/>
      <c r="AN2170" s="1"/>
      <c r="AO2170" s="2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</row>
    <row r="2171" spans="1:58" x14ac:dyDescent="0.25">
      <c r="A2171" s="14"/>
      <c r="B2171" s="14"/>
      <c r="C2171" s="14"/>
      <c r="D2171" s="14"/>
      <c r="E2171" s="14"/>
      <c r="F2171" s="14"/>
      <c r="T2171"/>
      <c r="AK2171" s="12"/>
      <c r="AL2171" s="1"/>
      <c r="AM2171" s="1"/>
      <c r="AN2171" s="1"/>
      <c r="AO2171" s="2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</row>
    <row r="2172" spans="1:58" x14ac:dyDescent="0.25">
      <c r="A2172" s="14"/>
      <c r="B2172" s="14"/>
      <c r="C2172" s="14"/>
      <c r="D2172" s="14"/>
      <c r="E2172" s="14"/>
      <c r="F2172" s="14"/>
      <c r="T2172"/>
      <c r="AK2172" s="12"/>
      <c r="AL2172" s="1"/>
      <c r="AM2172" s="1"/>
      <c r="AN2172" s="1"/>
      <c r="AO2172" s="2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</row>
    <row r="2173" spans="1:58" x14ac:dyDescent="0.25">
      <c r="A2173" s="14"/>
      <c r="B2173" s="14"/>
      <c r="C2173" s="14"/>
      <c r="D2173" s="14"/>
      <c r="E2173" s="14"/>
      <c r="F2173" s="14"/>
      <c r="T2173"/>
      <c r="AK2173" s="12"/>
      <c r="AL2173" s="1"/>
      <c r="AM2173" s="1"/>
      <c r="AN2173" s="1"/>
      <c r="AO2173" s="2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</row>
    <row r="2174" spans="1:58" x14ac:dyDescent="0.25">
      <c r="A2174" s="14"/>
      <c r="B2174" s="14"/>
      <c r="C2174" s="14"/>
      <c r="D2174" s="14"/>
      <c r="E2174" s="14"/>
      <c r="F2174" s="14"/>
      <c r="T2174"/>
      <c r="AK2174" s="12"/>
      <c r="AL2174" s="1"/>
      <c r="AM2174" s="1"/>
      <c r="AN2174" s="1"/>
      <c r="AO2174" s="2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</row>
    <row r="2175" spans="1:58" x14ac:dyDescent="0.25">
      <c r="A2175" s="14"/>
      <c r="B2175" s="14"/>
      <c r="C2175" s="14"/>
      <c r="D2175" s="14"/>
      <c r="E2175" s="14"/>
      <c r="F2175" s="14"/>
      <c r="T2175"/>
      <c r="AK2175" s="12"/>
      <c r="AL2175" s="1"/>
      <c r="AM2175" s="1"/>
      <c r="AN2175" s="1"/>
      <c r="AO2175" s="2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</row>
    <row r="2176" spans="1:58" x14ac:dyDescent="0.25">
      <c r="A2176" s="14"/>
      <c r="B2176" s="14"/>
      <c r="C2176" s="14"/>
      <c r="D2176" s="14"/>
      <c r="E2176" s="14"/>
      <c r="F2176" s="14"/>
      <c r="T2176"/>
      <c r="AK2176" s="12"/>
      <c r="AL2176" s="1"/>
      <c r="AM2176" s="1"/>
      <c r="AN2176" s="1"/>
      <c r="AO2176" s="2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</row>
    <row r="2177" spans="1:58" x14ac:dyDescent="0.25">
      <c r="A2177" s="14"/>
      <c r="B2177" s="14"/>
      <c r="C2177" s="14"/>
      <c r="D2177" s="14"/>
      <c r="E2177" s="14"/>
      <c r="F2177" s="14"/>
      <c r="T2177"/>
      <c r="AK2177" s="12"/>
      <c r="AL2177" s="1"/>
      <c r="AM2177" s="1"/>
      <c r="AN2177" s="1"/>
      <c r="AO2177" s="2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</row>
    <row r="2178" spans="1:58" x14ac:dyDescent="0.25">
      <c r="A2178" s="14"/>
      <c r="B2178" s="14"/>
      <c r="C2178" s="14"/>
      <c r="D2178" s="14"/>
      <c r="E2178" s="14"/>
      <c r="F2178" s="14"/>
      <c r="T2178"/>
      <c r="AK2178" s="12"/>
      <c r="AL2178" s="1"/>
      <c r="AM2178" s="1"/>
      <c r="AN2178" s="1"/>
      <c r="AO2178" s="2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</row>
    <row r="2179" spans="1:58" x14ac:dyDescent="0.25">
      <c r="A2179" s="14"/>
      <c r="B2179" s="14"/>
      <c r="C2179" s="14"/>
      <c r="D2179" s="14"/>
      <c r="E2179" s="14"/>
      <c r="F2179" s="14"/>
      <c r="T2179"/>
      <c r="AK2179" s="12"/>
      <c r="AL2179" s="1"/>
      <c r="AM2179" s="1"/>
      <c r="AN2179" s="1"/>
      <c r="AO2179" s="2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</row>
    <row r="2180" spans="1:58" x14ac:dyDescent="0.25">
      <c r="A2180" s="14"/>
      <c r="B2180" s="14"/>
      <c r="C2180" s="14"/>
      <c r="D2180" s="14"/>
      <c r="E2180" s="14"/>
      <c r="F2180" s="14"/>
      <c r="T2180"/>
      <c r="AK2180" s="12"/>
      <c r="AL2180" s="1"/>
      <c r="AM2180" s="1"/>
      <c r="AN2180" s="1"/>
      <c r="AO2180" s="2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</row>
    <row r="2181" spans="1:58" x14ac:dyDescent="0.25">
      <c r="A2181" s="14"/>
      <c r="B2181" s="14"/>
      <c r="C2181" s="14"/>
      <c r="D2181" s="14"/>
      <c r="E2181" s="14"/>
      <c r="F2181" s="14"/>
      <c r="T2181"/>
      <c r="AK2181" s="12"/>
      <c r="AL2181" s="1"/>
      <c r="AM2181" s="1"/>
      <c r="AN2181" s="1"/>
      <c r="AO2181" s="2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</row>
    <row r="2182" spans="1:58" x14ac:dyDescent="0.25">
      <c r="A2182" s="14"/>
      <c r="B2182" s="14"/>
      <c r="C2182" s="14"/>
      <c r="D2182" s="14"/>
      <c r="E2182" s="14"/>
      <c r="F2182" s="14"/>
      <c r="T2182"/>
      <c r="AK2182" s="12"/>
      <c r="AL2182" s="1"/>
      <c r="AM2182" s="1"/>
      <c r="AN2182" s="1"/>
      <c r="AO2182" s="2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</row>
    <row r="2183" spans="1:58" x14ac:dyDescent="0.25">
      <c r="A2183" s="14"/>
      <c r="B2183" s="14"/>
      <c r="C2183" s="14"/>
      <c r="D2183" s="14"/>
      <c r="E2183" s="14"/>
      <c r="F2183" s="14"/>
      <c r="T2183"/>
      <c r="AK2183" s="12"/>
      <c r="AL2183" s="1"/>
      <c r="AM2183" s="1"/>
      <c r="AN2183" s="1"/>
      <c r="AO2183" s="2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</row>
    <row r="2184" spans="1:58" x14ac:dyDescent="0.25">
      <c r="A2184" s="14"/>
      <c r="B2184" s="14"/>
      <c r="C2184" s="14"/>
      <c r="D2184" s="14"/>
      <c r="E2184" s="14"/>
      <c r="F2184" s="14"/>
      <c r="T2184"/>
      <c r="AK2184" s="12"/>
      <c r="AL2184" s="1"/>
      <c r="AM2184" s="1"/>
      <c r="AN2184" s="1"/>
      <c r="AO2184" s="2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</row>
    <row r="2185" spans="1:58" x14ac:dyDescent="0.25">
      <c r="A2185" s="14"/>
      <c r="B2185" s="14"/>
      <c r="C2185" s="14"/>
      <c r="D2185" s="14"/>
      <c r="E2185" s="14"/>
      <c r="F2185" s="14"/>
      <c r="T2185"/>
      <c r="AK2185" s="12"/>
      <c r="AL2185" s="1"/>
      <c r="AM2185" s="1"/>
      <c r="AN2185" s="1"/>
      <c r="AO2185" s="2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</row>
    <row r="2186" spans="1:58" x14ac:dyDescent="0.25">
      <c r="A2186" s="14"/>
      <c r="B2186" s="14"/>
      <c r="C2186" s="14"/>
      <c r="D2186" s="14"/>
      <c r="E2186" s="14"/>
      <c r="F2186" s="14"/>
      <c r="T2186"/>
      <c r="AK2186" s="12"/>
      <c r="AL2186" s="1"/>
      <c r="AM2186" s="1"/>
      <c r="AN2186" s="1"/>
      <c r="AO2186" s="2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</row>
    <row r="2187" spans="1:58" x14ac:dyDescent="0.25">
      <c r="A2187" s="14"/>
      <c r="B2187" s="14"/>
      <c r="C2187" s="14"/>
      <c r="D2187" s="14"/>
      <c r="E2187" s="14"/>
      <c r="F2187" s="14"/>
      <c r="T2187"/>
      <c r="AK2187" s="12"/>
      <c r="AL2187" s="1"/>
      <c r="AM2187" s="1"/>
      <c r="AN2187" s="1"/>
      <c r="AO2187" s="2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</row>
    <row r="2188" spans="1:58" x14ac:dyDescent="0.25">
      <c r="A2188" s="14"/>
      <c r="B2188" s="14"/>
      <c r="C2188" s="14"/>
      <c r="D2188" s="14"/>
      <c r="E2188" s="14"/>
      <c r="F2188" s="14"/>
      <c r="T2188"/>
      <c r="AK2188" s="12"/>
      <c r="AL2188" s="1"/>
      <c r="AM2188" s="1"/>
      <c r="AN2188" s="1"/>
      <c r="AO2188" s="2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</row>
    <row r="2189" spans="1:58" x14ac:dyDescent="0.25">
      <c r="A2189" s="14"/>
      <c r="B2189" s="14"/>
      <c r="C2189" s="14"/>
      <c r="D2189" s="14"/>
      <c r="E2189" s="14"/>
      <c r="F2189" s="14"/>
      <c r="T2189"/>
      <c r="AK2189" s="12"/>
      <c r="AL2189" s="1"/>
      <c r="AM2189" s="1"/>
      <c r="AN2189" s="1"/>
      <c r="AO2189" s="2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</row>
    <row r="2190" spans="1:58" x14ac:dyDescent="0.25">
      <c r="A2190" s="14"/>
      <c r="B2190" s="14"/>
      <c r="C2190" s="14"/>
      <c r="D2190" s="14"/>
      <c r="E2190" s="14"/>
      <c r="F2190" s="14"/>
      <c r="T2190"/>
      <c r="AK2190" s="12"/>
      <c r="AL2190" s="1"/>
      <c r="AM2190" s="1"/>
      <c r="AN2190" s="1"/>
      <c r="AO2190" s="2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</row>
    <row r="2191" spans="1:58" x14ac:dyDescent="0.25">
      <c r="A2191" s="14"/>
      <c r="B2191" s="14"/>
      <c r="C2191" s="14"/>
      <c r="D2191" s="14"/>
      <c r="E2191" s="14"/>
      <c r="F2191" s="14"/>
      <c r="T2191"/>
      <c r="AK2191" s="12"/>
      <c r="AL2191" s="1"/>
      <c r="AM2191" s="1"/>
      <c r="AN2191" s="1"/>
      <c r="AO2191" s="2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</row>
    <row r="2192" spans="1:58" x14ac:dyDescent="0.25">
      <c r="A2192" s="14"/>
      <c r="B2192" s="14"/>
      <c r="C2192" s="14"/>
      <c r="D2192" s="14"/>
      <c r="E2192" s="14"/>
      <c r="F2192" s="14"/>
      <c r="T2192"/>
      <c r="AK2192" s="12"/>
      <c r="AL2192" s="1"/>
      <c r="AM2192" s="1"/>
      <c r="AN2192" s="1"/>
      <c r="AO2192" s="2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</row>
    <row r="2193" spans="1:58" x14ac:dyDescent="0.25">
      <c r="A2193" s="14"/>
      <c r="B2193" s="14"/>
      <c r="C2193" s="14"/>
      <c r="D2193" s="14"/>
      <c r="E2193" s="14"/>
      <c r="F2193" s="14"/>
      <c r="T2193"/>
      <c r="AK2193" s="12"/>
      <c r="AL2193" s="1"/>
      <c r="AM2193" s="1"/>
      <c r="AN2193" s="1"/>
      <c r="AO2193" s="2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</row>
    <row r="2194" spans="1:58" x14ac:dyDescent="0.25">
      <c r="A2194" s="14"/>
      <c r="B2194" s="14"/>
      <c r="C2194" s="14"/>
      <c r="D2194" s="14"/>
      <c r="E2194" s="14"/>
      <c r="F2194" s="14"/>
      <c r="T2194"/>
      <c r="AK2194" s="12"/>
      <c r="AL2194" s="1"/>
      <c r="AM2194" s="1"/>
      <c r="AN2194" s="1"/>
      <c r="AO2194" s="2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</row>
    <row r="2195" spans="1:58" x14ac:dyDescent="0.25">
      <c r="A2195" s="14"/>
      <c r="B2195" s="14"/>
      <c r="C2195" s="14"/>
      <c r="D2195" s="14"/>
      <c r="E2195" s="14"/>
      <c r="F2195" s="14"/>
      <c r="T2195"/>
      <c r="AK2195" s="12"/>
      <c r="AL2195" s="1"/>
      <c r="AM2195" s="1"/>
      <c r="AN2195" s="1"/>
      <c r="AO2195" s="2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</row>
    <row r="2196" spans="1:58" x14ac:dyDescent="0.25">
      <c r="A2196" s="14"/>
      <c r="B2196" s="14"/>
      <c r="C2196" s="14"/>
      <c r="D2196" s="14"/>
      <c r="E2196" s="14"/>
      <c r="F2196" s="14"/>
      <c r="T2196"/>
      <c r="AK2196" s="12"/>
      <c r="AL2196" s="1"/>
      <c r="AM2196" s="1"/>
      <c r="AN2196" s="1"/>
      <c r="AO2196" s="2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</row>
    <row r="2197" spans="1:58" x14ac:dyDescent="0.25">
      <c r="A2197" s="14"/>
      <c r="B2197" s="14"/>
      <c r="C2197" s="14"/>
      <c r="D2197" s="14"/>
      <c r="E2197" s="14"/>
      <c r="F2197" s="14"/>
      <c r="T2197"/>
      <c r="AK2197" s="12"/>
      <c r="AL2197" s="1"/>
      <c r="AM2197" s="1"/>
      <c r="AN2197" s="1"/>
      <c r="AO2197" s="2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</row>
    <row r="2198" spans="1:58" x14ac:dyDescent="0.25">
      <c r="A2198" s="14"/>
      <c r="B2198" s="14"/>
      <c r="C2198" s="14"/>
      <c r="D2198" s="14"/>
      <c r="E2198" s="14"/>
      <c r="F2198" s="14"/>
      <c r="T2198"/>
      <c r="AK2198" s="12"/>
      <c r="AL2198" s="1"/>
      <c r="AM2198" s="1"/>
      <c r="AN2198" s="1"/>
      <c r="AO2198" s="2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</row>
    <row r="2199" spans="1:58" x14ac:dyDescent="0.25">
      <c r="A2199" s="14"/>
      <c r="B2199" s="14"/>
      <c r="C2199" s="14"/>
      <c r="D2199" s="14"/>
      <c r="E2199" s="14"/>
      <c r="F2199" s="14"/>
      <c r="T2199"/>
      <c r="AK2199" s="12"/>
      <c r="AL2199" s="1"/>
      <c r="AM2199" s="1"/>
      <c r="AN2199" s="1"/>
      <c r="AO2199" s="2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</row>
    <row r="2200" spans="1:58" x14ac:dyDescent="0.25">
      <c r="A2200" s="14"/>
      <c r="B2200" s="14"/>
      <c r="C2200" s="14"/>
      <c r="D2200" s="14"/>
      <c r="E2200" s="14"/>
      <c r="F2200" s="14"/>
      <c r="T2200"/>
      <c r="AK2200" s="12"/>
      <c r="AL2200" s="1"/>
      <c r="AM2200" s="1"/>
      <c r="AN2200" s="1"/>
      <c r="AO2200" s="2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</row>
    <row r="2201" spans="1:58" x14ac:dyDescent="0.25">
      <c r="A2201" s="14"/>
      <c r="B2201" s="14"/>
      <c r="C2201" s="14"/>
      <c r="D2201" s="14"/>
      <c r="E2201" s="14"/>
      <c r="F2201" s="14"/>
      <c r="T2201"/>
      <c r="AK2201" s="12"/>
      <c r="AL2201" s="1"/>
      <c r="AM2201" s="1"/>
      <c r="AN2201" s="1"/>
      <c r="AO2201" s="2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</row>
    <row r="2202" spans="1:58" x14ac:dyDescent="0.25">
      <c r="A2202" s="14"/>
      <c r="B2202" s="14"/>
      <c r="C2202" s="14"/>
      <c r="D2202" s="14"/>
      <c r="E2202" s="14"/>
      <c r="F2202" s="14"/>
      <c r="T2202"/>
      <c r="AK2202" s="12"/>
      <c r="AL2202" s="1"/>
      <c r="AM2202" s="1"/>
      <c r="AN2202" s="1"/>
      <c r="AO2202" s="2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</row>
    <row r="2203" spans="1:58" x14ac:dyDescent="0.25">
      <c r="A2203" s="14"/>
      <c r="B2203" s="14"/>
      <c r="C2203" s="14"/>
      <c r="D2203" s="14"/>
      <c r="E2203" s="14"/>
      <c r="F2203" s="14"/>
      <c r="T2203"/>
      <c r="AK2203" s="12"/>
      <c r="AL2203" s="1"/>
      <c r="AM2203" s="1"/>
      <c r="AN2203" s="1"/>
      <c r="AO2203" s="2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</row>
    <row r="2204" spans="1:58" x14ac:dyDescent="0.25">
      <c r="A2204" s="14"/>
      <c r="B2204" s="14"/>
      <c r="C2204" s="14"/>
      <c r="D2204" s="14"/>
      <c r="E2204" s="14"/>
      <c r="F2204" s="14"/>
      <c r="T2204"/>
      <c r="AK2204" s="12"/>
      <c r="AL2204" s="1"/>
      <c r="AM2204" s="1"/>
      <c r="AN2204" s="1"/>
      <c r="AO2204" s="2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</row>
    <row r="2205" spans="1:58" x14ac:dyDescent="0.25">
      <c r="A2205" s="14"/>
      <c r="B2205" s="14"/>
      <c r="C2205" s="14"/>
      <c r="D2205" s="14"/>
      <c r="E2205" s="14"/>
      <c r="F2205" s="14"/>
      <c r="T2205"/>
      <c r="AK2205" s="12"/>
      <c r="AL2205" s="1"/>
      <c r="AM2205" s="1"/>
      <c r="AN2205" s="1"/>
      <c r="AO2205" s="2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</row>
    <row r="2206" spans="1:58" x14ac:dyDescent="0.25">
      <c r="A2206" s="14"/>
      <c r="B2206" s="14"/>
      <c r="C2206" s="14"/>
      <c r="D2206" s="14"/>
      <c r="E2206" s="14"/>
      <c r="F2206" s="14"/>
      <c r="T2206"/>
      <c r="AK2206" s="12"/>
      <c r="AL2206" s="1"/>
      <c r="AM2206" s="1"/>
      <c r="AN2206" s="1"/>
      <c r="AO2206" s="2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</row>
    <row r="2207" spans="1:58" x14ac:dyDescent="0.25">
      <c r="A2207" s="14"/>
      <c r="B2207" s="14"/>
      <c r="C2207" s="14"/>
      <c r="D2207" s="14"/>
      <c r="E2207" s="14"/>
      <c r="F2207" s="14"/>
      <c r="T2207"/>
      <c r="AK2207" s="12"/>
      <c r="AL2207" s="1"/>
      <c r="AM2207" s="1"/>
      <c r="AN2207" s="1"/>
      <c r="AO2207" s="2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</row>
    <row r="2208" spans="1:58" x14ac:dyDescent="0.25">
      <c r="A2208" s="14"/>
      <c r="B2208" s="14"/>
      <c r="C2208" s="14"/>
      <c r="D2208" s="14"/>
      <c r="E2208" s="14"/>
      <c r="F2208" s="14"/>
      <c r="T2208"/>
      <c r="AK2208" s="12"/>
      <c r="AL2208" s="1"/>
      <c r="AM2208" s="1"/>
      <c r="AN2208" s="1"/>
      <c r="AO2208" s="2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</row>
    <row r="2209" spans="1:58" x14ac:dyDescent="0.25">
      <c r="A2209" s="14"/>
      <c r="B2209" s="14"/>
      <c r="C2209" s="14"/>
      <c r="D2209" s="14"/>
      <c r="E2209" s="14"/>
      <c r="F2209" s="14"/>
      <c r="T2209"/>
      <c r="AK2209" s="12"/>
      <c r="AL2209" s="1"/>
      <c r="AM2209" s="1"/>
      <c r="AN2209" s="1"/>
      <c r="AO2209" s="2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</row>
    <row r="2210" spans="1:58" x14ac:dyDescent="0.25">
      <c r="A2210" s="14"/>
      <c r="B2210" s="14"/>
      <c r="C2210" s="14"/>
      <c r="D2210" s="14"/>
      <c r="E2210" s="14"/>
      <c r="F2210" s="14"/>
      <c r="T2210"/>
      <c r="AK2210" s="12"/>
      <c r="AL2210" s="1"/>
      <c r="AM2210" s="1"/>
      <c r="AN2210" s="1"/>
      <c r="AO2210" s="2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</row>
    <row r="2211" spans="1:58" x14ac:dyDescent="0.25">
      <c r="A2211" s="14"/>
      <c r="B2211" s="14"/>
      <c r="C2211" s="14"/>
      <c r="D2211" s="14"/>
      <c r="E2211" s="14"/>
      <c r="F2211" s="14"/>
      <c r="T2211"/>
      <c r="AK2211" s="12"/>
      <c r="AL2211" s="1"/>
      <c r="AM2211" s="1"/>
      <c r="AN2211" s="1"/>
      <c r="AO2211" s="2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</row>
    <row r="2212" spans="1:58" x14ac:dyDescent="0.25">
      <c r="A2212" s="14"/>
      <c r="B2212" s="14"/>
      <c r="C2212" s="14"/>
      <c r="D2212" s="14"/>
      <c r="E2212" s="14"/>
      <c r="F2212" s="14"/>
      <c r="T2212"/>
      <c r="AK2212" s="12"/>
      <c r="AL2212" s="1"/>
      <c r="AM2212" s="1"/>
      <c r="AN2212" s="1"/>
      <c r="AO2212" s="2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</row>
    <row r="2213" spans="1:58" x14ac:dyDescent="0.25">
      <c r="A2213" s="14"/>
      <c r="B2213" s="14"/>
      <c r="C2213" s="14"/>
      <c r="D2213" s="14"/>
      <c r="E2213" s="14"/>
      <c r="F2213" s="14"/>
      <c r="T2213"/>
      <c r="AK2213" s="12"/>
      <c r="AL2213" s="1"/>
      <c r="AM2213" s="1"/>
      <c r="AN2213" s="1"/>
      <c r="AO2213" s="2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</row>
    <row r="2214" spans="1:58" x14ac:dyDescent="0.25">
      <c r="A2214" s="14"/>
      <c r="B2214" s="14"/>
      <c r="C2214" s="14"/>
      <c r="D2214" s="14"/>
      <c r="E2214" s="14"/>
      <c r="F2214" s="14"/>
      <c r="T2214"/>
      <c r="AK2214" s="12"/>
      <c r="AL2214" s="1"/>
      <c r="AM2214" s="1"/>
      <c r="AN2214" s="1"/>
      <c r="AO2214" s="2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</row>
    <row r="2215" spans="1:58" x14ac:dyDescent="0.25">
      <c r="A2215" s="14"/>
      <c r="B2215" s="14"/>
      <c r="C2215" s="14"/>
      <c r="D2215" s="14"/>
      <c r="E2215" s="14"/>
      <c r="F2215" s="14"/>
      <c r="T2215"/>
      <c r="AK2215" s="12"/>
      <c r="AL2215" s="1"/>
      <c r="AM2215" s="1"/>
      <c r="AN2215" s="1"/>
      <c r="AO2215" s="2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</row>
    <row r="2216" spans="1:58" x14ac:dyDescent="0.25">
      <c r="A2216" s="14"/>
      <c r="B2216" s="14"/>
      <c r="C2216" s="14"/>
      <c r="D2216" s="14"/>
      <c r="E2216" s="14"/>
      <c r="F2216" s="14"/>
      <c r="T2216"/>
      <c r="AK2216" s="12"/>
      <c r="AL2216" s="1"/>
      <c r="AM2216" s="1"/>
      <c r="AN2216" s="1"/>
      <c r="AO2216" s="2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</row>
    <row r="2217" spans="1:58" x14ac:dyDescent="0.25">
      <c r="A2217" s="14"/>
      <c r="B2217" s="14"/>
      <c r="C2217" s="14"/>
      <c r="D2217" s="14"/>
      <c r="E2217" s="14"/>
      <c r="F2217" s="14"/>
      <c r="T2217"/>
      <c r="AK2217" s="12"/>
      <c r="AL2217" s="1"/>
      <c r="AM2217" s="1"/>
      <c r="AN2217" s="1"/>
      <c r="AO2217" s="2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</row>
    <row r="2218" spans="1:58" x14ac:dyDescent="0.25">
      <c r="A2218" s="14"/>
      <c r="B2218" s="14"/>
      <c r="C2218" s="14"/>
      <c r="D2218" s="14"/>
      <c r="E2218" s="14"/>
      <c r="F2218" s="14"/>
      <c r="T2218"/>
      <c r="AK2218" s="12"/>
      <c r="AL2218" s="1"/>
      <c r="AM2218" s="1"/>
      <c r="AN2218" s="1"/>
      <c r="AO2218" s="2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</row>
    <row r="2219" spans="1:58" x14ac:dyDescent="0.25">
      <c r="A2219" s="14"/>
      <c r="B2219" s="14"/>
      <c r="C2219" s="14"/>
      <c r="D2219" s="14"/>
      <c r="E2219" s="14"/>
      <c r="F2219" s="14"/>
      <c r="T2219"/>
      <c r="AK2219" s="12"/>
      <c r="AL2219" s="1"/>
      <c r="AM2219" s="1"/>
      <c r="AN2219" s="1"/>
      <c r="AO2219" s="2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</row>
    <row r="2220" spans="1:58" x14ac:dyDescent="0.25">
      <c r="A2220" s="14"/>
      <c r="B2220" s="14"/>
      <c r="C2220" s="14"/>
      <c r="D2220" s="14"/>
      <c r="E2220" s="14"/>
      <c r="F2220" s="14"/>
      <c r="T2220"/>
      <c r="AK2220" s="12"/>
      <c r="AL2220" s="1"/>
      <c r="AM2220" s="1"/>
      <c r="AN2220" s="1"/>
      <c r="AO2220" s="2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</row>
    <row r="2221" spans="1:58" x14ac:dyDescent="0.25">
      <c r="A2221" s="14"/>
      <c r="B2221" s="14"/>
      <c r="C2221" s="14"/>
      <c r="D2221" s="14"/>
      <c r="E2221" s="14"/>
      <c r="F2221" s="14"/>
      <c r="T2221"/>
      <c r="AK2221" s="12"/>
      <c r="AL2221" s="1"/>
      <c r="AM2221" s="1"/>
      <c r="AN2221" s="1"/>
      <c r="AO2221" s="2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</row>
    <row r="2222" spans="1:58" x14ac:dyDescent="0.25">
      <c r="A2222" s="14"/>
      <c r="B2222" s="14"/>
      <c r="C2222" s="14"/>
      <c r="D2222" s="14"/>
      <c r="E2222" s="14"/>
      <c r="F2222" s="14"/>
      <c r="T2222"/>
      <c r="AK2222" s="12"/>
      <c r="AL2222" s="1"/>
      <c r="AM2222" s="1"/>
      <c r="AN2222" s="1"/>
      <c r="AO2222" s="2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</row>
    <row r="2223" spans="1:58" x14ac:dyDescent="0.25">
      <c r="A2223" s="14"/>
      <c r="B2223" s="14"/>
      <c r="C2223" s="14"/>
      <c r="D2223" s="14"/>
      <c r="E2223" s="14"/>
      <c r="F2223" s="14"/>
      <c r="T2223"/>
      <c r="AK2223" s="12"/>
      <c r="AL2223" s="1"/>
      <c r="AM2223" s="1"/>
      <c r="AN2223" s="1"/>
      <c r="AO2223" s="2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</row>
    <row r="2224" spans="1:58" x14ac:dyDescent="0.25">
      <c r="A2224" s="14"/>
      <c r="B2224" s="14"/>
      <c r="C2224" s="14"/>
      <c r="D2224" s="14"/>
      <c r="E2224" s="14"/>
      <c r="F2224" s="14"/>
      <c r="T2224"/>
      <c r="AK2224" s="12"/>
      <c r="AL2224" s="1"/>
      <c r="AM2224" s="1"/>
      <c r="AN2224" s="1"/>
      <c r="AO2224" s="2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</row>
    <row r="2225" spans="1:58" x14ac:dyDescent="0.25">
      <c r="A2225" s="14"/>
      <c r="B2225" s="14"/>
      <c r="C2225" s="14"/>
      <c r="D2225" s="14"/>
      <c r="E2225" s="14"/>
      <c r="F2225" s="14"/>
      <c r="T2225"/>
      <c r="AK2225" s="12"/>
      <c r="AL2225" s="1"/>
      <c r="AM2225" s="1"/>
      <c r="AN2225" s="1"/>
      <c r="AO2225" s="2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</row>
    <row r="2226" spans="1:58" x14ac:dyDescent="0.25">
      <c r="A2226" s="14"/>
      <c r="B2226" s="14"/>
      <c r="C2226" s="14"/>
      <c r="D2226" s="14"/>
      <c r="E2226" s="14"/>
      <c r="F2226" s="14"/>
      <c r="T2226"/>
      <c r="AK2226" s="12"/>
      <c r="AL2226" s="1"/>
      <c r="AM2226" s="1"/>
      <c r="AN2226" s="1"/>
      <c r="AO2226" s="2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</row>
    <row r="2227" spans="1:58" x14ac:dyDescent="0.25">
      <c r="A2227" s="14"/>
      <c r="B2227" s="14"/>
      <c r="C2227" s="14"/>
      <c r="D2227" s="14"/>
      <c r="E2227" s="14"/>
      <c r="F2227" s="14"/>
      <c r="T2227"/>
      <c r="AK2227" s="12"/>
      <c r="AL2227" s="1"/>
      <c r="AM2227" s="1"/>
      <c r="AN2227" s="1"/>
      <c r="AO2227" s="2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</row>
    <row r="2228" spans="1:58" x14ac:dyDescent="0.25">
      <c r="A2228" s="14"/>
      <c r="B2228" s="14"/>
      <c r="C2228" s="14"/>
      <c r="D2228" s="14"/>
      <c r="E2228" s="14"/>
      <c r="F2228" s="14"/>
      <c r="T2228"/>
      <c r="AK2228" s="12"/>
      <c r="AL2228" s="1"/>
      <c r="AM2228" s="1"/>
      <c r="AN2228" s="1"/>
      <c r="AO2228" s="2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</row>
    <row r="2229" spans="1:58" x14ac:dyDescent="0.25">
      <c r="A2229" s="14"/>
      <c r="B2229" s="14"/>
      <c r="C2229" s="14"/>
      <c r="D2229" s="14"/>
      <c r="E2229" s="14"/>
      <c r="F2229" s="14"/>
      <c r="T2229"/>
      <c r="AK2229" s="12"/>
      <c r="AL2229" s="1"/>
      <c r="AM2229" s="1"/>
      <c r="AN2229" s="1"/>
      <c r="AO2229" s="2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</row>
    <row r="2230" spans="1:58" x14ac:dyDescent="0.25">
      <c r="A2230" s="14"/>
      <c r="B2230" s="14"/>
      <c r="C2230" s="14"/>
      <c r="D2230" s="14"/>
      <c r="E2230" s="14"/>
      <c r="F2230" s="14"/>
      <c r="T2230"/>
      <c r="AK2230" s="12"/>
      <c r="AL2230" s="1"/>
      <c r="AM2230" s="1"/>
      <c r="AN2230" s="1"/>
      <c r="AO2230" s="2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</row>
    <row r="2231" spans="1:58" x14ac:dyDescent="0.25">
      <c r="A2231" s="14"/>
      <c r="B2231" s="14"/>
      <c r="C2231" s="14"/>
      <c r="D2231" s="14"/>
      <c r="E2231" s="14"/>
      <c r="F2231" s="14"/>
      <c r="T2231"/>
      <c r="AK2231" s="12"/>
      <c r="AL2231" s="1"/>
      <c r="AM2231" s="1"/>
      <c r="AN2231" s="1"/>
      <c r="AO2231" s="2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</row>
    <row r="2232" spans="1:58" x14ac:dyDescent="0.25">
      <c r="A2232" s="14"/>
      <c r="B2232" s="14"/>
      <c r="C2232" s="14"/>
      <c r="D2232" s="14"/>
      <c r="E2232" s="14"/>
      <c r="F2232" s="14"/>
      <c r="T2232"/>
      <c r="AK2232" s="12"/>
      <c r="AL2232" s="1"/>
      <c r="AM2232" s="1"/>
      <c r="AN2232" s="1"/>
      <c r="AO2232" s="2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</row>
    <row r="2233" spans="1:58" x14ac:dyDescent="0.25">
      <c r="A2233" s="14"/>
      <c r="B2233" s="14"/>
      <c r="C2233" s="14"/>
      <c r="D2233" s="14"/>
      <c r="E2233" s="14"/>
      <c r="F2233" s="14"/>
      <c r="T2233"/>
      <c r="AK2233" s="12"/>
      <c r="AL2233" s="1"/>
      <c r="AM2233" s="1"/>
      <c r="AN2233" s="1"/>
      <c r="AO2233" s="2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</row>
    <row r="2234" spans="1:58" x14ac:dyDescent="0.25">
      <c r="A2234" s="14"/>
      <c r="B2234" s="14"/>
      <c r="C2234" s="14"/>
      <c r="D2234" s="14"/>
      <c r="E2234" s="14"/>
      <c r="F2234" s="14"/>
      <c r="T2234"/>
      <c r="AK2234" s="12"/>
      <c r="AL2234" s="1"/>
      <c r="AM2234" s="1"/>
      <c r="AN2234" s="1"/>
      <c r="AO2234" s="2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</row>
    <row r="2235" spans="1:58" x14ac:dyDescent="0.25">
      <c r="A2235" s="14"/>
      <c r="B2235" s="14"/>
      <c r="C2235" s="14"/>
      <c r="D2235" s="14"/>
      <c r="E2235" s="14"/>
      <c r="F2235" s="14"/>
      <c r="T2235"/>
      <c r="AK2235" s="12"/>
      <c r="AL2235" s="1"/>
      <c r="AM2235" s="1"/>
      <c r="AN2235" s="1"/>
      <c r="AO2235" s="2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</row>
    <row r="2236" spans="1:58" x14ac:dyDescent="0.25">
      <c r="A2236" s="14"/>
      <c r="B2236" s="14"/>
      <c r="C2236" s="14"/>
      <c r="D2236" s="14"/>
      <c r="E2236" s="14"/>
      <c r="F2236" s="14"/>
      <c r="T2236"/>
      <c r="AK2236" s="12"/>
      <c r="AL2236" s="1"/>
      <c r="AM2236" s="1"/>
      <c r="AN2236" s="1"/>
      <c r="AO2236" s="2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</row>
    <row r="2237" spans="1:58" x14ac:dyDescent="0.25">
      <c r="A2237" s="14"/>
      <c r="B2237" s="14"/>
      <c r="C2237" s="14"/>
      <c r="D2237" s="14"/>
      <c r="E2237" s="14"/>
      <c r="F2237" s="14"/>
      <c r="T2237"/>
      <c r="AK2237" s="12"/>
      <c r="AL2237" s="1"/>
      <c r="AM2237" s="1"/>
      <c r="AN2237" s="1"/>
      <c r="AO2237" s="2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</row>
    <row r="2238" spans="1:58" x14ac:dyDescent="0.25">
      <c r="A2238" s="14"/>
      <c r="B2238" s="14"/>
      <c r="C2238" s="14"/>
      <c r="D2238" s="14"/>
      <c r="E2238" s="14"/>
      <c r="F2238" s="14"/>
      <c r="T2238"/>
      <c r="AK2238" s="12"/>
      <c r="AL2238" s="1"/>
      <c r="AM2238" s="1"/>
      <c r="AN2238" s="1"/>
      <c r="AO2238" s="2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</row>
    <row r="2239" spans="1:58" x14ac:dyDescent="0.25">
      <c r="A2239" s="14"/>
      <c r="B2239" s="14"/>
      <c r="C2239" s="14"/>
      <c r="D2239" s="14"/>
      <c r="E2239" s="14"/>
      <c r="F2239" s="14"/>
      <c r="T2239"/>
      <c r="AK2239" s="12"/>
      <c r="AL2239" s="1"/>
      <c r="AM2239" s="1"/>
      <c r="AN2239" s="1"/>
      <c r="AO2239" s="2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</row>
    <row r="2240" spans="1:58" x14ac:dyDescent="0.25">
      <c r="A2240" s="14"/>
      <c r="B2240" s="14"/>
      <c r="C2240" s="14"/>
      <c r="D2240" s="14"/>
      <c r="E2240" s="14"/>
      <c r="F2240" s="14"/>
      <c r="T2240"/>
      <c r="AK2240" s="12"/>
      <c r="AL2240" s="1"/>
      <c r="AM2240" s="1"/>
      <c r="AN2240" s="1"/>
      <c r="AO2240" s="2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</row>
    <row r="2241" spans="1:58" x14ac:dyDescent="0.25">
      <c r="A2241" s="14"/>
      <c r="B2241" s="14"/>
      <c r="C2241" s="14"/>
      <c r="D2241" s="14"/>
      <c r="E2241" s="14"/>
      <c r="F2241" s="14"/>
      <c r="T2241"/>
      <c r="AK2241" s="12"/>
      <c r="AL2241" s="1"/>
      <c r="AM2241" s="1"/>
      <c r="AN2241" s="1"/>
      <c r="AO2241" s="2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</row>
    <row r="2242" spans="1:58" x14ac:dyDescent="0.25">
      <c r="A2242" s="14"/>
      <c r="B2242" s="14"/>
      <c r="C2242" s="14"/>
      <c r="D2242" s="14"/>
      <c r="E2242" s="14"/>
      <c r="F2242" s="14"/>
      <c r="T2242"/>
      <c r="AK2242" s="12"/>
      <c r="AL2242" s="1"/>
      <c r="AM2242" s="1"/>
      <c r="AN2242" s="1"/>
      <c r="AO2242" s="2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</row>
    <row r="2243" spans="1:58" x14ac:dyDescent="0.25">
      <c r="A2243" s="14"/>
      <c r="B2243" s="14"/>
      <c r="C2243" s="14"/>
      <c r="D2243" s="14"/>
      <c r="E2243" s="14"/>
      <c r="F2243" s="14"/>
      <c r="T2243"/>
      <c r="AK2243" s="12"/>
      <c r="AL2243" s="1"/>
      <c r="AM2243" s="1"/>
      <c r="AN2243" s="1"/>
      <c r="AO2243" s="2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</row>
    <row r="2244" spans="1:58" x14ac:dyDescent="0.25">
      <c r="A2244" s="14"/>
      <c r="B2244" s="14"/>
      <c r="C2244" s="14"/>
      <c r="D2244" s="14"/>
      <c r="E2244" s="14"/>
      <c r="F2244" s="14"/>
      <c r="T2244"/>
      <c r="AK2244" s="12"/>
      <c r="AL2244" s="1"/>
      <c r="AM2244" s="1"/>
      <c r="AN2244" s="1"/>
      <c r="AO2244" s="2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</row>
    <row r="2245" spans="1:58" x14ac:dyDescent="0.25">
      <c r="A2245" s="14"/>
      <c r="B2245" s="14"/>
      <c r="C2245" s="14"/>
      <c r="D2245" s="14"/>
      <c r="E2245" s="14"/>
      <c r="F2245" s="14"/>
      <c r="T2245"/>
      <c r="AK2245" s="12"/>
      <c r="AL2245" s="1"/>
      <c r="AM2245" s="1"/>
      <c r="AN2245" s="1"/>
      <c r="AO2245" s="2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</row>
    <row r="2246" spans="1:58" x14ac:dyDescent="0.25">
      <c r="A2246" s="14"/>
      <c r="B2246" s="14"/>
      <c r="C2246" s="14"/>
      <c r="D2246" s="14"/>
      <c r="E2246" s="14"/>
      <c r="F2246" s="14"/>
      <c r="T2246"/>
      <c r="AK2246" s="12"/>
      <c r="AL2246" s="1"/>
      <c r="AM2246" s="1"/>
      <c r="AN2246" s="1"/>
      <c r="AO2246" s="2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</row>
    <row r="2247" spans="1:58" x14ac:dyDescent="0.25">
      <c r="A2247" s="14"/>
      <c r="B2247" s="14"/>
      <c r="C2247" s="14"/>
      <c r="D2247" s="14"/>
      <c r="E2247" s="14"/>
      <c r="F2247" s="14"/>
      <c r="T2247"/>
      <c r="AK2247" s="12"/>
      <c r="AL2247" s="1"/>
      <c r="AM2247" s="1"/>
      <c r="AN2247" s="1"/>
      <c r="AO2247" s="2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</row>
    <row r="2248" spans="1:58" x14ac:dyDescent="0.25">
      <c r="A2248" s="14"/>
      <c r="B2248" s="14"/>
      <c r="C2248" s="14"/>
      <c r="D2248" s="14"/>
      <c r="E2248" s="14"/>
      <c r="F2248" s="14"/>
      <c r="T2248"/>
      <c r="AK2248" s="12"/>
      <c r="AL2248" s="1"/>
      <c r="AM2248" s="1"/>
      <c r="AN2248" s="1"/>
      <c r="AO2248" s="2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</row>
    <row r="2249" spans="1:58" x14ac:dyDescent="0.25">
      <c r="A2249" s="14"/>
      <c r="B2249" s="14"/>
      <c r="C2249" s="14"/>
      <c r="D2249" s="14"/>
      <c r="E2249" s="14"/>
      <c r="F2249" s="14"/>
      <c r="T2249"/>
      <c r="AK2249" s="12"/>
      <c r="AL2249" s="1"/>
      <c r="AM2249" s="1"/>
      <c r="AN2249" s="1"/>
      <c r="AO2249" s="2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</row>
    <row r="2250" spans="1:58" x14ac:dyDescent="0.25">
      <c r="A2250" s="14"/>
      <c r="B2250" s="14"/>
      <c r="C2250" s="14"/>
      <c r="D2250" s="14"/>
      <c r="E2250" s="14"/>
      <c r="F2250" s="14"/>
      <c r="T2250"/>
      <c r="AK2250" s="12"/>
      <c r="AL2250" s="1"/>
      <c r="AM2250" s="1"/>
      <c r="AN2250" s="1"/>
      <c r="AO2250" s="2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</row>
    <row r="2251" spans="1:58" x14ac:dyDescent="0.25">
      <c r="A2251" s="14"/>
      <c r="B2251" s="14"/>
      <c r="C2251" s="14"/>
      <c r="D2251" s="14"/>
      <c r="E2251" s="14"/>
      <c r="F2251" s="14"/>
      <c r="T2251"/>
      <c r="AK2251" s="12"/>
      <c r="AL2251" s="1"/>
      <c r="AM2251" s="1"/>
      <c r="AN2251" s="1"/>
      <c r="AO2251" s="2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</row>
    <row r="2252" spans="1:58" x14ac:dyDescent="0.25">
      <c r="A2252" s="14"/>
      <c r="B2252" s="14"/>
      <c r="C2252" s="14"/>
      <c r="D2252" s="14"/>
      <c r="E2252" s="14"/>
      <c r="F2252" s="14"/>
      <c r="T2252"/>
      <c r="AK2252" s="12"/>
      <c r="AL2252" s="1"/>
      <c r="AM2252" s="1"/>
      <c r="AN2252" s="1"/>
      <c r="AO2252" s="2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</row>
    <row r="2253" spans="1:58" x14ac:dyDescent="0.25">
      <c r="A2253" s="14"/>
      <c r="B2253" s="14"/>
      <c r="C2253" s="14"/>
      <c r="D2253" s="14"/>
      <c r="E2253" s="14"/>
      <c r="F2253" s="14"/>
      <c r="T2253"/>
      <c r="AK2253" s="12"/>
      <c r="AL2253" s="1"/>
      <c r="AM2253" s="1"/>
      <c r="AN2253" s="1"/>
      <c r="AO2253" s="2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</row>
    <row r="2254" spans="1:58" x14ac:dyDescent="0.25">
      <c r="A2254" s="14"/>
      <c r="B2254" s="14"/>
      <c r="C2254" s="14"/>
      <c r="D2254" s="14"/>
      <c r="E2254" s="14"/>
      <c r="F2254" s="14"/>
      <c r="T2254"/>
      <c r="AK2254" s="12"/>
      <c r="AL2254" s="1"/>
      <c r="AM2254" s="1"/>
      <c r="AN2254" s="1"/>
      <c r="AO2254" s="2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</row>
    <row r="2255" spans="1:58" x14ac:dyDescent="0.25">
      <c r="A2255" s="14"/>
      <c r="B2255" s="14"/>
      <c r="C2255" s="14"/>
      <c r="D2255" s="14"/>
      <c r="E2255" s="14"/>
      <c r="F2255" s="14"/>
      <c r="T2255"/>
      <c r="AK2255" s="12"/>
      <c r="AL2255" s="1"/>
      <c r="AM2255" s="1"/>
      <c r="AN2255" s="1"/>
      <c r="AO2255" s="2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</row>
    <row r="2256" spans="1:58" x14ac:dyDescent="0.25">
      <c r="A2256" s="14"/>
      <c r="B2256" s="14"/>
      <c r="C2256" s="14"/>
      <c r="D2256" s="14"/>
      <c r="E2256" s="14"/>
      <c r="F2256" s="14"/>
      <c r="T2256"/>
      <c r="AK2256" s="12"/>
      <c r="AL2256" s="1"/>
      <c r="AM2256" s="1"/>
      <c r="AN2256" s="1"/>
      <c r="AO2256" s="2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</row>
    <row r="2257" spans="1:58" x14ac:dyDescent="0.25">
      <c r="A2257" s="14"/>
      <c r="B2257" s="14"/>
      <c r="C2257" s="14"/>
      <c r="D2257" s="14"/>
      <c r="E2257" s="14"/>
      <c r="F2257" s="14"/>
      <c r="T2257"/>
      <c r="AK2257" s="12"/>
      <c r="AL2257" s="1"/>
      <c r="AM2257" s="1"/>
      <c r="AN2257" s="1"/>
      <c r="AO2257" s="2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</row>
    <row r="2258" spans="1:58" x14ac:dyDescent="0.25">
      <c r="A2258" s="14"/>
      <c r="B2258" s="14"/>
      <c r="C2258" s="14"/>
      <c r="D2258" s="14"/>
      <c r="E2258" s="14"/>
      <c r="F2258" s="14"/>
      <c r="T2258"/>
      <c r="AK2258" s="12"/>
      <c r="AL2258" s="1"/>
      <c r="AM2258" s="1"/>
      <c r="AN2258" s="1"/>
      <c r="AO2258" s="2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</row>
    <row r="2259" spans="1:58" x14ac:dyDescent="0.25">
      <c r="A2259" s="14"/>
      <c r="B2259" s="14"/>
      <c r="C2259" s="14"/>
      <c r="D2259" s="14"/>
      <c r="E2259" s="14"/>
      <c r="F2259" s="14"/>
      <c r="T2259"/>
      <c r="AK2259" s="12"/>
      <c r="AL2259" s="1"/>
      <c r="AM2259" s="1"/>
      <c r="AN2259" s="1"/>
      <c r="AO2259" s="2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</row>
    <row r="2260" spans="1:58" x14ac:dyDescent="0.25">
      <c r="A2260" s="14"/>
      <c r="B2260" s="14"/>
      <c r="C2260" s="14"/>
      <c r="D2260" s="14"/>
      <c r="E2260" s="14"/>
      <c r="F2260" s="14"/>
      <c r="T2260"/>
      <c r="AK2260" s="12"/>
      <c r="AL2260" s="1"/>
      <c r="AM2260" s="1"/>
      <c r="AN2260" s="1"/>
      <c r="AO2260" s="2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</row>
    <row r="2261" spans="1:58" x14ac:dyDescent="0.25">
      <c r="A2261" s="14"/>
      <c r="B2261" s="14"/>
      <c r="C2261" s="14"/>
      <c r="D2261" s="14"/>
      <c r="E2261" s="14"/>
      <c r="F2261" s="14"/>
      <c r="T2261"/>
      <c r="AK2261" s="12"/>
      <c r="AL2261" s="1"/>
      <c r="AM2261" s="1"/>
      <c r="AN2261" s="1"/>
      <c r="AO2261" s="2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</row>
    <row r="2262" spans="1:58" x14ac:dyDescent="0.25">
      <c r="A2262" s="14"/>
      <c r="B2262" s="14"/>
      <c r="C2262" s="14"/>
      <c r="D2262" s="14"/>
      <c r="E2262" s="14"/>
      <c r="F2262" s="14"/>
      <c r="T2262"/>
      <c r="AK2262" s="12"/>
      <c r="AL2262" s="1"/>
      <c r="AM2262" s="1"/>
      <c r="AN2262" s="1"/>
      <c r="AO2262" s="2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</row>
    <row r="2263" spans="1:58" x14ac:dyDescent="0.25">
      <c r="A2263" s="14"/>
      <c r="B2263" s="14"/>
      <c r="C2263" s="14"/>
      <c r="D2263" s="14"/>
      <c r="E2263" s="14"/>
      <c r="F2263" s="14"/>
      <c r="T2263"/>
      <c r="AK2263" s="12"/>
      <c r="AL2263" s="1"/>
      <c r="AM2263" s="1"/>
      <c r="AN2263" s="1"/>
      <c r="AO2263" s="2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</row>
    <row r="2264" spans="1:58" x14ac:dyDescent="0.25">
      <c r="A2264" s="14"/>
      <c r="B2264" s="14"/>
      <c r="C2264" s="14"/>
      <c r="D2264" s="14"/>
      <c r="E2264" s="14"/>
      <c r="F2264" s="14"/>
      <c r="T2264"/>
      <c r="AK2264" s="12"/>
      <c r="AL2264" s="1"/>
      <c r="AM2264" s="1"/>
      <c r="AN2264" s="1"/>
      <c r="AO2264" s="2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</row>
    <row r="2265" spans="1:58" x14ac:dyDescent="0.25">
      <c r="A2265" s="14"/>
      <c r="B2265" s="14"/>
      <c r="C2265" s="14"/>
      <c r="D2265" s="14"/>
      <c r="E2265" s="14"/>
      <c r="F2265" s="14"/>
      <c r="T2265"/>
      <c r="AK2265" s="12"/>
      <c r="AL2265" s="1"/>
      <c r="AM2265" s="1"/>
      <c r="AN2265" s="1"/>
      <c r="AO2265" s="2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</row>
    <row r="2266" spans="1:58" x14ac:dyDescent="0.25">
      <c r="A2266" s="14"/>
      <c r="B2266" s="14"/>
      <c r="C2266" s="14"/>
      <c r="D2266" s="14"/>
      <c r="E2266" s="14"/>
      <c r="F2266" s="14"/>
      <c r="T2266"/>
      <c r="AK2266" s="12"/>
      <c r="AL2266" s="1"/>
      <c r="AM2266" s="1"/>
      <c r="AN2266" s="1"/>
      <c r="AO2266" s="2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</row>
    <row r="2267" spans="1:58" x14ac:dyDescent="0.25">
      <c r="A2267" s="14"/>
      <c r="B2267" s="14"/>
      <c r="C2267" s="14"/>
      <c r="D2267" s="14"/>
      <c r="E2267" s="14"/>
      <c r="F2267" s="14"/>
      <c r="T2267"/>
      <c r="AK2267" s="12"/>
      <c r="AL2267" s="1"/>
      <c r="AM2267" s="1"/>
      <c r="AN2267" s="1"/>
      <c r="AO2267" s="2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</row>
    <row r="2268" spans="1:58" x14ac:dyDescent="0.25">
      <c r="A2268" s="14"/>
      <c r="B2268" s="14"/>
      <c r="C2268" s="14"/>
      <c r="D2268" s="14"/>
      <c r="E2268" s="14"/>
      <c r="F2268" s="14"/>
      <c r="T2268"/>
      <c r="AK2268" s="12"/>
      <c r="AL2268" s="1"/>
      <c r="AM2268" s="1"/>
      <c r="AN2268" s="1"/>
      <c r="AO2268" s="2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</row>
    <row r="2269" spans="1:58" x14ac:dyDescent="0.25">
      <c r="A2269" s="14"/>
      <c r="B2269" s="14"/>
      <c r="C2269" s="14"/>
      <c r="D2269" s="14"/>
      <c r="E2269" s="14"/>
      <c r="F2269" s="14"/>
      <c r="T2269"/>
      <c r="AK2269" s="12"/>
      <c r="AL2269" s="1"/>
      <c r="AM2269" s="1"/>
      <c r="AN2269" s="1"/>
      <c r="AO2269" s="2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</row>
    <row r="2270" spans="1:58" x14ac:dyDescent="0.25">
      <c r="A2270" s="14"/>
      <c r="B2270" s="14"/>
      <c r="C2270" s="14"/>
      <c r="D2270" s="14"/>
      <c r="E2270" s="14"/>
      <c r="F2270" s="14"/>
      <c r="T2270"/>
      <c r="AK2270" s="12"/>
      <c r="AL2270" s="1"/>
      <c r="AM2270" s="1"/>
      <c r="AN2270" s="1"/>
      <c r="AO2270" s="2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</row>
    <row r="2271" spans="1:58" x14ac:dyDescent="0.25">
      <c r="A2271" s="14"/>
      <c r="B2271" s="14"/>
      <c r="C2271" s="14"/>
      <c r="D2271" s="14"/>
      <c r="E2271" s="14"/>
      <c r="F2271" s="14"/>
      <c r="T2271"/>
      <c r="AK2271" s="12"/>
      <c r="AL2271" s="1"/>
      <c r="AM2271" s="1"/>
      <c r="AN2271" s="1"/>
      <c r="AO2271" s="2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</row>
    <row r="2272" spans="1:58" x14ac:dyDescent="0.25">
      <c r="A2272" s="14"/>
      <c r="B2272" s="14"/>
      <c r="C2272" s="14"/>
      <c r="D2272" s="14"/>
      <c r="E2272" s="14"/>
      <c r="F2272" s="14"/>
      <c r="T2272"/>
      <c r="AK2272" s="12"/>
      <c r="AL2272" s="1"/>
      <c r="AM2272" s="1"/>
      <c r="AN2272" s="1"/>
      <c r="AO2272" s="2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</row>
    <row r="2273" spans="1:58" x14ac:dyDescent="0.25">
      <c r="A2273" s="14"/>
      <c r="B2273" s="14"/>
      <c r="C2273" s="14"/>
      <c r="D2273" s="14"/>
      <c r="E2273" s="14"/>
      <c r="F2273" s="14"/>
      <c r="T2273"/>
      <c r="AK2273" s="12"/>
      <c r="AL2273" s="1"/>
      <c r="AM2273" s="1"/>
      <c r="AN2273" s="1"/>
      <c r="AO2273" s="2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</row>
    <row r="2274" spans="1:58" x14ac:dyDescent="0.25">
      <c r="A2274" s="14"/>
      <c r="B2274" s="14"/>
      <c r="C2274" s="14"/>
      <c r="D2274" s="14"/>
      <c r="E2274" s="14"/>
      <c r="F2274" s="14"/>
      <c r="T2274"/>
      <c r="AK2274" s="12"/>
      <c r="AL2274" s="1"/>
      <c r="AM2274" s="1"/>
      <c r="AN2274" s="1"/>
      <c r="AO2274" s="2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</row>
    <row r="2275" spans="1:58" x14ac:dyDescent="0.25">
      <c r="A2275" s="14"/>
      <c r="B2275" s="14"/>
      <c r="C2275" s="14"/>
      <c r="D2275" s="14"/>
      <c r="E2275" s="14"/>
      <c r="F2275" s="14"/>
      <c r="T2275"/>
      <c r="AK2275" s="12"/>
      <c r="AL2275" s="1"/>
      <c r="AM2275" s="1"/>
      <c r="AN2275" s="1"/>
      <c r="AO2275" s="2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</row>
    <row r="2276" spans="1:58" x14ac:dyDescent="0.25">
      <c r="A2276" s="14"/>
      <c r="B2276" s="14"/>
      <c r="C2276" s="14"/>
      <c r="D2276" s="14"/>
      <c r="E2276" s="14"/>
      <c r="F2276" s="14"/>
      <c r="T2276"/>
      <c r="AK2276" s="12"/>
      <c r="AL2276" s="1"/>
      <c r="AM2276" s="1"/>
      <c r="AN2276" s="1"/>
      <c r="AO2276" s="2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</row>
    <row r="2277" spans="1:58" x14ac:dyDescent="0.25">
      <c r="A2277" s="14"/>
      <c r="B2277" s="14"/>
      <c r="C2277" s="14"/>
      <c r="D2277" s="14"/>
      <c r="E2277" s="14"/>
      <c r="F2277" s="14"/>
      <c r="T2277"/>
      <c r="AK2277" s="12"/>
      <c r="AL2277" s="1"/>
      <c r="AM2277" s="1"/>
      <c r="AN2277" s="1"/>
      <c r="AO2277" s="2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</row>
    <row r="2278" spans="1:58" x14ac:dyDescent="0.25">
      <c r="A2278" s="14"/>
      <c r="B2278" s="14"/>
      <c r="C2278" s="14"/>
      <c r="D2278" s="14"/>
      <c r="E2278" s="14"/>
      <c r="F2278" s="14"/>
      <c r="T2278"/>
      <c r="AK2278" s="12"/>
      <c r="AL2278" s="1"/>
      <c r="AM2278" s="1"/>
      <c r="AN2278" s="1"/>
      <c r="AO2278" s="2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</row>
    <row r="2279" spans="1:58" x14ac:dyDescent="0.25">
      <c r="A2279" s="14"/>
      <c r="B2279" s="14"/>
      <c r="C2279" s="14"/>
      <c r="D2279" s="14"/>
      <c r="E2279" s="14"/>
      <c r="F2279" s="14"/>
      <c r="T2279"/>
      <c r="AK2279" s="12"/>
      <c r="AL2279" s="1"/>
      <c r="AM2279" s="1"/>
      <c r="AN2279" s="1"/>
      <c r="AO2279" s="2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</row>
    <row r="2280" spans="1:58" x14ac:dyDescent="0.25">
      <c r="A2280" s="14"/>
      <c r="B2280" s="14"/>
      <c r="C2280" s="14"/>
      <c r="D2280" s="14"/>
      <c r="E2280" s="14"/>
      <c r="F2280" s="14"/>
      <c r="T2280"/>
      <c r="AK2280" s="12"/>
      <c r="AL2280" s="1"/>
      <c r="AM2280" s="1"/>
      <c r="AN2280" s="1"/>
      <c r="AO2280" s="2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</row>
    <row r="2281" spans="1:58" x14ac:dyDescent="0.25">
      <c r="A2281" s="14"/>
      <c r="B2281" s="14"/>
      <c r="C2281" s="14"/>
      <c r="D2281" s="14"/>
      <c r="E2281" s="14"/>
      <c r="F2281" s="14"/>
      <c r="T2281"/>
      <c r="AK2281" s="12"/>
      <c r="AL2281" s="1"/>
      <c r="AM2281" s="1"/>
      <c r="AN2281" s="1"/>
      <c r="AO2281" s="2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</row>
    <row r="2282" spans="1:58" x14ac:dyDescent="0.25">
      <c r="A2282" s="14"/>
      <c r="B2282" s="14"/>
      <c r="C2282" s="14"/>
      <c r="D2282" s="14"/>
      <c r="E2282" s="14"/>
      <c r="F2282" s="14"/>
      <c r="T2282"/>
      <c r="AK2282" s="12"/>
      <c r="AL2282" s="1"/>
      <c r="AM2282" s="1"/>
      <c r="AN2282" s="1"/>
      <c r="AO2282" s="2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</row>
    <row r="2283" spans="1:58" x14ac:dyDescent="0.25">
      <c r="A2283" s="14"/>
      <c r="B2283" s="14"/>
      <c r="C2283" s="14"/>
      <c r="D2283" s="14"/>
      <c r="E2283" s="14"/>
      <c r="F2283" s="14"/>
      <c r="T2283"/>
      <c r="AK2283" s="12"/>
      <c r="AL2283" s="1"/>
      <c r="AM2283" s="1"/>
      <c r="AN2283" s="1"/>
      <c r="AO2283" s="2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</row>
    <row r="2284" spans="1:58" x14ac:dyDescent="0.25">
      <c r="A2284" s="14"/>
      <c r="B2284" s="14"/>
      <c r="C2284" s="14"/>
      <c r="D2284" s="14"/>
      <c r="E2284" s="14"/>
      <c r="F2284" s="14"/>
      <c r="T2284"/>
      <c r="AK2284" s="12"/>
      <c r="AL2284" s="1"/>
      <c r="AM2284" s="1"/>
      <c r="AN2284" s="1"/>
      <c r="AO2284" s="2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</row>
    <row r="2285" spans="1:58" x14ac:dyDescent="0.25">
      <c r="A2285" s="14"/>
      <c r="B2285" s="14"/>
      <c r="C2285" s="14"/>
      <c r="D2285" s="14"/>
      <c r="E2285" s="14"/>
      <c r="F2285" s="14"/>
      <c r="T2285"/>
      <c r="AK2285" s="12"/>
      <c r="AL2285" s="1"/>
      <c r="AM2285" s="1"/>
      <c r="AN2285" s="1"/>
      <c r="AO2285" s="2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</row>
    <row r="2286" spans="1:58" x14ac:dyDescent="0.25">
      <c r="A2286" s="14"/>
      <c r="B2286" s="14"/>
      <c r="C2286" s="14"/>
      <c r="D2286" s="14"/>
      <c r="E2286" s="14"/>
      <c r="F2286" s="14"/>
      <c r="T2286"/>
      <c r="AK2286" s="12"/>
      <c r="AL2286" s="1"/>
      <c r="AM2286" s="1"/>
      <c r="AN2286" s="1"/>
      <c r="AO2286" s="2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</row>
    <row r="2287" spans="1:58" x14ac:dyDescent="0.25">
      <c r="A2287" s="14"/>
      <c r="B2287" s="14"/>
      <c r="C2287" s="14"/>
      <c r="D2287" s="14"/>
      <c r="E2287" s="14"/>
      <c r="F2287" s="14"/>
      <c r="T2287"/>
      <c r="AK2287" s="12"/>
      <c r="AL2287" s="1"/>
      <c r="AM2287" s="1"/>
      <c r="AN2287" s="1"/>
      <c r="AO2287" s="2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</row>
    <row r="2288" spans="1:58" x14ac:dyDescent="0.25">
      <c r="A2288" s="14"/>
      <c r="B2288" s="14"/>
      <c r="C2288" s="14"/>
      <c r="D2288" s="14"/>
      <c r="E2288" s="14"/>
      <c r="F2288" s="14"/>
      <c r="T2288"/>
      <c r="AK2288" s="12"/>
      <c r="AL2288" s="1"/>
      <c r="AM2288" s="1"/>
      <c r="AN2288" s="1"/>
      <c r="AO2288" s="2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</row>
    <row r="2289" spans="1:58" x14ac:dyDescent="0.25">
      <c r="A2289" s="14"/>
      <c r="B2289" s="14"/>
      <c r="C2289" s="14"/>
      <c r="D2289" s="14"/>
      <c r="E2289" s="14"/>
      <c r="F2289" s="14"/>
      <c r="T2289"/>
      <c r="AK2289" s="12"/>
      <c r="AL2289" s="1"/>
      <c r="AM2289" s="1"/>
      <c r="AN2289" s="1"/>
      <c r="AO2289" s="2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</row>
    <row r="2290" spans="1:58" x14ac:dyDescent="0.25">
      <c r="A2290" s="14"/>
      <c r="B2290" s="14"/>
      <c r="C2290" s="14"/>
      <c r="D2290" s="14"/>
      <c r="E2290" s="14"/>
      <c r="F2290" s="14"/>
      <c r="T2290"/>
      <c r="AK2290" s="12"/>
      <c r="AL2290" s="1"/>
      <c r="AM2290" s="1"/>
      <c r="AN2290" s="1"/>
      <c r="AO2290" s="2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</row>
    <row r="2291" spans="1:58" x14ac:dyDescent="0.25">
      <c r="A2291" s="14"/>
      <c r="B2291" s="14"/>
      <c r="C2291" s="14"/>
      <c r="D2291" s="14"/>
      <c r="E2291" s="14"/>
      <c r="F2291" s="14"/>
      <c r="T2291"/>
      <c r="AK2291" s="12"/>
      <c r="AL2291" s="1"/>
      <c r="AM2291" s="1"/>
      <c r="AN2291" s="1"/>
      <c r="AO2291" s="2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</row>
    <row r="2292" spans="1:58" x14ac:dyDescent="0.25">
      <c r="A2292" s="14"/>
      <c r="B2292" s="14"/>
      <c r="C2292" s="14"/>
      <c r="D2292" s="14"/>
      <c r="E2292" s="14"/>
      <c r="F2292" s="14"/>
      <c r="T2292"/>
      <c r="AK2292" s="12"/>
      <c r="AL2292" s="1"/>
      <c r="AM2292" s="1"/>
      <c r="AN2292" s="1"/>
      <c r="AO2292" s="2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</row>
    <row r="2293" spans="1:58" x14ac:dyDescent="0.25">
      <c r="A2293" s="14"/>
      <c r="B2293" s="14"/>
      <c r="C2293" s="14"/>
      <c r="D2293" s="14"/>
      <c r="E2293" s="14"/>
      <c r="F2293" s="14"/>
      <c r="T2293"/>
      <c r="AK2293" s="12"/>
      <c r="AL2293" s="1"/>
      <c r="AM2293" s="1"/>
      <c r="AN2293" s="1"/>
      <c r="AO2293" s="2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</row>
    <row r="2294" spans="1:58" x14ac:dyDescent="0.25">
      <c r="A2294" s="14"/>
      <c r="B2294" s="14"/>
      <c r="C2294" s="14"/>
      <c r="D2294" s="14"/>
      <c r="E2294" s="14"/>
      <c r="F2294" s="14"/>
      <c r="T2294"/>
      <c r="AK2294" s="12"/>
      <c r="AL2294" s="1"/>
      <c r="AM2294" s="1"/>
      <c r="AN2294" s="1"/>
      <c r="AO2294" s="2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</row>
    <row r="2295" spans="1:58" x14ac:dyDescent="0.25">
      <c r="A2295" s="14"/>
      <c r="B2295" s="14"/>
      <c r="C2295" s="14"/>
      <c r="D2295" s="14"/>
      <c r="E2295" s="14"/>
      <c r="F2295" s="14"/>
      <c r="T2295"/>
      <c r="AK2295" s="12"/>
      <c r="AL2295" s="1"/>
      <c r="AM2295" s="1"/>
      <c r="AN2295" s="1"/>
      <c r="AO2295" s="2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</row>
    <row r="2296" spans="1:58" x14ac:dyDescent="0.25">
      <c r="A2296" s="14"/>
      <c r="B2296" s="14"/>
      <c r="C2296" s="14"/>
      <c r="D2296" s="14"/>
      <c r="E2296" s="14"/>
      <c r="F2296" s="14"/>
      <c r="T2296"/>
      <c r="AK2296" s="12"/>
      <c r="AL2296" s="1"/>
      <c r="AM2296" s="1"/>
      <c r="AN2296" s="1"/>
      <c r="AO2296" s="2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</row>
    <row r="2297" spans="1:58" x14ac:dyDescent="0.25">
      <c r="A2297" s="14"/>
      <c r="B2297" s="14"/>
      <c r="C2297" s="14"/>
      <c r="D2297" s="14"/>
      <c r="E2297" s="14"/>
      <c r="F2297" s="14"/>
      <c r="T2297"/>
      <c r="AK2297" s="12"/>
      <c r="AL2297" s="1"/>
      <c r="AM2297" s="1"/>
      <c r="AN2297" s="1"/>
      <c r="AO2297" s="2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</row>
    <row r="2298" spans="1:58" x14ac:dyDescent="0.25">
      <c r="A2298" s="14"/>
      <c r="B2298" s="14"/>
      <c r="C2298" s="14"/>
      <c r="D2298" s="14"/>
      <c r="E2298" s="14"/>
      <c r="F2298" s="14"/>
      <c r="T2298"/>
      <c r="AK2298" s="12"/>
      <c r="AL2298" s="1"/>
      <c r="AM2298" s="1"/>
      <c r="AN2298" s="1"/>
      <c r="AO2298" s="2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</row>
    <row r="2299" spans="1:58" x14ac:dyDescent="0.25">
      <c r="A2299" s="14"/>
      <c r="B2299" s="14"/>
      <c r="C2299" s="14"/>
      <c r="D2299" s="14"/>
      <c r="E2299" s="14"/>
      <c r="F2299" s="14"/>
      <c r="T2299"/>
      <c r="AK2299" s="12"/>
      <c r="AL2299" s="1"/>
      <c r="AM2299" s="1"/>
      <c r="AN2299" s="1"/>
      <c r="AO2299" s="2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</row>
    <row r="2300" spans="1:58" x14ac:dyDescent="0.25">
      <c r="A2300" s="14"/>
      <c r="B2300" s="14"/>
      <c r="C2300" s="14"/>
      <c r="D2300" s="14"/>
      <c r="E2300" s="14"/>
      <c r="F2300" s="14"/>
      <c r="T2300"/>
      <c r="AK2300" s="12"/>
      <c r="AL2300" s="1"/>
      <c r="AM2300" s="1"/>
      <c r="AN2300" s="1"/>
      <c r="AO2300" s="2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</row>
    <row r="2301" spans="1:58" x14ac:dyDescent="0.25">
      <c r="A2301" s="14"/>
      <c r="B2301" s="14"/>
      <c r="C2301" s="14"/>
      <c r="D2301" s="14"/>
      <c r="E2301" s="14"/>
      <c r="F2301" s="14"/>
      <c r="T2301"/>
      <c r="AK2301" s="12"/>
      <c r="AL2301" s="1"/>
      <c r="AM2301" s="1"/>
      <c r="AN2301" s="1"/>
      <c r="AO2301" s="2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</row>
    <row r="2302" spans="1:58" x14ac:dyDescent="0.25">
      <c r="A2302" s="14"/>
      <c r="B2302" s="14"/>
      <c r="C2302" s="14"/>
      <c r="D2302" s="14"/>
      <c r="E2302" s="14"/>
      <c r="F2302" s="14"/>
      <c r="T2302"/>
      <c r="AK2302" s="12"/>
      <c r="AL2302" s="1"/>
      <c r="AM2302" s="1"/>
      <c r="AN2302" s="1"/>
      <c r="AO2302" s="2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</row>
    <row r="2303" spans="1:58" x14ac:dyDescent="0.25">
      <c r="A2303" s="14"/>
      <c r="B2303" s="14"/>
      <c r="C2303" s="14"/>
      <c r="D2303" s="14"/>
      <c r="E2303" s="14"/>
      <c r="F2303" s="14"/>
      <c r="T2303"/>
      <c r="AK2303" s="12"/>
      <c r="AL2303" s="1"/>
      <c r="AM2303" s="1"/>
      <c r="AN2303" s="1"/>
      <c r="AO2303" s="2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</row>
    <row r="2304" spans="1:58" x14ac:dyDescent="0.25">
      <c r="A2304" s="14"/>
      <c r="B2304" s="14"/>
      <c r="C2304" s="14"/>
      <c r="D2304" s="14"/>
      <c r="E2304" s="14"/>
      <c r="F2304" s="14"/>
      <c r="T2304"/>
      <c r="AK2304" s="12"/>
      <c r="AL2304" s="1"/>
      <c r="AM2304" s="1"/>
      <c r="AN2304" s="1"/>
      <c r="AO2304" s="2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</row>
    <row r="2305" spans="1:58" x14ac:dyDescent="0.25">
      <c r="A2305" s="14"/>
      <c r="B2305" s="14"/>
      <c r="C2305" s="14"/>
      <c r="D2305" s="14"/>
      <c r="E2305" s="14"/>
      <c r="F2305" s="14"/>
      <c r="T2305"/>
      <c r="AK2305" s="12"/>
      <c r="AL2305" s="1"/>
      <c r="AM2305" s="1"/>
      <c r="AN2305" s="1"/>
      <c r="AO2305" s="2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</row>
    <row r="2306" spans="1:58" x14ac:dyDescent="0.25">
      <c r="A2306" s="14"/>
      <c r="B2306" s="14"/>
      <c r="C2306" s="14"/>
      <c r="D2306" s="14"/>
      <c r="E2306" s="14"/>
      <c r="F2306" s="14"/>
      <c r="T2306"/>
      <c r="AK2306" s="12"/>
      <c r="AL2306" s="1"/>
      <c r="AM2306" s="1"/>
      <c r="AN2306" s="1"/>
      <c r="AO2306" s="2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</row>
    <row r="2307" spans="1:58" x14ac:dyDescent="0.25">
      <c r="A2307" s="14"/>
      <c r="B2307" s="14"/>
      <c r="C2307" s="14"/>
      <c r="D2307" s="14"/>
      <c r="E2307" s="14"/>
      <c r="F2307" s="14"/>
      <c r="T2307"/>
      <c r="AK2307" s="12"/>
      <c r="AL2307" s="1"/>
      <c r="AM2307" s="1"/>
      <c r="AN2307" s="1"/>
      <c r="AO2307" s="2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</row>
    <row r="2308" spans="1:58" x14ac:dyDescent="0.25">
      <c r="A2308" s="14"/>
      <c r="B2308" s="14"/>
      <c r="C2308" s="14"/>
      <c r="D2308" s="14"/>
      <c r="E2308" s="14"/>
      <c r="F2308" s="14"/>
      <c r="T2308"/>
      <c r="AK2308" s="12"/>
      <c r="AL2308" s="1"/>
      <c r="AM2308" s="1"/>
      <c r="AN2308" s="1"/>
      <c r="AO2308" s="2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</row>
    <row r="2309" spans="1:58" x14ac:dyDescent="0.25">
      <c r="A2309" s="14"/>
      <c r="B2309" s="14"/>
      <c r="C2309" s="14"/>
      <c r="D2309" s="14"/>
      <c r="E2309" s="14"/>
      <c r="F2309" s="14"/>
      <c r="T2309"/>
      <c r="AK2309" s="12"/>
      <c r="AL2309" s="1"/>
      <c r="AM2309" s="1"/>
      <c r="AN2309" s="1"/>
      <c r="AO2309" s="2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</row>
    <row r="2310" spans="1:58" x14ac:dyDescent="0.25">
      <c r="A2310" s="14"/>
      <c r="B2310" s="14"/>
      <c r="C2310" s="14"/>
      <c r="D2310" s="14"/>
      <c r="E2310" s="14"/>
      <c r="F2310" s="14"/>
      <c r="T2310"/>
      <c r="AK2310" s="12"/>
      <c r="AL2310" s="1"/>
      <c r="AM2310" s="1"/>
      <c r="AN2310" s="1"/>
      <c r="AO2310" s="2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</row>
    <row r="2311" spans="1:58" x14ac:dyDescent="0.25">
      <c r="A2311" s="14"/>
      <c r="B2311" s="14"/>
      <c r="C2311" s="14"/>
      <c r="D2311" s="14"/>
      <c r="E2311" s="14"/>
      <c r="F2311" s="14"/>
      <c r="T2311"/>
      <c r="AK2311" s="12"/>
      <c r="AL2311" s="1"/>
      <c r="AM2311" s="1"/>
      <c r="AN2311" s="1"/>
      <c r="AO2311" s="2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</row>
    <row r="2312" spans="1:58" x14ac:dyDescent="0.25">
      <c r="A2312" s="14"/>
      <c r="B2312" s="14"/>
      <c r="C2312" s="14"/>
      <c r="D2312" s="14"/>
      <c r="E2312" s="14"/>
      <c r="F2312" s="14"/>
      <c r="T2312"/>
      <c r="AK2312" s="12"/>
      <c r="AL2312" s="1"/>
      <c r="AM2312" s="1"/>
      <c r="AN2312" s="1"/>
      <c r="AO2312" s="2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</row>
    <row r="2313" spans="1:58" x14ac:dyDescent="0.25">
      <c r="A2313" s="14"/>
      <c r="B2313" s="14"/>
      <c r="C2313" s="14"/>
      <c r="D2313" s="14"/>
      <c r="E2313" s="14"/>
      <c r="F2313" s="14"/>
      <c r="T2313"/>
      <c r="AK2313" s="12"/>
      <c r="AL2313" s="1"/>
      <c r="AM2313" s="1"/>
      <c r="AN2313" s="1"/>
      <c r="AO2313" s="2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</row>
    <row r="2314" spans="1:58" x14ac:dyDescent="0.25">
      <c r="A2314" s="14"/>
      <c r="B2314" s="14"/>
      <c r="C2314" s="14"/>
      <c r="D2314" s="14"/>
      <c r="E2314" s="14"/>
      <c r="F2314" s="14"/>
      <c r="T2314"/>
      <c r="AK2314" s="12"/>
      <c r="AL2314" s="1"/>
      <c r="AM2314" s="1"/>
      <c r="AN2314" s="1"/>
      <c r="AO2314" s="2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</row>
    <row r="2315" spans="1:58" x14ac:dyDescent="0.25">
      <c r="A2315" s="14"/>
      <c r="B2315" s="14"/>
      <c r="C2315" s="14"/>
      <c r="D2315" s="14"/>
      <c r="E2315" s="14"/>
      <c r="F2315" s="14"/>
      <c r="T2315"/>
      <c r="AK2315" s="12"/>
      <c r="AL2315" s="1"/>
      <c r="AM2315" s="1"/>
      <c r="AN2315" s="1"/>
      <c r="AO2315" s="2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</row>
    <row r="2316" spans="1:58" x14ac:dyDescent="0.25">
      <c r="A2316" s="14"/>
      <c r="B2316" s="14"/>
      <c r="C2316" s="14"/>
      <c r="D2316" s="14"/>
      <c r="E2316" s="14"/>
      <c r="F2316" s="14"/>
      <c r="T2316"/>
      <c r="AK2316" s="12"/>
      <c r="AL2316" s="1"/>
      <c r="AM2316" s="1"/>
      <c r="AN2316" s="1"/>
      <c r="AO2316" s="2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</row>
    <row r="2317" spans="1:58" x14ac:dyDescent="0.25">
      <c r="A2317" s="14"/>
      <c r="B2317" s="14"/>
      <c r="C2317" s="14"/>
      <c r="D2317" s="14"/>
      <c r="E2317" s="14"/>
      <c r="F2317" s="14"/>
      <c r="T2317"/>
      <c r="AK2317" s="12"/>
      <c r="AL2317" s="1"/>
      <c r="AM2317" s="1"/>
      <c r="AN2317" s="1"/>
      <c r="AO2317" s="2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</row>
    <row r="2318" spans="1:58" x14ac:dyDescent="0.25">
      <c r="A2318" s="14"/>
      <c r="B2318" s="14"/>
      <c r="C2318" s="14"/>
      <c r="D2318" s="14"/>
      <c r="E2318" s="14"/>
      <c r="F2318" s="14"/>
      <c r="T2318"/>
      <c r="AK2318" s="12"/>
      <c r="AL2318" s="1"/>
      <c r="AM2318" s="1"/>
      <c r="AN2318" s="1"/>
      <c r="AO2318" s="2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</row>
    <row r="2319" spans="1:58" x14ac:dyDescent="0.25">
      <c r="A2319" s="14"/>
      <c r="B2319" s="14"/>
      <c r="C2319" s="14"/>
      <c r="D2319" s="14"/>
      <c r="E2319" s="14"/>
      <c r="F2319" s="14"/>
      <c r="T2319"/>
      <c r="AK2319" s="12"/>
      <c r="AL2319" s="1"/>
      <c r="AM2319" s="1"/>
      <c r="AN2319" s="1"/>
      <c r="AO2319" s="2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</row>
    <row r="2320" spans="1:58" x14ac:dyDescent="0.25">
      <c r="A2320" s="14"/>
      <c r="B2320" s="14"/>
      <c r="C2320" s="14"/>
      <c r="D2320" s="14"/>
      <c r="E2320" s="14"/>
      <c r="F2320" s="14"/>
      <c r="T2320"/>
      <c r="AK2320" s="12"/>
      <c r="AL2320" s="1"/>
      <c r="AM2320" s="1"/>
      <c r="AN2320" s="1"/>
      <c r="AO2320" s="2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</row>
    <row r="2321" spans="1:58" x14ac:dyDescent="0.25">
      <c r="A2321" s="14"/>
      <c r="B2321" s="14"/>
      <c r="C2321" s="14"/>
      <c r="D2321" s="14"/>
      <c r="E2321" s="14"/>
      <c r="F2321" s="14"/>
      <c r="T2321"/>
      <c r="AK2321" s="12"/>
      <c r="AL2321" s="1"/>
      <c r="AM2321" s="1"/>
      <c r="AN2321" s="1"/>
      <c r="AO2321" s="2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</row>
    <row r="2322" spans="1:58" x14ac:dyDescent="0.25">
      <c r="A2322" s="14"/>
      <c r="B2322" s="14"/>
      <c r="C2322" s="14"/>
      <c r="D2322" s="14"/>
      <c r="E2322" s="14"/>
      <c r="F2322" s="14"/>
      <c r="T2322"/>
      <c r="AK2322" s="12"/>
      <c r="AL2322" s="1"/>
      <c r="AM2322" s="1"/>
      <c r="AN2322" s="1"/>
      <c r="AO2322" s="2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</row>
    <row r="2323" spans="1:58" x14ac:dyDescent="0.25">
      <c r="A2323" s="14"/>
      <c r="B2323" s="14"/>
      <c r="C2323" s="14"/>
      <c r="D2323" s="14"/>
      <c r="E2323" s="14"/>
      <c r="F2323" s="14"/>
      <c r="T2323"/>
      <c r="AK2323" s="12"/>
      <c r="AL2323" s="1"/>
      <c r="AM2323" s="1"/>
      <c r="AN2323" s="1"/>
      <c r="AO2323" s="2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</row>
    <row r="2324" spans="1:58" x14ac:dyDescent="0.25">
      <c r="A2324" s="14"/>
      <c r="B2324" s="14"/>
      <c r="C2324" s="14"/>
      <c r="D2324" s="14"/>
      <c r="E2324" s="14"/>
      <c r="F2324" s="14"/>
      <c r="T2324"/>
      <c r="AK2324" s="12"/>
      <c r="AL2324" s="1"/>
      <c r="AM2324" s="1"/>
      <c r="AN2324" s="1"/>
      <c r="AO2324" s="2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</row>
    <row r="2325" spans="1:58" x14ac:dyDescent="0.25">
      <c r="A2325" s="14"/>
      <c r="B2325" s="14"/>
      <c r="C2325" s="14"/>
      <c r="D2325" s="14"/>
      <c r="E2325" s="14"/>
      <c r="F2325" s="14"/>
      <c r="T2325"/>
      <c r="AK2325" s="12"/>
      <c r="AL2325" s="1"/>
      <c r="AM2325" s="1"/>
      <c r="AN2325" s="1"/>
      <c r="AO2325" s="2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</row>
    <row r="2326" spans="1:58" x14ac:dyDescent="0.25">
      <c r="A2326" s="14"/>
      <c r="B2326" s="14"/>
      <c r="C2326" s="14"/>
      <c r="D2326" s="14"/>
      <c r="E2326" s="14"/>
      <c r="F2326" s="14"/>
      <c r="T2326"/>
      <c r="AK2326" s="12"/>
      <c r="AL2326" s="1"/>
      <c r="AM2326" s="1"/>
      <c r="AN2326" s="1"/>
      <c r="AO2326" s="2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</row>
    <row r="2327" spans="1:58" x14ac:dyDescent="0.25">
      <c r="A2327" s="14"/>
      <c r="B2327" s="14"/>
      <c r="C2327" s="14"/>
      <c r="D2327" s="14"/>
      <c r="E2327" s="14"/>
      <c r="F2327" s="14"/>
      <c r="T2327"/>
      <c r="AK2327" s="12"/>
      <c r="AL2327" s="1"/>
      <c r="AM2327" s="1"/>
      <c r="AN2327" s="1"/>
      <c r="AO2327" s="2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</row>
    <row r="2328" spans="1:58" x14ac:dyDescent="0.25">
      <c r="A2328" s="14"/>
      <c r="B2328" s="14"/>
      <c r="C2328" s="14"/>
      <c r="D2328" s="14"/>
      <c r="E2328" s="14"/>
      <c r="F2328" s="14"/>
      <c r="T2328"/>
      <c r="AK2328" s="12"/>
      <c r="AL2328" s="1"/>
      <c r="AM2328" s="1"/>
      <c r="AN2328" s="1"/>
      <c r="AO2328" s="2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</row>
    <row r="2329" spans="1:58" x14ac:dyDescent="0.25">
      <c r="A2329" s="14"/>
      <c r="B2329" s="14"/>
      <c r="C2329" s="14"/>
      <c r="D2329" s="14"/>
      <c r="E2329" s="14"/>
      <c r="F2329" s="14"/>
      <c r="T2329"/>
      <c r="AK2329" s="12"/>
      <c r="AL2329" s="1"/>
      <c r="AM2329" s="1"/>
      <c r="AN2329" s="1"/>
      <c r="AO2329" s="2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</row>
    <row r="2330" spans="1:58" x14ac:dyDescent="0.25">
      <c r="A2330" s="14"/>
      <c r="B2330" s="14"/>
      <c r="C2330" s="14"/>
      <c r="D2330" s="14"/>
      <c r="E2330" s="14"/>
      <c r="F2330" s="14"/>
      <c r="T2330"/>
      <c r="AK2330" s="12"/>
      <c r="AL2330" s="1"/>
      <c r="AM2330" s="1"/>
      <c r="AN2330" s="1"/>
      <c r="AO2330" s="2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</row>
    <row r="2331" spans="1:58" x14ac:dyDescent="0.25">
      <c r="A2331" s="14"/>
      <c r="B2331" s="14"/>
      <c r="C2331" s="14"/>
      <c r="D2331" s="14"/>
      <c r="E2331" s="14"/>
      <c r="F2331" s="14"/>
      <c r="T2331"/>
      <c r="AK2331" s="12"/>
      <c r="AL2331" s="1"/>
      <c r="AM2331" s="1"/>
      <c r="AN2331" s="1"/>
      <c r="AO2331" s="2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</row>
    <row r="2332" spans="1:58" x14ac:dyDescent="0.25">
      <c r="A2332" s="14"/>
      <c r="B2332" s="14"/>
      <c r="C2332" s="14"/>
      <c r="D2332" s="14"/>
      <c r="E2332" s="14"/>
      <c r="F2332" s="14"/>
      <c r="T2332"/>
      <c r="AK2332" s="12"/>
      <c r="AL2332" s="1"/>
      <c r="AM2332" s="1"/>
      <c r="AN2332" s="1"/>
      <c r="AO2332" s="2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</row>
    <row r="2333" spans="1:58" x14ac:dyDescent="0.25">
      <c r="A2333" s="14"/>
      <c r="B2333" s="14"/>
      <c r="C2333" s="14"/>
      <c r="D2333" s="14"/>
      <c r="E2333" s="14"/>
      <c r="F2333" s="14"/>
      <c r="T2333"/>
      <c r="AK2333" s="12"/>
      <c r="AL2333" s="1"/>
      <c r="AM2333" s="1"/>
      <c r="AN2333" s="1"/>
      <c r="AO2333" s="2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</row>
    <row r="2334" spans="1:58" x14ac:dyDescent="0.25">
      <c r="A2334" s="14"/>
      <c r="B2334" s="14"/>
      <c r="C2334" s="14"/>
      <c r="D2334" s="14"/>
      <c r="E2334" s="14"/>
      <c r="F2334" s="14"/>
      <c r="T2334"/>
      <c r="AK2334" s="12"/>
      <c r="AL2334" s="1"/>
      <c r="AM2334" s="1"/>
      <c r="AN2334" s="1"/>
      <c r="AO2334" s="2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</row>
    <row r="2335" spans="1:58" x14ac:dyDescent="0.25">
      <c r="A2335" s="14"/>
      <c r="B2335" s="14"/>
      <c r="C2335" s="14"/>
      <c r="D2335" s="14"/>
      <c r="E2335" s="14"/>
      <c r="F2335" s="14"/>
      <c r="T2335"/>
      <c r="AK2335" s="12"/>
      <c r="AL2335" s="1"/>
      <c r="AM2335" s="1"/>
      <c r="AN2335" s="1"/>
      <c r="AO2335" s="2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</row>
    <row r="2336" spans="1:58" x14ac:dyDescent="0.25">
      <c r="A2336" s="14"/>
      <c r="B2336" s="14"/>
      <c r="C2336" s="14"/>
      <c r="D2336" s="14"/>
      <c r="E2336" s="14"/>
      <c r="F2336" s="14"/>
      <c r="T2336"/>
      <c r="AK2336" s="12"/>
      <c r="AL2336" s="1"/>
      <c r="AM2336" s="1"/>
      <c r="AN2336" s="1"/>
      <c r="AO2336" s="2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</row>
    <row r="2337" spans="1:58" x14ac:dyDescent="0.25">
      <c r="A2337" s="14"/>
      <c r="B2337" s="14"/>
      <c r="C2337" s="14"/>
      <c r="D2337" s="14"/>
      <c r="E2337" s="14"/>
      <c r="F2337" s="14"/>
      <c r="T2337"/>
      <c r="AK2337" s="12"/>
      <c r="AL2337" s="1"/>
      <c r="AM2337" s="1"/>
      <c r="AN2337" s="1"/>
      <c r="AO2337" s="2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</row>
    <row r="2338" spans="1:58" x14ac:dyDescent="0.25">
      <c r="A2338" s="14"/>
      <c r="B2338" s="14"/>
      <c r="C2338" s="14"/>
      <c r="D2338" s="14"/>
      <c r="E2338" s="14"/>
      <c r="F2338" s="14"/>
      <c r="T2338"/>
      <c r="AK2338" s="12"/>
      <c r="AL2338" s="1"/>
      <c r="AM2338" s="1"/>
      <c r="AN2338" s="1"/>
      <c r="AO2338" s="2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</row>
    <row r="2339" spans="1:58" x14ac:dyDescent="0.25">
      <c r="A2339" s="14"/>
      <c r="B2339" s="14"/>
      <c r="C2339" s="14"/>
      <c r="D2339" s="14"/>
      <c r="E2339" s="14"/>
      <c r="F2339" s="14"/>
      <c r="T2339"/>
      <c r="AK2339" s="12"/>
      <c r="AL2339" s="1"/>
      <c r="AM2339" s="1"/>
      <c r="AN2339" s="1"/>
      <c r="AO2339" s="2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</row>
    <row r="2340" spans="1:58" x14ac:dyDescent="0.25">
      <c r="A2340" s="14"/>
      <c r="B2340" s="14"/>
      <c r="C2340" s="14"/>
      <c r="D2340" s="14"/>
      <c r="E2340" s="14"/>
      <c r="F2340" s="14"/>
      <c r="T2340"/>
      <c r="AK2340" s="12"/>
      <c r="AL2340" s="1"/>
      <c r="AM2340" s="1"/>
      <c r="AN2340" s="1"/>
      <c r="AO2340" s="2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</row>
    <row r="2341" spans="1:58" x14ac:dyDescent="0.25">
      <c r="A2341" s="14"/>
      <c r="B2341" s="14"/>
      <c r="C2341" s="14"/>
      <c r="D2341" s="14"/>
      <c r="E2341" s="14"/>
      <c r="F2341" s="14"/>
      <c r="T2341"/>
      <c r="AK2341" s="12"/>
      <c r="AL2341" s="1"/>
      <c r="AM2341" s="1"/>
      <c r="AN2341" s="1"/>
      <c r="AO2341" s="2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</row>
    <row r="2342" spans="1:58" x14ac:dyDescent="0.25">
      <c r="A2342" s="14"/>
      <c r="B2342" s="14"/>
      <c r="C2342" s="14"/>
      <c r="D2342" s="14"/>
      <c r="E2342" s="14"/>
      <c r="F2342" s="14"/>
      <c r="T2342"/>
      <c r="AK2342" s="12"/>
      <c r="AL2342" s="1"/>
      <c r="AM2342" s="1"/>
      <c r="AN2342" s="1"/>
      <c r="AO2342" s="2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</row>
    <row r="2343" spans="1:58" x14ac:dyDescent="0.25">
      <c r="A2343" s="14"/>
      <c r="B2343" s="14"/>
      <c r="C2343" s="14"/>
      <c r="D2343" s="14"/>
      <c r="E2343" s="14"/>
      <c r="F2343" s="14"/>
      <c r="T2343"/>
      <c r="AK2343" s="12"/>
      <c r="AL2343" s="1"/>
      <c r="AM2343" s="1"/>
      <c r="AN2343" s="1"/>
      <c r="AO2343" s="2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</row>
    <row r="2344" spans="1:58" x14ac:dyDescent="0.25">
      <c r="A2344" s="14"/>
      <c r="B2344" s="14"/>
      <c r="C2344" s="14"/>
      <c r="D2344" s="14"/>
      <c r="E2344" s="14"/>
      <c r="F2344" s="14"/>
      <c r="T2344"/>
      <c r="AK2344" s="12"/>
      <c r="AL2344" s="1"/>
      <c r="AM2344" s="1"/>
      <c r="AN2344" s="1"/>
      <c r="AO2344" s="2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</row>
    <row r="2345" spans="1:58" x14ac:dyDescent="0.25">
      <c r="A2345" s="14"/>
      <c r="B2345" s="14"/>
      <c r="C2345" s="14"/>
      <c r="D2345" s="14"/>
      <c r="E2345" s="14"/>
      <c r="F2345" s="14"/>
      <c r="T2345"/>
      <c r="AK2345" s="12"/>
      <c r="AL2345" s="1"/>
      <c r="AM2345" s="1"/>
      <c r="AN2345" s="1"/>
      <c r="AO2345" s="2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</row>
    <row r="2346" spans="1:58" x14ac:dyDescent="0.25">
      <c r="A2346" s="14"/>
      <c r="B2346" s="14"/>
      <c r="C2346" s="14"/>
      <c r="D2346" s="14"/>
      <c r="E2346" s="14"/>
      <c r="F2346" s="14"/>
      <c r="T2346"/>
      <c r="AK2346" s="12"/>
      <c r="AL2346" s="1"/>
      <c r="AM2346" s="1"/>
      <c r="AN2346" s="1"/>
      <c r="AO2346" s="2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</row>
    <row r="2347" spans="1:58" x14ac:dyDescent="0.25">
      <c r="A2347" s="14"/>
      <c r="B2347" s="14"/>
      <c r="C2347" s="14"/>
      <c r="D2347" s="14"/>
      <c r="E2347" s="14"/>
      <c r="F2347" s="14"/>
      <c r="T2347"/>
      <c r="AK2347" s="12"/>
      <c r="AL2347" s="1"/>
      <c r="AM2347" s="1"/>
      <c r="AN2347" s="1"/>
      <c r="AO2347" s="2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</row>
    <row r="2348" spans="1:58" x14ac:dyDescent="0.25">
      <c r="A2348" s="14"/>
      <c r="B2348" s="14"/>
      <c r="C2348" s="14"/>
      <c r="D2348" s="14"/>
      <c r="E2348" s="14"/>
      <c r="F2348" s="14"/>
      <c r="T2348"/>
      <c r="AK2348" s="12"/>
      <c r="AL2348" s="1"/>
      <c r="AM2348" s="1"/>
      <c r="AN2348" s="1"/>
      <c r="AO2348" s="2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</row>
    <row r="2349" spans="1:58" x14ac:dyDescent="0.25">
      <c r="A2349" s="14"/>
      <c r="B2349" s="14"/>
      <c r="C2349" s="14"/>
      <c r="D2349" s="14"/>
      <c r="E2349" s="14"/>
      <c r="F2349" s="14"/>
      <c r="T2349"/>
      <c r="AK2349" s="12"/>
      <c r="AL2349" s="1"/>
      <c r="AM2349" s="1"/>
      <c r="AN2349" s="1"/>
      <c r="AO2349" s="2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</row>
    <row r="2350" spans="1:58" x14ac:dyDescent="0.25">
      <c r="A2350" s="14"/>
      <c r="B2350" s="14"/>
      <c r="C2350" s="14"/>
      <c r="D2350" s="14"/>
      <c r="E2350" s="14"/>
      <c r="F2350" s="14"/>
      <c r="T2350"/>
      <c r="AK2350" s="12"/>
      <c r="AL2350" s="1"/>
      <c r="AM2350" s="1"/>
      <c r="AN2350" s="1"/>
      <c r="AO2350" s="2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</row>
    <row r="2351" spans="1:58" x14ac:dyDescent="0.25">
      <c r="A2351" s="14"/>
      <c r="B2351" s="14"/>
      <c r="C2351" s="14"/>
      <c r="D2351" s="14"/>
      <c r="E2351" s="14"/>
      <c r="F2351" s="14"/>
      <c r="T2351"/>
      <c r="AK2351" s="12"/>
      <c r="AL2351" s="1"/>
      <c r="AM2351" s="1"/>
      <c r="AN2351" s="1"/>
      <c r="AO2351" s="2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</row>
    <row r="2352" spans="1:58" x14ac:dyDescent="0.25">
      <c r="A2352" s="14"/>
      <c r="B2352" s="14"/>
      <c r="C2352" s="14"/>
      <c r="D2352" s="14"/>
      <c r="E2352" s="14"/>
      <c r="F2352" s="14"/>
      <c r="T2352"/>
      <c r="AK2352" s="12"/>
      <c r="AL2352" s="1"/>
      <c r="AM2352" s="1"/>
      <c r="AN2352" s="1"/>
      <c r="AO2352" s="2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</row>
    <row r="2353" spans="1:58" x14ac:dyDescent="0.25">
      <c r="A2353" s="14"/>
      <c r="B2353" s="14"/>
      <c r="C2353" s="14"/>
      <c r="D2353" s="14"/>
      <c r="E2353" s="14"/>
      <c r="F2353" s="14"/>
      <c r="T2353"/>
      <c r="AK2353" s="12"/>
      <c r="AL2353" s="1"/>
      <c r="AM2353" s="1"/>
      <c r="AN2353" s="1"/>
      <c r="AO2353" s="2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</row>
    <row r="2354" spans="1:58" x14ac:dyDescent="0.25">
      <c r="A2354" s="14"/>
      <c r="B2354" s="14"/>
      <c r="C2354" s="14"/>
      <c r="D2354" s="14"/>
      <c r="E2354" s="14"/>
      <c r="F2354" s="14"/>
      <c r="T2354"/>
      <c r="AK2354" s="12"/>
      <c r="AL2354" s="1"/>
      <c r="AM2354" s="1"/>
      <c r="AN2354" s="1"/>
      <c r="AO2354" s="2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</row>
    <row r="2355" spans="1:58" x14ac:dyDescent="0.25">
      <c r="A2355" s="14"/>
      <c r="B2355" s="14"/>
      <c r="C2355" s="14"/>
      <c r="D2355" s="14"/>
      <c r="E2355" s="14"/>
      <c r="F2355" s="14"/>
      <c r="T2355"/>
      <c r="AK2355" s="12"/>
      <c r="AL2355" s="1"/>
      <c r="AM2355" s="1"/>
      <c r="AN2355" s="1"/>
      <c r="AO2355" s="2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</row>
    <row r="2356" spans="1:58" x14ac:dyDescent="0.25">
      <c r="A2356" s="14"/>
      <c r="B2356" s="14"/>
      <c r="C2356" s="14"/>
      <c r="D2356" s="14"/>
      <c r="E2356" s="14"/>
      <c r="F2356" s="14"/>
      <c r="T2356"/>
      <c r="AK2356" s="12"/>
      <c r="AL2356" s="1"/>
      <c r="AM2356" s="1"/>
      <c r="AN2356" s="1"/>
      <c r="AO2356" s="2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</row>
    <row r="2357" spans="1:58" x14ac:dyDescent="0.25">
      <c r="A2357" s="14"/>
      <c r="B2357" s="14"/>
      <c r="C2357" s="14"/>
      <c r="D2357" s="14"/>
      <c r="E2357" s="14"/>
      <c r="F2357" s="14"/>
      <c r="T2357"/>
      <c r="AK2357" s="12"/>
      <c r="AL2357" s="1"/>
      <c r="AM2357" s="1"/>
      <c r="AN2357" s="1"/>
      <c r="AO2357" s="2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</row>
    <row r="2358" spans="1:58" x14ac:dyDescent="0.25">
      <c r="A2358" s="14"/>
      <c r="B2358" s="14"/>
      <c r="C2358" s="14"/>
      <c r="D2358" s="14"/>
      <c r="E2358" s="14"/>
      <c r="F2358" s="14"/>
      <c r="T2358"/>
      <c r="AK2358" s="12"/>
      <c r="AL2358" s="1"/>
      <c r="AM2358" s="1"/>
      <c r="AN2358" s="1"/>
      <c r="AO2358" s="2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</row>
    <row r="2359" spans="1:58" x14ac:dyDescent="0.25">
      <c r="A2359" s="14"/>
      <c r="B2359" s="14"/>
      <c r="C2359" s="14"/>
      <c r="D2359" s="14"/>
      <c r="E2359" s="14"/>
      <c r="F2359" s="14"/>
      <c r="T2359"/>
      <c r="AK2359" s="12"/>
      <c r="AL2359" s="1"/>
      <c r="AM2359" s="1"/>
      <c r="AN2359" s="1"/>
      <c r="AO2359" s="2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</row>
    <row r="2360" spans="1:58" x14ac:dyDescent="0.25">
      <c r="A2360" s="14"/>
      <c r="B2360" s="14"/>
      <c r="C2360" s="14"/>
      <c r="D2360" s="14"/>
      <c r="E2360" s="14"/>
      <c r="F2360" s="14"/>
      <c r="T2360"/>
      <c r="AK2360" s="12"/>
      <c r="AL2360" s="1"/>
      <c r="AM2360" s="1"/>
      <c r="AN2360" s="1"/>
      <c r="AO2360" s="2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</row>
    <row r="2361" spans="1:58" x14ac:dyDescent="0.25">
      <c r="A2361" s="14"/>
      <c r="B2361" s="14"/>
      <c r="C2361" s="14"/>
      <c r="D2361" s="14"/>
      <c r="E2361" s="14"/>
      <c r="F2361" s="14"/>
      <c r="T2361"/>
      <c r="AK2361" s="12"/>
      <c r="AL2361" s="1"/>
      <c r="AM2361" s="1"/>
      <c r="AN2361" s="1"/>
      <c r="AO2361" s="2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</row>
    <row r="2362" spans="1:58" x14ac:dyDescent="0.25">
      <c r="A2362" s="14"/>
      <c r="B2362" s="14"/>
      <c r="C2362" s="14"/>
      <c r="D2362" s="14"/>
      <c r="E2362" s="14"/>
      <c r="F2362" s="14"/>
      <c r="T2362"/>
      <c r="AK2362" s="12"/>
      <c r="AL2362" s="1"/>
      <c r="AM2362" s="1"/>
      <c r="AN2362" s="1"/>
      <c r="AO2362" s="2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</row>
    <row r="2363" spans="1:58" x14ac:dyDescent="0.25">
      <c r="A2363" s="14"/>
      <c r="B2363" s="14"/>
      <c r="C2363" s="14"/>
      <c r="D2363" s="14"/>
      <c r="E2363" s="14"/>
      <c r="F2363" s="14"/>
      <c r="T2363"/>
      <c r="AK2363" s="12"/>
      <c r="AL2363" s="1"/>
      <c r="AM2363" s="1"/>
      <c r="AN2363" s="1"/>
      <c r="AO2363" s="2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</row>
    <row r="2364" spans="1:58" x14ac:dyDescent="0.25">
      <c r="A2364" s="14"/>
      <c r="B2364" s="14"/>
      <c r="C2364" s="14"/>
      <c r="D2364" s="14"/>
      <c r="E2364" s="14"/>
      <c r="F2364" s="14"/>
      <c r="T2364"/>
      <c r="AK2364" s="12"/>
      <c r="AL2364" s="1"/>
      <c r="AM2364" s="1"/>
      <c r="AN2364" s="1"/>
      <c r="AO2364" s="2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</row>
    <row r="2365" spans="1:58" x14ac:dyDescent="0.25">
      <c r="A2365" s="14"/>
      <c r="B2365" s="14"/>
      <c r="C2365" s="14"/>
      <c r="D2365" s="14"/>
      <c r="E2365" s="14"/>
      <c r="F2365" s="14"/>
      <c r="T2365"/>
      <c r="AK2365" s="12"/>
      <c r="AL2365" s="1"/>
      <c r="AM2365" s="1"/>
      <c r="AN2365" s="1"/>
      <c r="AO2365" s="2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</row>
    <row r="2366" spans="1:58" x14ac:dyDescent="0.25">
      <c r="A2366" s="14"/>
      <c r="B2366" s="14"/>
      <c r="C2366" s="14"/>
      <c r="D2366" s="14"/>
      <c r="E2366" s="14"/>
      <c r="F2366" s="14"/>
      <c r="T2366"/>
      <c r="AK2366" s="12"/>
      <c r="AL2366" s="1"/>
      <c r="AM2366" s="1"/>
      <c r="AN2366" s="1"/>
      <c r="AO2366" s="2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</row>
    <row r="2367" spans="1:58" x14ac:dyDescent="0.25">
      <c r="A2367" s="14"/>
      <c r="B2367" s="14"/>
      <c r="C2367" s="14"/>
      <c r="D2367" s="14"/>
      <c r="E2367" s="14"/>
      <c r="F2367" s="14"/>
      <c r="T2367"/>
      <c r="AK2367" s="12"/>
      <c r="AL2367" s="1"/>
      <c r="AM2367" s="1"/>
      <c r="AN2367" s="1"/>
      <c r="AO2367" s="2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</row>
    <row r="2368" spans="1:58" x14ac:dyDescent="0.25">
      <c r="A2368" s="14"/>
      <c r="B2368" s="14"/>
      <c r="C2368" s="14"/>
      <c r="D2368" s="14"/>
      <c r="E2368" s="14"/>
      <c r="F2368" s="14"/>
      <c r="T2368"/>
      <c r="AK2368" s="12"/>
      <c r="AL2368" s="1"/>
      <c r="AM2368" s="1"/>
      <c r="AN2368" s="1"/>
      <c r="AO2368" s="2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</row>
    <row r="2369" spans="1:58" x14ac:dyDescent="0.25">
      <c r="A2369" s="14"/>
      <c r="B2369" s="14"/>
      <c r="C2369" s="14"/>
      <c r="D2369" s="14"/>
      <c r="E2369" s="14"/>
      <c r="F2369" s="14"/>
      <c r="T2369"/>
      <c r="AK2369" s="12"/>
      <c r="AL2369" s="1"/>
      <c r="AM2369" s="1"/>
      <c r="AN2369" s="1"/>
      <c r="AO2369" s="2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</row>
    <row r="2370" spans="1:58" x14ac:dyDescent="0.25">
      <c r="A2370" s="14"/>
      <c r="B2370" s="14"/>
      <c r="C2370" s="14"/>
      <c r="D2370" s="14"/>
      <c r="E2370" s="14"/>
      <c r="F2370" s="14"/>
      <c r="T2370"/>
      <c r="AK2370" s="12"/>
      <c r="AL2370" s="1"/>
      <c r="AM2370" s="1"/>
      <c r="AN2370" s="1"/>
      <c r="AO2370" s="2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</row>
    <row r="2371" spans="1:58" x14ac:dyDescent="0.25">
      <c r="A2371" s="14"/>
      <c r="B2371" s="14"/>
      <c r="C2371" s="14"/>
      <c r="D2371" s="14"/>
      <c r="E2371" s="14"/>
      <c r="F2371" s="14"/>
      <c r="T2371"/>
      <c r="AK2371" s="12"/>
      <c r="AL2371" s="1"/>
      <c r="AM2371" s="1"/>
      <c r="AN2371" s="1"/>
      <c r="AO2371" s="2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</row>
    <row r="2372" spans="1:58" x14ac:dyDescent="0.25">
      <c r="A2372" s="14"/>
      <c r="B2372" s="14"/>
      <c r="C2372" s="14"/>
      <c r="D2372" s="14"/>
      <c r="E2372" s="14"/>
      <c r="F2372" s="14"/>
      <c r="T2372"/>
      <c r="AK2372" s="12"/>
      <c r="AL2372" s="1"/>
      <c r="AM2372" s="1"/>
      <c r="AN2372" s="1"/>
      <c r="AO2372" s="2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</row>
    <row r="2373" spans="1:58" x14ac:dyDescent="0.25">
      <c r="A2373" s="14"/>
      <c r="B2373" s="14"/>
      <c r="C2373" s="14"/>
      <c r="D2373" s="14"/>
      <c r="E2373" s="14"/>
      <c r="F2373" s="14"/>
      <c r="T2373"/>
      <c r="AK2373" s="12"/>
      <c r="AL2373" s="1"/>
      <c r="AM2373" s="1"/>
      <c r="AN2373" s="1"/>
      <c r="AO2373" s="2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</row>
    <row r="2374" spans="1:58" x14ac:dyDescent="0.25">
      <c r="A2374" s="14"/>
      <c r="B2374" s="14"/>
      <c r="C2374" s="14"/>
      <c r="D2374" s="14"/>
      <c r="E2374" s="14"/>
      <c r="F2374" s="14"/>
      <c r="T2374"/>
      <c r="AK2374" s="12"/>
      <c r="AL2374" s="1"/>
      <c r="AM2374" s="1"/>
      <c r="AN2374" s="1"/>
      <c r="AO2374" s="2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</row>
    <row r="2375" spans="1:58" x14ac:dyDescent="0.25">
      <c r="A2375" s="14"/>
      <c r="B2375" s="14"/>
      <c r="C2375" s="14"/>
      <c r="D2375" s="14"/>
      <c r="E2375" s="14"/>
      <c r="F2375" s="14"/>
      <c r="T2375"/>
      <c r="AK2375" s="12"/>
      <c r="AL2375" s="1"/>
      <c r="AM2375" s="1"/>
      <c r="AN2375" s="1"/>
      <c r="AO2375" s="2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</row>
    <row r="2376" spans="1:58" x14ac:dyDescent="0.25">
      <c r="A2376" s="14"/>
      <c r="B2376" s="14"/>
      <c r="C2376" s="14"/>
      <c r="D2376" s="14"/>
      <c r="E2376" s="14"/>
      <c r="F2376" s="14"/>
      <c r="T2376"/>
      <c r="AK2376" s="12"/>
      <c r="AL2376" s="1"/>
      <c r="AM2376" s="1"/>
      <c r="AN2376" s="1"/>
      <c r="AO2376" s="2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</row>
    <row r="2377" spans="1:58" x14ac:dyDescent="0.25">
      <c r="A2377" s="14"/>
      <c r="B2377" s="14"/>
      <c r="C2377" s="14"/>
      <c r="D2377" s="14"/>
      <c r="E2377" s="14"/>
      <c r="F2377" s="14"/>
      <c r="T2377"/>
      <c r="AK2377" s="12"/>
      <c r="AL2377" s="1"/>
      <c r="AM2377" s="1"/>
      <c r="AN2377" s="1"/>
      <c r="AO2377" s="2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</row>
    <row r="2378" spans="1:58" x14ac:dyDescent="0.25">
      <c r="A2378" s="14"/>
      <c r="B2378" s="14"/>
      <c r="C2378" s="14"/>
      <c r="D2378" s="14"/>
      <c r="E2378" s="14"/>
      <c r="F2378" s="14"/>
      <c r="T2378"/>
      <c r="AK2378" s="12"/>
      <c r="AL2378" s="1"/>
      <c r="AM2378" s="1"/>
      <c r="AN2378" s="1"/>
      <c r="AO2378" s="2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</row>
    <row r="2379" spans="1:58" x14ac:dyDescent="0.25">
      <c r="A2379" s="14"/>
      <c r="B2379" s="14"/>
      <c r="C2379" s="14"/>
      <c r="D2379" s="14"/>
      <c r="E2379" s="14"/>
      <c r="F2379" s="14"/>
      <c r="T2379"/>
      <c r="AK2379" s="12"/>
      <c r="AL2379" s="1"/>
      <c r="AM2379" s="1"/>
      <c r="AN2379" s="1"/>
      <c r="AO2379" s="2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</row>
    <row r="2380" spans="1:58" x14ac:dyDescent="0.25">
      <c r="A2380" s="14"/>
      <c r="B2380" s="14"/>
      <c r="C2380" s="14"/>
      <c r="D2380" s="14"/>
      <c r="E2380" s="14"/>
      <c r="F2380" s="14"/>
      <c r="T2380"/>
      <c r="AK2380" s="12"/>
      <c r="AL2380" s="1"/>
      <c r="AM2380" s="1"/>
      <c r="AN2380" s="1"/>
      <c r="AO2380" s="2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</row>
    <row r="2381" spans="1:58" x14ac:dyDescent="0.25">
      <c r="A2381" s="14"/>
      <c r="B2381" s="14"/>
      <c r="C2381" s="14"/>
      <c r="D2381" s="14"/>
      <c r="E2381" s="14"/>
      <c r="F2381" s="14"/>
      <c r="T2381"/>
      <c r="AK2381" s="12"/>
      <c r="AL2381" s="1"/>
      <c r="AM2381" s="1"/>
      <c r="AN2381" s="1"/>
      <c r="AO2381" s="2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</row>
    <row r="2382" spans="1:58" x14ac:dyDescent="0.25">
      <c r="A2382" s="14"/>
      <c r="B2382" s="14"/>
      <c r="C2382" s="14"/>
      <c r="D2382" s="14"/>
      <c r="E2382" s="14"/>
      <c r="F2382" s="14"/>
      <c r="T2382"/>
      <c r="AK2382" s="12"/>
      <c r="AL2382" s="1"/>
      <c r="AM2382" s="1"/>
      <c r="AN2382" s="1"/>
      <c r="AO2382" s="2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</row>
    <row r="2383" spans="1:58" x14ac:dyDescent="0.25">
      <c r="A2383" s="14"/>
      <c r="B2383" s="14"/>
      <c r="C2383" s="14"/>
      <c r="D2383" s="14"/>
      <c r="E2383" s="14"/>
      <c r="F2383" s="14"/>
      <c r="T2383"/>
      <c r="AK2383" s="12"/>
      <c r="AL2383" s="1"/>
      <c r="AM2383" s="1"/>
      <c r="AN2383" s="1"/>
      <c r="AO2383" s="2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</row>
    <row r="2384" spans="1:58" x14ac:dyDescent="0.25">
      <c r="A2384" s="14"/>
      <c r="B2384" s="14"/>
      <c r="C2384" s="14"/>
      <c r="D2384" s="14"/>
      <c r="E2384" s="14"/>
      <c r="F2384" s="14"/>
      <c r="T2384"/>
      <c r="AK2384" s="12"/>
      <c r="AL2384" s="1"/>
      <c r="AM2384" s="1"/>
      <c r="AN2384" s="1"/>
      <c r="AO2384" s="2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</row>
    <row r="2385" spans="1:58" x14ac:dyDescent="0.25">
      <c r="A2385" s="14"/>
      <c r="B2385" s="14"/>
      <c r="C2385" s="14"/>
      <c r="D2385" s="14"/>
      <c r="E2385" s="14"/>
      <c r="F2385" s="14"/>
      <c r="T2385"/>
      <c r="AK2385" s="12"/>
      <c r="AL2385" s="1"/>
      <c r="AM2385" s="1"/>
      <c r="AN2385" s="1"/>
      <c r="AO2385" s="2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</row>
    <row r="2386" spans="1:58" x14ac:dyDescent="0.25">
      <c r="A2386" s="14"/>
      <c r="B2386" s="14"/>
      <c r="C2386" s="14"/>
      <c r="D2386" s="14"/>
      <c r="E2386" s="14"/>
      <c r="F2386" s="14"/>
      <c r="T2386"/>
      <c r="AK2386" s="12"/>
      <c r="AL2386" s="1"/>
      <c r="AM2386" s="1"/>
      <c r="AN2386" s="1"/>
      <c r="AO2386" s="2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</row>
    <row r="2387" spans="1:58" x14ac:dyDescent="0.25">
      <c r="A2387" s="14"/>
      <c r="B2387" s="14"/>
      <c r="C2387" s="14"/>
      <c r="D2387" s="14"/>
      <c r="E2387" s="14"/>
      <c r="F2387" s="14"/>
      <c r="T2387"/>
      <c r="AK2387" s="12"/>
      <c r="AL2387" s="1"/>
      <c r="AM2387" s="1"/>
      <c r="AN2387" s="1"/>
      <c r="AO2387" s="2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</row>
    <row r="2388" spans="1:58" x14ac:dyDescent="0.25">
      <c r="A2388" s="14"/>
      <c r="B2388" s="14"/>
      <c r="C2388" s="14"/>
      <c r="D2388" s="14"/>
      <c r="E2388" s="14"/>
      <c r="F2388" s="14"/>
      <c r="T2388"/>
      <c r="AK2388" s="12"/>
      <c r="AL2388" s="1"/>
      <c r="AM2388" s="1"/>
      <c r="AN2388" s="1"/>
      <c r="AO2388" s="2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</row>
    <row r="2389" spans="1:58" x14ac:dyDescent="0.25">
      <c r="A2389" s="14"/>
      <c r="B2389" s="14"/>
      <c r="C2389" s="14"/>
      <c r="D2389" s="14"/>
      <c r="E2389" s="14"/>
      <c r="F2389" s="14"/>
      <c r="T2389"/>
      <c r="AK2389" s="12"/>
      <c r="AL2389" s="1"/>
      <c r="AM2389" s="1"/>
      <c r="AN2389" s="1"/>
      <c r="AO2389" s="2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</row>
    <row r="2390" spans="1:58" x14ac:dyDescent="0.25">
      <c r="A2390" s="14"/>
      <c r="B2390" s="14"/>
      <c r="C2390" s="14"/>
      <c r="D2390" s="14"/>
      <c r="E2390" s="14"/>
      <c r="F2390" s="14"/>
      <c r="T2390"/>
      <c r="AK2390" s="12"/>
      <c r="AL2390" s="1"/>
      <c r="AM2390" s="1"/>
      <c r="AN2390" s="1"/>
      <c r="AO2390" s="2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</row>
    <row r="2391" spans="1:58" x14ac:dyDescent="0.25">
      <c r="A2391" s="14"/>
      <c r="B2391" s="14"/>
      <c r="C2391" s="14"/>
      <c r="D2391" s="14"/>
      <c r="E2391" s="14"/>
      <c r="F2391" s="14"/>
      <c r="T2391"/>
      <c r="AK2391" s="12"/>
      <c r="AL2391" s="1"/>
      <c r="AM2391" s="1"/>
      <c r="AN2391" s="1"/>
      <c r="AO2391" s="2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</row>
    <row r="2392" spans="1:58" x14ac:dyDescent="0.25">
      <c r="A2392" s="14"/>
      <c r="B2392" s="14"/>
      <c r="C2392" s="14"/>
      <c r="D2392" s="14"/>
      <c r="E2392" s="14"/>
      <c r="F2392" s="14"/>
      <c r="T2392"/>
      <c r="AK2392" s="12"/>
      <c r="AL2392" s="1"/>
      <c r="AM2392" s="1"/>
      <c r="AN2392" s="1"/>
      <c r="AO2392" s="2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</row>
    <row r="2393" spans="1:58" x14ac:dyDescent="0.25">
      <c r="A2393" s="14"/>
      <c r="B2393" s="14"/>
      <c r="C2393" s="14"/>
      <c r="D2393" s="14"/>
      <c r="E2393" s="14"/>
      <c r="F2393" s="14"/>
      <c r="T2393"/>
      <c r="AK2393" s="12"/>
      <c r="AL2393" s="1"/>
      <c r="AM2393" s="1"/>
      <c r="AN2393" s="1"/>
      <c r="AO2393" s="2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</row>
    <row r="2394" spans="1:58" x14ac:dyDescent="0.25">
      <c r="A2394" s="14"/>
      <c r="B2394" s="14"/>
      <c r="C2394" s="14"/>
      <c r="D2394" s="14"/>
      <c r="E2394" s="14"/>
      <c r="F2394" s="14"/>
      <c r="T2394"/>
      <c r="AK2394" s="12"/>
      <c r="AL2394" s="1"/>
      <c r="AM2394" s="1"/>
      <c r="AN2394" s="1"/>
      <c r="AO2394" s="2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</row>
    <row r="2395" spans="1:58" x14ac:dyDescent="0.25">
      <c r="A2395" s="14"/>
      <c r="B2395" s="14"/>
      <c r="C2395" s="14"/>
      <c r="D2395" s="14"/>
      <c r="E2395" s="14"/>
      <c r="F2395" s="14"/>
      <c r="T2395"/>
      <c r="AK2395" s="12"/>
      <c r="AL2395" s="1"/>
      <c r="AM2395" s="1"/>
      <c r="AN2395" s="1"/>
      <c r="AO2395" s="2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</row>
    <row r="2396" spans="1:58" x14ac:dyDescent="0.25">
      <c r="A2396" s="14"/>
      <c r="B2396" s="14"/>
      <c r="C2396" s="14"/>
      <c r="D2396" s="14"/>
      <c r="E2396" s="14"/>
      <c r="F2396" s="14"/>
      <c r="T2396"/>
      <c r="AK2396" s="12"/>
      <c r="AL2396" s="1"/>
      <c r="AM2396" s="1"/>
      <c r="AN2396" s="1"/>
      <c r="AO2396" s="2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</row>
    <row r="2397" spans="1:58" x14ac:dyDescent="0.25">
      <c r="A2397" s="14"/>
      <c r="B2397" s="14"/>
      <c r="C2397" s="14"/>
      <c r="D2397" s="14"/>
      <c r="E2397" s="14"/>
      <c r="F2397" s="14"/>
      <c r="T2397"/>
      <c r="AK2397" s="12"/>
      <c r="AL2397" s="1"/>
      <c r="AM2397" s="1"/>
      <c r="AN2397" s="1"/>
      <c r="AO2397" s="2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</row>
    <row r="2398" spans="1:58" x14ac:dyDescent="0.25">
      <c r="A2398" s="14"/>
      <c r="B2398" s="14"/>
      <c r="C2398" s="14"/>
      <c r="D2398" s="14"/>
      <c r="E2398" s="14"/>
      <c r="F2398" s="14"/>
      <c r="T2398"/>
      <c r="AK2398" s="12"/>
      <c r="AL2398" s="1"/>
      <c r="AM2398" s="1"/>
      <c r="AN2398" s="1"/>
      <c r="AO2398" s="2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</row>
    <row r="2399" spans="1:58" x14ac:dyDescent="0.25">
      <c r="A2399" s="14"/>
      <c r="B2399" s="14"/>
      <c r="C2399" s="14"/>
      <c r="D2399" s="14"/>
      <c r="E2399" s="14"/>
      <c r="F2399" s="14"/>
      <c r="T2399"/>
      <c r="AK2399" s="12"/>
      <c r="AL2399" s="1"/>
      <c r="AM2399" s="1"/>
      <c r="AN2399" s="1"/>
      <c r="AO2399" s="2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</row>
    <row r="2400" spans="1:58" x14ac:dyDescent="0.25">
      <c r="A2400" s="14"/>
      <c r="B2400" s="14"/>
      <c r="C2400" s="14"/>
      <c r="D2400" s="14"/>
      <c r="E2400" s="14"/>
      <c r="F2400" s="14"/>
      <c r="T2400"/>
      <c r="AK2400" s="12"/>
      <c r="AL2400" s="1"/>
      <c r="AM2400" s="1"/>
      <c r="AN2400" s="1"/>
      <c r="AO2400" s="2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</row>
    <row r="2401" spans="1:58" x14ac:dyDescent="0.25">
      <c r="A2401" s="14"/>
      <c r="B2401" s="14"/>
      <c r="C2401" s="14"/>
      <c r="D2401" s="14"/>
      <c r="E2401" s="14"/>
      <c r="F2401" s="14"/>
      <c r="T2401"/>
      <c r="AK2401" s="12"/>
      <c r="AL2401" s="1"/>
      <c r="AM2401" s="1"/>
      <c r="AN2401" s="1"/>
      <c r="AO2401" s="2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</row>
    <row r="2402" spans="1:58" x14ac:dyDescent="0.25">
      <c r="A2402" s="14"/>
      <c r="B2402" s="14"/>
      <c r="C2402" s="14"/>
      <c r="D2402" s="14"/>
      <c r="E2402" s="14"/>
      <c r="F2402" s="14"/>
      <c r="T2402"/>
      <c r="AK2402" s="12"/>
      <c r="AL2402" s="1"/>
      <c r="AM2402" s="1"/>
      <c r="AN2402" s="1"/>
      <c r="AO2402" s="2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</row>
    <row r="2403" spans="1:58" x14ac:dyDescent="0.25">
      <c r="A2403" s="14"/>
      <c r="B2403" s="14"/>
      <c r="C2403" s="14"/>
      <c r="D2403" s="14"/>
      <c r="E2403" s="14"/>
      <c r="F2403" s="14"/>
      <c r="T2403"/>
      <c r="AK2403" s="12"/>
      <c r="AL2403" s="1"/>
      <c r="AM2403" s="1"/>
      <c r="AN2403" s="1"/>
      <c r="AO2403" s="2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</row>
    <row r="2404" spans="1:58" x14ac:dyDescent="0.25">
      <c r="A2404" s="14"/>
      <c r="B2404" s="14"/>
      <c r="C2404" s="14"/>
      <c r="D2404" s="14"/>
      <c r="E2404" s="14"/>
      <c r="F2404" s="14"/>
      <c r="T2404"/>
      <c r="AK2404" s="12"/>
      <c r="AL2404" s="1"/>
      <c r="AM2404" s="1"/>
      <c r="AN2404" s="1"/>
      <c r="AO2404" s="2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</row>
    <row r="2405" spans="1:58" x14ac:dyDescent="0.25">
      <c r="A2405" s="14"/>
      <c r="B2405" s="14"/>
      <c r="C2405" s="14"/>
      <c r="D2405" s="14"/>
      <c r="E2405" s="14"/>
      <c r="F2405" s="14"/>
      <c r="T2405"/>
      <c r="AK2405" s="12"/>
      <c r="AL2405" s="1"/>
      <c r="AM2405" s="1"/>
      <c r="AN2405" s="1"/>
      <c r="AO2405" s="2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</row>
    <row r="2406" spans="1:58" x14ac:dyDescent="0.25">
      <c r="A2406" s="14"/>
      <c r="B2406" s="14"/>
      <c r="C2406" s="14"/>
      <c r="D2406" s="14"/>
      <c r="E2406" s="14"/>
      <c r="F2406" s="14"/>
      <c r="T2406"/>
      <c r="AK2406" s="12"/>
      <c r="AL2406" s="1"/>
      <c r="AM2406" s="1"/>
      <c r="AN2406" s="1"/>
      <c r="AO2406" s="2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</row>
    <row r="2407" spans="1:58" x14ac:dyDescent="0.25">
      <c r="A2407" s="14"/>
      <c r="B2407" s="14"/>
      <c r="C2407" s="14"/>
      <c r="D2407" s="14"/>
      <c r="E2407" s="14"/>
      <c r="F2407" s="14"/>
      <c r="T2407"/>
      <c r="AK2407" s="12"/>
      <c r="AL2407" s="1"/>
      <c r="AM2407" s="1"/>
      <c r="AN2407" s="1"/>
      <c r="AO2407" s="2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</row>
    <row r="2408" spans="1:58" x14ac:dyDescent="0.25">
      <c r="A2408" s="14"/>
      <c r="B2408" s="14"/>
      <c r="C2408" s="14"/>
      <c r="D2408" s="14"/>
      <c r="E2408" s="14"/>
      <c r="F2408" s="14"/>
      <c r="T2408"/>
      <c r="AK2408" s="12"/>
      <c r="AL2408" s="1"/>
      <c r="AM2408" s="1"/>
      <c r="AN2408" s="1"/>
      <c r="AO2408" s="2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</row>
    <row r="2409" spans="1:58" x14ac:dyDescent="0.25">
      <c r="A2409" s="14"/>
      <c r="B2409" s="14"/>
      <c r="C2409" s="14"/>
      <c r="D2409" s="14"/>
      <c r="E2409" s="14"/>
      <c r="F2409" s="14"/>
      <c r="T2409"/>
      <c r="AK2409" s="12"/>
      <c r="AL2409" s="1"/>
      <c r="AM2409" s="1"/>
      <c r="AN2409" s="1"/>
      <c r="AO2409" s="2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</row>
    <row r="2410" spans="1:58" x14ac:dyDescent="0.25">
      <c r="A2410" s="14"/>
      <c r="B2410" s="14"/>
      <c r="C2410" s="14"/>
      <c r="D2410" s="14"/>
      <c r="E2410" s="14"/>
      <c r="F2410" s="14"/>
      <c r="T2410"/>
      <c r="AK2410" s="12"/>
      <c r="AL2410" s="1"/>
      <c r="AM2410" s="1"/>
      <c r="AN2410" s="1"/>
      <c r="AO2410" s="2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</row>
    <row r="2411" spans="1:58" x14ac:dyDescent="0.25">
      <c r="A2411" s="14"/>
      <c r="B2411" s="14"/>
      <c r="C2411" s="14"/>
      <c r="D2411" s="14"/>
      <c r="E2411" s="14"/>
      <c r="F2411" s="14"/>
      <c r="T2411"/>
      <c r="AK2411" s="12"/>
      <c r="AL2411" s="1"/>
      <c r="AM2411" s="1"/>
      <c r="AN2411" s="1"/>
      <c r="AO2411" s="2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</row>
    <row r="2412" spans="1:58" x14ac:dyDescent="0.25">
      <c r="A2412" s="14"/>
      <c r="B2412" s="14"/>
      <c r="C2412" s="14"/>
      <c r="D2412" s="14"/>
      <c r="E2412" s="14"/>
      <c r="F2412" s="14"/>
      <c r="T2412"/>
      <c r="AK2412" s="12"/>
      <c r="AL2412" s="1"/>
      <c r="AM2412" s="1"/>
      <c r="AN2412" s="1"/>
      <c r="AO2412" s="2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</row>
    <row r="2413" spans="1:58" x14ac:dyDescent="0.25">
      <c r="A2413" s="14"/>
      <c r="B2413" s="14"/>
      <c r="C2413" s="14"/>
      <c r="D2413" s="14"/>
      <c r="E2413" s="14"/>
      <c r="F2413" s="14"/>
      <c r="T2413"/>
      <c r="AK2413" s="12"/>
      <c r="AL2413" s="1"/>
      <c r="AM2413" s="1"/>
      <c r="AN2413" s="1"/>
      <c r="AO2413" s="2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</row>
    <row r="2414" spans="1:58" x14ac:dyDescent="0.25">
      <c r="A2414" s="14"/>
      <c r="B2414" s="14"/>
      <c r="C2414" s="14"/>
      <c r="D2414" s="14"/>
      <c r="E2414" s="14"/>
      <c r="F2414" s="14"/>
      <c r="T2414"/>
      <c r="AK2414" s="12"/>
      <c r="AL2414" s="1"/>
      <c r="AM2414" s="1"/>
      <c r="AN2414" s="1"/>
      <c r="AO2414" s="2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</row>
    <row r="2415" spans="1:58" x14ac:dyDescent="0.25">
      <c r="A2415" s="14"/>
      <c r="B2415" s="14"/>
      <c r="C2415" s="14"/>
      <c r="D2415" s="14"/>
      <c r="E2415" s="14"/>
      <c r="F2415" s="14"/>
      <c r="T2415"/>
      <c r="AK2415" s="12"/>
      <c r="AL2415" s="1"/>
      <c r="AM2415" s="1"/>
      <c r="AN2415" s="1"/>
      <c r="AO2415" s="2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</row>
    <row r="2416" spans="1:58" x14ac:dyDescent="0.25">
      <c r="A2416" s="14"/>
      <c r="B2416" s="14"/>
      <c r="C2416" s="14"/>
      <c r="D2416" s="14"/>
      <c r="E2416" s="14"/>
      <c r="F2416" s="14"/>
      <c r="T2416"/>
      <c r="AK2416" s="12"/>
      <c r="AL2416" s="1"/>
      <c r="AM2416" s="1"/>
      <c r="AN2416" s="1"/>
      <c r="AO2416" s="2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</row>
    <row r="2417" spans="1:58" x14ac:dyDescent="0.25">
      <c r="A2417" s="14"/>
      <c r="B2417" s="14"/>
      <c r="C2417" s="14"/>
      <c r="D2417" s="14"/>
      <c r="E2417" s="14"/>
      <c r="F2417" s="14"/>
      <c r="T2417"/>
      <c r="AK2417" s="12"/>
      <c r="AL2417" s="1"/>
      <c r="AM2417" s="1"/>
      <c r="AN2417" s="1"/>
      <c r="AO2417" s="2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</row>
    <row r="2418" spans="1:58" x14ac:dyDescent="0.25">
      <c r="A2418" s="14"/>
      <c r="B2418" s="14"/>
      <c r="C2418" s="14"/>
      <c r="D2418" s="14"/>
      <c r="E2418" s="14"/>
      <c r="F2418" s="14"/>
      <c r="T2418"/>
      <c r="AK2418" s="12"/>
      <c r="AL2418" s="1"/>
      <c r="AM2418" s="1"/>
      <c r="AN2418" s="1"/>
      <c r="AO2418" s="2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</row>
    <row r="2419" spans="1:58" x14ac:dyDescent="0.25">
      <c r="A2419" s="14"/>
      <c r="B2419" s="14"/>
      <c r="C2419" s="14"/>
      <c r="D2419" s="14"/>
      <c r="E2419" s="14"/>
      <c r="F2419" s="14"/>
      <c r="T2419"/>
      <c r="AK2419" s="12"/>
      <c r="AL2419" s="1"/>
      <c r="AM2419" s="1"/>
      <c r="AN2419" s="1"/>
      <c r="AO2419" s="2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</row>
    <row r="2420" spans="1:58" x14ac:dyDescent="0.25">
      <c r="A2420" s="14"/>
      <c r="B2420" s="14"/>
      <c r="C2420" s="14"/>
      <c r="D2420" s="14"/>
      <c r="E2420" s="14"/>
      <c r="F2420" s="14"/>
      <c r="T2420"/>
      <c r="AK2420" s="12"/>
      <c r="AL2420" s="1"/>
      <c r="AM2420" s="1"/>
      <c r="AN2420" s="1"/>
      <c r="AO2420" s="2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</row>
    <row r="2421" spans="1:58" x14ac:dyDescent="0.25">
      <c r="A2421" s="14"/>
      <c r="B2421" s="14"/>
      <c r="C2421" s="14"/>
      <c r="D2421" s="14"/>
      <c r="E2421" s="14"/>
      <c r="F2421" s="14"/>
      <c r="T2421"/>
      <c r="AK2421" s="12"/>
      <c r="AL2421" s="1"/>
      <c r="AM2421" s="1"/>
      <c r="AN2421" s="1"/>
      <c r="AO2421" s="2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</row>
    <row r="2422" spans="1:58" x14ac:dyDescent="0.25">
      <c r="A2422" s="14"/>
      <c r="B2422" s="14"/>
      <c r="C2422" s="14"/>
      <c r="D2422" s="14"/>
      <c r="E2422" s="14"/>
      <c r="F2422" s="14"/>
      <c r="T2422"/>
      <c r="AK2422" s="12"/>
      <c r="AL2422" s="1"/>
      <c r="AM2422" s="1"/>
      <c r="AN2422" s="1"/>
      <c r="AO2422" s="2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</row>
    <row r="2423" spans="1:58" x14ac:dyDescent="0.25">
      <c r="A2423" s="14"/>
      <c r="B2423" s="14"/>
      <c r="C2423" s="14"/>
      <c r="D2423" s="14"/>
      <c r="E2423" s="14"/>
      <c r="F2423" s="14"/>
      <c r="T2423"/>
      <c r="AK2423" s="12"/>
      <c r="AL2423" s="1"/>
      <c r="AM2423" s="1"/>
      <c r="AN2423" s="1"/>
      <c r="AO2423" s="2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</row>
    <row r="2424" spans="1:58" x14ac:dyDescent="0.25">
      <c r="A2424" s="14"/>
      <c r="B2424" s="14"/>
      <c r="C2424" s="14"/>
      <c r="D2424" s="14"/>
      <c r="E2424" s="14"/>
      <c r="F2424" s="14"/>
      <c r="T2424"/>
      <c r="AK2424" s="12"/>
      <c r="AL2424" s="1"/>
      <c r="AM2424" s="1"/>
      <c r="AN2424" s="1"/>
      <c r="AO2424" s="2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</row>
    <row r="2425" spans="1:58" x14ac:dyDescent="0.25">
      <c r="A2425" s="14"/>
      <c r="B2425" s="14"/>
      <c r="C2425" s="14"/>
      <c r="D2425" s="14"/>
      <c r="E2425" s="14"/>
      <c r="F2425" s="14"/>
      <c r="T2425"/>
      <c r="AK2425" s="12"/>
      <c r="AL2425" s="1"/>
      <c r="AM2425" s="1"/>
      <c r="AN2425" s="1"/>
      <c r="AO2425" s="2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</row>
    <row r="2426" spans="1:58" x14ac:dyDescent="0.25">
      <c r="A2426" s="14"/>
      <c r="B2426" s="14"/>
      <c r="C2426" s="14"/>
      <c r="D2426" s="14"/>
      <c r="E2426" s="14"/>
      <c r="F2426" s="14"/>
      <c r="T2426"/>
      <c r="AK2426" s="12"/>
      <c r="AL2426" s="1"/>
      <c r="AM2426" s="1"/>
      <c r="AN2426" s="1"/>
      <c r="AO2426" s="2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</row>
    <row r="2427" spans="1:58" x14ac:dyDescent="0.25">
      <c r="A2427" s="14"/>
      <c r="B2427" s="14"/>
      <c r="C2427" s="14"/>
      <c r="D2427" s="14"/>
      <c r="E2427" s="14"/>
      <c r="F2427" s="14"/>
      <c r="T2427"/>
      <c r="AK2427" s="12"/>
      <c r="AL2427" s="1"/>
      <c r="AM2427" s="1"/>
      <c r="AN2427" s="1"/>
      <c r="AO2427" s="2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</row>
    <row r="2428" spans="1:58" x14ac:dyDescent="0.25">
      <c r="A2428" s="14"/>
      <c r="B2428" s="14"/>
      <c r="C2428" s="14"/>
      <c r="D2428" s="14"/>
      <c r="E2428" s="14"/>
      <c r="F2428" s="14"/>
      <c r="T2428"/>
      <c r="AK2428" s="12"/>
      <c r="AL2428" s="1"/>
      <c r="AM2428" s="1"/>
      <c r="AN2428" s="1"/>
      <c r="AO2428" s="2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</row>
    <row r="2429" spans="1:58" x14ac:dyDescent="0.25">
      <c r="A2429" s="14"/>
      <c r="B2429" s="14"/>
      <c r="C2429" s="14"/>
      <c r="D2429" s="14"/>
      <c r="E2429" s="14"/>
      <c r="F2429" s="14"/>
      <c r="T2429"/>
      <c r="AK2429" s="12"/>
      <c r="AL2429" s="1"/>
      <c r="AM2429" s="1"/>
      <c r="AN2429" s="1"/>
      <c r="AO2429" s="2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</row>
    <row r="2430" spans="1:58" x14ac:dyDescent="0.25">
      <c r="A2430" s="14"/>
      <c r="B2430" s="14"/>
      <c r="C2430" s="14"/>
      <c r="D2430" s="14"/>
      <c r="E2430" s="14"/>
      <c r="F2430" s="14"/>
      <c r="T2430"/>
      <c r="AK2430" s="12"/>
      <c r="AL2430" s="1"/>
      <c r="AM2430" s="1"/>
      <c r="AN2430" s="1"/>
      <c r="AO2430" s="2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</row>
    <row r="2431" spans="1:58" x14ac:dyDescent="0.25">
      <c r="A2431" s="14"/>
      <c r="B2431" s="14"/>
      <c r="C2431" s="14"/>
      <c r="D2431" s="14"/>
      <c r="E2431" s="14"/>
      <c r="F2431" s="14"/>
      <c r="T2431"/>
      <c r="AK2431" s="12"/>
      <c r="AL2431" s="1"/>
      <c r="AM2431" s="1"/>
      <c r="AN2431" s="1"/>
      <c r="AO2431" s="2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</row>
    <row r="2432" spans="1:58" x14ac:dyDescent="0.25">
      <c r="A2432" s="14"/>
      <c r="B2432" s="14"/>
      <c r="C2432" s="14"/>
      <c r="D2432" s="14"/>
      <c r="E2432" s="14"/>
      <c r="F2432" s="14"/>
      <c r="T2432"/>
      <c r="AK2432" s="12"/>
      <c r="AL2432" s="1"/>
      <c r="AM2432" s="1"/>
      <c r="AN2432" s="1"/>
      <c r="AO2432" s="2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</row>
    <row r="2433" spans="1:58" x14ac:dyDescent="0.25">
      <c r="A2433" s="14"/>
      <c r="B2433" s="14"/>
      <c r="C2433" s="14"/>
      <c r="D2433" s="14"/>
      <c r="E2433" s="14"/>
      <c r="F2433" s="14"/>
      <c r="T2433"/>
      <c r="AK2433" s="12"/>
      <c r="AL2433" s="1"/>
      <c r="AM2433" s="1"/>
      <c r="AN2433" s="1"/>
      <c r="AO2433" s="2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</row>
    <row r="2434" spans="1:58" x14ac:dyDescent="0.25">
      <c r="A2434" s="14"/>
      <c r="B2434" s="14"/>
      <c r="C2434" s="14"/>
      <c r="D2434" s="14"/>
      <c r="E2434" s="14"/>
      <c r="F2434" s="14"/>
      <c r="T2434"/>
      <c r="AK2434" s="12"/>
      <c r="AL2434" s="1"/>
      <c r="AM2434" s="1"/>
      <c r="AN2434" s="1"/>
      <c r="AO2434" s="2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</row>
    <row r="2435" spans="1:58" x14ac:dyDescent="0.25">
      <c r="A2435" s="14"/>
      <c r="B2435" s="14"/>
      <c r="C2435" s="14"/>
      <c r="D2435" s="14"/>
      <c r="E2435" s="14"/>
      <c r="F2435" s="14"/>
      <c r="T2435"/>
      <c r="AK2435" s="12"/>
      <c r="AL2435" s="1"/>
      <c r="AM2435" s="1"/>
      <c r="AN2435" s="1"/>
      <c r="AO2435" s="2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</row>
    <row r="2436" spans="1:58" x14ac:dyDescent="0.25">
      <c r="A2436" s="14"/>
      <c r="B2436" s="14"/>
      <c r="C2436" s="14"/>
      <c r="D2436" s="14"/>
      <c r="E2436" s="14"/>
      <c r="F2436" s="14"/>
      <c r="T2436"/>
      <c r="AK2436" s="12"/>
      <c r="AL2436" s="1"/>
      <c r="AM2436" s="1"/>
      <c r="AN2436" s="1"/>
      <c r="AO2436" s="2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</row>
    <row r="2437" spans="1:58" x14ac:dyDescent="0.25">
      <c r="A2437" s="14"/>
      <c r="B2437" s="14"/>
      <c r="C2437" s="14"/>
      <c r="D2437" s="14"/>
      <c r="E2437" s="14"/>
      <c r="F2437" s="14"/>
      <c r="T2437"/>
      <c r="AK2437" s="12"/>
      <c r="AL2437" s="1"/>
      <c r="AM2437" s="1"/>
      <c r="AN2437" s="1"/>
      <c r="AO2437" s="2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</row>
    <row r="2438" spans="1:58" x14ac:dyDescent="0.25">
      <c r="A2438" s="14"/>
      <c r="B2438" s="14"/>
      <c r="C2438" s="14"/>
      <c r="D2438" s="14"/>
      <c r="E2438" s="14"/>
      <c r="F2438" s="14"/>
      <c r="T2438"/>
      <c r="AK2438" s="12"/>
      <c r="AL2438" s="1"/>
      <c r="AM2438" s="1"/>
      <c r="AN2438" s="1"/>
      <c r="AO2438" s="2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</row>
    <row r="2439" spans="1:58" x14ac:dyDescent="0.25">
      <c r="A2439" s="14"/>
      <c r="B2439" s="14"/>
      <c r="C2439" s="14"/>
      <c r="D2439" s="14"/>
      <c r="E2439" s="14"/>
      <c r="F2439" s="14"/>
      <c r="T2439"/>
      <c r="AK2439" s="12"/>
      <c r="AL2439" s="1"/>
      <c r="AM2439" s="1"/>
      <c r="AN2439" s="1"/>
      <c r="AO2439" s="2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</row>
    <row r="2440" spans="1:58" x14ac:dyDescent="0.25">
      <c r="A2440" s="14"/>
      <c r="B2440" s="14"/>
      <c r="C2440" s="14"/>
      <c r="D2440" s="14"/>
      <c r="E2440" s="14"/>
      <c r="F2440" s="14"/>
      <c r="T2440"/>
      <c r="AK2440" s="12"/>
      <c r="AL2440" s="1"/>
      <c r="AM2440" s="1"/>
      <c r="AN2440" s="1"/>
      <c r="AO2440" s="2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</row>
    <row r="2441" spans="1:58" x14ac:dyDescent="0.25">
      <c r="A2441" s="14"/>
      <c r="B2441" s="14"/>
      <c r="C2441" s="14"/>
      <c r="D2441" s="14"/>
      <c r="E2441" s="14"/>
      <c r="F2441" s="14"/>
      <c r="T2441"/>
      <c r="AK2441" s="12"/>
      <c r="AL2441" s="1"/>
      <c r="AM2441" s="1"/>
      <c r="AN2441" s="1"/>
      <c r="AO2441" s="2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</row>
    <row r="2442" spans="1:58" x14ac:dyDescent="0.25">
      <c r="A2442" s="14"/>
      <c r="B2442" s="14"/>
      <c r="C2442" s="14"/>
      <c r="D2442" s="14"/>
      <c r="E2442" s="14"/>
      <c r="F2442" s="14"/>
      <c r="T2442"/>
      <c r="AK2442" s="12"/>
      <c r="AL2442" s="1"/>
      <c r="AM2442" s="1"/>
      <c r="AN2442" s="1"/>
      <c r="AO2442" s="2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</row>
    <row r="2443" spans="1:58" x14ac:dyDescent="0.25">
      <c r="A2443" s="14"/>
      <c r="B2443" s="14"/>
      <c r="C2443" s="14"/>
      <c r="D2443" s="14"/>
      <c r="E2443" s="14"/>
      <c r="F2443" s="14"/>
      <c r="T2443"/>
      <c r="AK2443" s="12"/>
      <c r="AL2443" s="1"/>
      <c r="AM2443" s="1"/>
      <c r="AN2443" s="1"/>
      <c r="AO2443" s="2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</row>
    <row r="2444" spans="1:58" x14ac:dyDescent="0.25">
      <c r="A2444" s="14"/>
      <c r="B2444" s="14"/>
      <c r="C2444" s="14"/>
      <c r="D2444" s="14"/>
      <c r="E2444" s="14"/>
      <c r="F2444" s="14"/>
      <c r="T2444"/>
      <c r="AK2444" s="12"/>
      <c r="AL2444" s="1"/>
      <c r="AM2444" s="1"/>
      <c r="AN2444" s="1"/>
      <c r="AO2444" s="2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</row>
    <row r="2445" spans="1:58" x14ac:dyDescent="0.25">
      <c r="A2445" s="14"/>
      <c r="B2445" s="14"/>
      <c r="C2445" s="14"/>
      <c r="D2445" s="14"/>
      <c r="E2445" s="14"/>
      <c r="F2445" s="14"/>
      <c r="T2445"/>
      <c r="AK2445" s="12"/>
      <c r="AL2445" s="1"/>
      <c r="AM2445" s="1"/>
      <c r="AN2445" s="1"/>
      <c r="AO2445" s="2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</row>
    <row r="2446" spans="1:58" x14ac:dyDescent="0.25">
      <c r="A2446" s="14"/>
      <c r="B2446" s="14"/>
      <c r="C2446" s="14"/>
      <c r="D2446" s="14"/>
      <c r="E2446" s="14"/>
      <c r="F2446" s="14"/>
      <c r="T2446"/>
      <c r="AK2446" s="12"/>
      <c r="AL2446" s="1"/>
      <c r="AM2446" s="1"/>
      <c r="AN2446" s="1"/>
      <c r="AO2446" s="2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</row>
    <row r="2447" spans="1:58" x14ac:dyDescent="0.25">
      <c r="A2447" s="14"/>
      <c r="B2447" s="14"/>
      <c r="C2447" s="14"/>
      <c r="D2447" s="14"/>
      <c r="E2447" s="14"/>
      <c r="F2447" s="14"/>
      <c r="T2447"/>
      <c r="AK2447" s="12"/>
      <c r="AL2447" s="1"/>
      <c r="AM2447" s="1"/>
      <c r="AN2447" s="1"/>
      <c r="AO2447" s="2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</row>
    <row r="2448" spans="1:58" x14ac:dyDescent="0.25">
      <c r="A2448" s="14"/>
      <c r="B2448" s="14"/>
      <c r="C2448" s="14"/>
      <c r="D2448" s="14"/>
      <c r="E2448" s="14"/>
      <c r="F2448" s="14"/>
      <c r="T2448"/>
      <c r="AK2448" s="12"/>
      <c r="AL2448" s="1"/>
      <c r="AM2448" s="1"/>
      <c r="AN2448" s="1"/>
      <c r="AO2448" s="2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1"/>
      <c r="BE2448" s="1"/>
      <c r="BF2448" s="1"/>
    </row>
    <row r="2449" spans="1:58" x14ac:dyDescent="0.25">
      <c r="A2449" s="14"/>
      <c r="B2449" s="14"/>
      <c r="C2449" s="14"/>
      <c r="D2449" s="14"/>
      <c r="E2449" s="14"/>
      <c r="F2449" s="14"/>
      <c r="T2449"/>
      <c r="AK2449" s="12"/>
      <c r="AL2449" s="1"/>
      <c r="AM2449" s="1"/>
      <c r="AN2449" s="1"/>
      <c r="AO2449" s="2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</row>
    <row r="2450" spans="1:58" x14ac:dyDescent="0.25">
      <c r="A2450" s="14"/>
      <c r="B2450" s="14"/>
      <c r="C2450" s="14"/>
      <c r="D2450" s="14"/>
      <c r="E2450" s="14"/>
      <c r="F2450" s="14"/>
      <c r="T2450"/>
      <c r="AK2450" s="12"/>
      <c r="AL2450" s="1"/>
      <c r="AM2450" s="1"/>
      <c r="AN2450" s="1"/>
      <c r="AO2450" s="2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1"/>
      <c r="BE2450" s="1"/>
      <c r="BF2450" s="1"/>
    </row>
    <row r="2451" spans="1:58" x14ac:dyDescent="0.25">
      <c r="A2451" s="14"/>
      <c r="B2451" s="14"/>
      <c r="C2451" s="14"/>
      <c r="D2451" s="14"/>
      <c r="E2451" s="14"/>
      <c r="F2451" s="14"/>
      <c r="T2451"/>
      <c r="AK2451" s="12"/>
      <c r="AL2451" s="1"/>
      <c r="AM2451" s="1"/>
      <c r="AN2451" s="1"/>
      <c r="AO2451" s="2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/>
    </row>
    <row r="2452" spans="1:58" x14ac:dyDescent="0.25">
      <c r="A2452" s="14"/>
      <c r="B2452" s="14"/>
      <c r="C2452" s="14"/>
      <c r="D2452" s="14"/>
      <c r="E2452" s="14"/>
      <c r="F2452" s="14"/>
      <c r="T2452"/>
      <c r="AK2452" s="12"/>
      <c r="AL2452" s="1"/>
      <c r="AM2452" s="1"/>
      <c r="AN2452" s="1"/>
      <c r="AO2452" s="2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  <c r="BD2452" s="1"/>
      <c r="BE2452" s="1"/>
      <c r="BF2452" s="1"/>
    </row>
    <row r="2453" spans="1:58" x14ac:dyDescent="0.25">
      <c r="A2453" s="14"/>
      <c r="B2453" s="14"/>
      <c r="C2453" s="14"/>
      <c r="D2453" s="14"/>
      <c r="E2453" s="14"/>
      <c r="F2453" s="14"/>
      <c r="T2453"/>
      <c r="AK2453" s="12"/>
      <c r="AL2453" s="1"/>
      <c r="AM2453" s="1"/>
      <c r="AN2453" s="1"/>
      <c r="AO2453" s="2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</row>
    <row r="2454" spans="1:58" x14ac:dyDescent="0.25">
      <c r="A2454" s="14"/>
      <c r="B2454" s="14"/>
      <c r="C2454" s="14"/>
      <c r="D2454" s="14"/>
      <c r="E2454" s="14"/>
      <c r="F2454" s="14"/>
      <c r="T2454"/>
      <c r="AK2454" s="12"/>
      <c r="AL2454" s="1"/>
      <c r="AM2454" s="1"/>
      <c r="AN2454" s="1"/>
      <c r="AO2454" s="2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1"/>
      <c r="BE2454" s="1"/>
      <c r="BF2454" s="1"/>
    </row>
    <row r="2455" spans="1:58" x14ac:dyDescent="0.25">
      <c r="A2455" s="14"/>
      <c r="B2455" s="14"/>
      <c r="C2455" s="14"/>
      <c r="D2455" s="14"/>
      <c r="E2455" s="14"/>
      <c r="F2455" s="14"/>
      <c r="T2455"/>
      <c r="AK2455" s="12"/>
      <c r="AL2455" s="1"/>
      <c r="AM2455" s="1"/>
      <c r="AN2455" s="1"/>
      <c r="AO2455" s="2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</row>
    <row r="2456" spans="1:58" x14ac:dyDescent="0.25">
      <c r="A2456" s="14"/>
      <c r="B2456" s="14"/>
      <c r="C2456" s="14"/>
      <c r="D2456" s="14"/>
      <c r="E2456" s="14"/>
      <c r="F2456" s="14"/>
      <c r="T2456"/>
      <c r="AK2456" s="12"/>
      <c r="AL2456" s="1"/>
      <c r="AM2456" s="1"/>
      <c r="AN2456" s="1"/>
      <c r="AO2456" s="2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  <c r="BD2456" s="1"/>
      <c r="BE2456" s="1"/>
      <c r="BF2456" s="1"/>
    </row>
    <row r="2457" spans="1:58" x14ac:dyDescent="0.25">
      <c r="A2457" s="14"/>
      <c r="B2457" s="14"/>
      <c r="C2457" s="14"/>
      <c r="D2457" s="14"/>
      <c r="E2457" s="14"/>
      <c r="F2457" s="14"/>
      <c r="T2457"/>
      <c r="AK2457" s="12"/>
      <c r="AL2457" s="1"/>
      <c r="AM2457" s="1"/>
      <c r="AN2457" s="1"/>
      <c r="AO2457" s="2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</row>
    <row r="2458" spans="1:58" x14ac:dyDescent="0.25">
      <c r="A2458" s="14"/>
      <c r="B2458" s="14"/>
      <c r="C2458" s="14"/>
      <c r="D2458" s="14"/>
      <c r="E2458" s="14"/>
      <c r="F2458" s="14"/>
      <c r="T2458"/>
      <c r="AK2458" s="12"/>
      <c r="AL2458" s="1"/>
      <c r="AM2458" s="1"/>
      <c r="AN2458" s="1"/>
      <c r="AO2458" s="2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/>
    </row>
    <row r="2459" spans="1:58" x14ac:dyDescent="0.25">
      <c r="A2459" s="14"/>
      <c r="B2459" s="14"/>
      <c r="C2459" s="14"/>
      <c r="D2459" s="14"/>
      <c r="E2459" s="14"/>
      <c r="F2459" s="14"/>
      <c r="T2459"/>
      <c r="AK2459" s="12"/>
      <c r="AL2459" s="1"/>
      <c r="AM2459" s="1"/>
      <c r="AN2459" s="1"/>
      <c r="AO2459" s="2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</row>
    <row r="2460" spans="1:58" x14ac:dyDescent="0.25">
      <c r="A2460" s="14"/>
      <c r="B2460" s="14"/>
      <c r="C2460" s="14"/>
      <c r="D2460" s="14"/>
      <c r="E2460" s="14"/>
      <c r="F2460" s="14"/>
      <c r="T2460"/>
      <c r="AK2460" s="12"/>
      <c r="AL2460" s="1"/>
      <c r="AM2460" s="1"/>
      <c r="AN2460" s="1"/>
      <c r="AO2460" s="2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  <c r="BD2460" s="1"/>
      <c r="BE2460" s="1"/>
      <c r="BF2460" s="1"/>
    </row>
    <row r="2461" spans="1:58" x14ac:dyDescent="0.25">
      <c r="A2461" s="14"/>
      <c r="B2461" s="14"/>
      <c r="C2461" s="14"/>
      <c r="D2461" s="14"/>
      <c r="E2461" s="14"/>
      <c r="F2461" s="14"/>
      <c r="T2461"/>
      <c r="AK2461" s="12"/>
      <c r="AL2461" s="1"/>
      <c r="AM2461" s="1"/>
      <c r="AN2461" s="1"/>
      <c r="AO2461" s="2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1"/>
      <c r="BE2461" s="1"/>
      <c r="BF2461" s="1"/>
    </row>
    <row r="2462" spans="1:58" x14ac:dyDescent="0.25">
      <c r="A2462" s="14"/>
      <c r="B2462" s="14"/>
      <c r="C2462" s="14"/>
      <c r="D2462" s="14"/>
      <c r="E2462" s="14"/>
      <c r="F2462" s="14"/>
      <c r="T2462"/>
      <c r="AK2462" s="12"/>
      <c r="AL2462" s="1"/>
      <c r="AM2462" s="1"/>
      <c r="AN2462" s="1"/>
      <c r="AO2462" s="2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  <c r="BD2462" s="1"/>
      <c r="BE2462" s="1"/>
      <c r="BF2462" s="1"/>
    </row>
    <row r="2463" spans="1:58" x14ac:dyDescent="0.25">
      <c r="A2463" s="14"/>
      <c r="B2463" s="14"/>
      <c r="C2463" s="14"/>
      <c r="D2463" s="14"/>
      <c r="E2463" s="14"/>
      <c r="F2463" s="14"/>
      <c r="T2463"/>
      <c r="AK2463" s="12"/>
      <c r="AL2463" s="1"/>
      <c r="AM2463" s="1"/>
      <c r="AN2463" s="1"/>
      <c r="AO2463" s="2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1"/>
      <c r="BE2463" s="1"/>
      <c r="BF2463" s="1"/>
    </row>
    <row r="2464" spans="1:58" x14ac:dyDescent="0.25">
      <c r="A2464" s="14"/>
      <c r="B2464" s="14"/>
      <c r="C2464" s="14"/>
      <c r="D2464" s="14"/>
      <c r="E2464" s="14"/>
      <c r="F2464" s="14"/>
      <c r="T2464"/>
      <c r="AK2464" s="12"/>
      <c r="AL2464" s="1"/>
      <c r="AM2464" s="1"/>
      <c r="AN2464" s="1"/>
      <c r="AO2464" s="2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</row>
    <row r="2465" spans="1:58" x14ac:dyDescent="0.25">
      <c r="A2465" s="14"/>
      <c r="B2465" s="14"/>
      <c r="C2465" s="14"/>
      <c r="D2465" s="14"/>
      <c r="E2465" s="14"/>
      <c r="F2465" s="14"/>
      <c r="T2465"/>
      <c r="AK2465" s="12"/>
      <c r="AL2465" s="1"/>
      <c r="AM2465" s="1"/>
      <c r="AN2465" s="1"/>
      <c r="AO2465" s="2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</row>
    <row r="2466" spans="1:58" x14ac:dyDescent="0.25">
      <c r="A2466" s="14"/>
      <c r="B2466" s="14"/>
      <c r="C2466" s="14"/>
      <c r="D2466" s="14"/>
      <c r="E2466" s="14"/>
      <c r="F2466" s="14"/>
      <c r="T2466"/>
      <c r="AK2466" s="12"/>
      <c r="AL2466" s="1"/>
      <c r="AM2466" s="1"/>
      <c r="AN2466" s="1"/>
      <c r="AO2466" s="2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</row>
    <row r="2467" spans="1:58" x14ac:dyDescent="0.25">
      <c r="A2467" s="14"/>
      <c r="B2467" s="14"/>
      <c r="C2467" s="14"/>
      <c r="D2467" s="14"/>
      <c r="E2467" s="14"/>
      <c r="F2467" s="14"/>
      <c r="T2467"/>
      <c r="AK2467" s="12"/>
      <c r="AL2467" s="1"/>
      <c r="AM2467" s="1"/>
      <c r="AN2467" s="1"/>
      <c r="AO2467" s="2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</row>
    <row r="2468" spans="1:58" x14ac:dyDescent="0.25">
      <c r="A2468" s="14"/>
      <c r="B2468" s="14"/>
      <c r="C2468" s="14"/>
      <c r="D2468" s="14"/>
      <c r="E2468" s="14"/>
      <c r="F2468" s="14"/>
      <c r="T2468"/>
      <c r="AK2468" s="12"/>
      <c r="AL2468" s="1"/>
      <c r="AM2468" s="1"/>
      <c r="AN2468" s="1"/>
      <c r="AO2468" s="2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1"/>
      <c r="BE2468" s="1"/>
      <c r="BF2468" s="1"/>
    </row>
    <row r="2469" spans="1:58" x14ac:dyDescent="0.25">
      <c r="A2469" s="14"/>
      <c r="B2469" s="14"/>
      <c r="C2469" s="14"/>
      <c r="D2469" s="14"/>
      <c r="E2469" s="14"/>
      <c r="F2469" s="14"/>
      <c r="T2469"/>
      <c r="AK2469" s="12"/>
      <c r="AL2469" s="1"/>
      <c r="AM2469" s="1"/>
      <c r="AN2469" s="1"/>
      <c r="AO2469" s="2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</row>
    <row r="2470" spans="1:58" x14ac:dyDescent="0.25">
      <c r="A2470" s="14"/>
      <c r="B2470" s="14"/>
      <c r="C2470" s="14"/>
      <c r="D2470" s="14"/>
      <c r="E2470" s="14"/>
      <c r="F2470" s="14"/>
      <c r="T2470"/>
      <c r="AK2470" s="12"/>
      <c r="AL2470" s="1"/>
      <c r="AM2470" s="1"/>
      <c r="AN2470" s="1"/>
      <c r="AO2470" s="2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</row>
    <row r="2471" spans="1:58" x14ac:dyDescent="0.25">
      <c r="A2471" s="14"/>
      <c r="B2471" s="14"/>
      <c r="C2471" s="14"/>
      <c r="D2471" s="14"/>
      <c r="E2471" s="14"/>
      <c r="F2471" s="14"/>
      <c r="T2471"/>
      <c r="AK2471" s="12"/>
      <c r="AL2471" s="1"/>
      <c r="AM2471" s="1"/>
      <c r="AN2471" s="1"/>
      <c r="AO2471" s="2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/>
    </row>
    <row r="2472" spans="1:58" x14ac:dyDescent="0.25">
      <c r="A2472" s="14"/>
      <c r="B2472" s="14"/>
      <c r="C2472" s="14"/>
      <c r="D2472" s="14"/>
      <c r="E2472" s="14"/>
      <c r="F2472" s="14"/>
      <c r="T2472"/>
      <c r="AK2472" s="12"/>
      <c r="AL2472" s="1"/>
      <c r="AM2472" s="1"/>
      <c r="AN2472" s="1"/>
      <c r="AO2472" s="2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  <c r="BD2472" s="1"/>
      <c r="BE2472" s="1"/>
      <c r="BF2472" s="1"/>
    </row>
    <row r="2473" spans="1:58" x14ac:dyDescent="0.25">
      <c r="A2473" s="14"/>
      <c r="B2473" s="14"/>
      <c r="C2473" s="14"/>
      <c r="D2473" s="14"/>
      <c r="E2473" s="14"/>
      <c r="F2473" s="14"/>
      <c r="T2473"/>
      <c r="AK2473" s="12"/>
      <c r="AL2473" s="1"/>
      <c r="AM2473" s="1"/>
      <c r="AN2473" s="1"/>
      <c r="AO2473" s="2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1"/>
      <c r="BE2473" s="1"/>
      <c r="BF2473" s="1"/>
    </row>
    <row r="2474" spans="1:58" x14ac:dyDescent="0.25">
      <c r="A2474" s="14"/>
      <c r="B2474" s="14"/>
      <c r="C2474" s="14"/>
      <c r="D2474" s="14"/>
      <c r="E2474" s="14"/>
      <c r="F2474" s="14"/>
      <c r="T2474"/>
      <c r="AK2474" s="12"/>
      <c r="AL2474" s="1"/>
      <c r="AM2474" s="1"/>
      <c r="AN2474" s="1"/>
      <c r="AO2474" s="2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</row>
    <row r="2475" spans="1:58" x14ac:dyDescent="0.25">
      <c r="A2475" s="14"/>
      <c r="B2475" s="14"/>
      <c r="C2475" s="14"/>
      <c r="D2475" s="14"/>
      <c r="E2475" s="14"/>
      <c r="F2475" s="14"/>
      <c r="T2475"/>
      <c r="AK2475" s="12"/>
      <c r="AL2475" s="1"/>
      <c r="AM2475" s="1"/>
      <c r="AN2475" s="1"/>
      <c r="AO2475" s="2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</row>
    <row r="2476" spans="1:58" x14ac:dyDescent="0.25">
      <c r="A2476" s="14"/>
      <c r="B2476" s="14"/>
      <c r="C2476" s="14"/>
      <c r="D2476" s="14"/>
      <c r="E2476" s="14"/>
      <c r="F2476" s="14"/>
      <c r="T2476"/>
      <c r="AK2476" s="12"/>
      <c r="AL2476" s="1"/>
      <c r="AM2476" s="1"/>
      <c r="AN2476" s="1"/>
      <c r="AO2476" s="2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  <c r="BD2476" s="1"/>
      <c r="BE2476" s="1"/>
      <c r="BF2476" s="1"/>
    </row>
    <row r="2477" spans="1:58" x14ac:dyDescent="0.25">
      <c r="A2477" s="14"/>
      <c r="B2477" s="14"/>
      <c r="C2477" s="14"/>
      <c r="D2477" s="14"/>
      <c r="E2477" s="14"/>
      <c r="F2477" s="14"/>
      <c r="T2477"/>
      <c r="AK2477" s="12"/>
      <c r="AL2477" s="1"/>
      <c r="AM2477" s="1"/>
      <c r="AN2477" s="1"/>
      <c r="AO2477" s="2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</row>
    <row r="2478" spans="1:58" x14ac:dyDescent="0.25">
      <c r="A2478" s="14"/>
      <c r="B2478" s="14"/>
      <c r="C2478" s="14"/>
      <c r="D2478" s="14"/>
      <c r="E2478" s="14"/>
      <c r="F2478" s="14"/>
      <c r="T2478"/>
      <c r="AK2478" s="12"/>
      <c r="AL2478" s="1"/>
      <c r="AM2478" s="1"/>
      <c r="AN2478" s="1"/>
      <c r="AO2478" s="2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</row>
    <row r="2479" spans="1:58" x14ac:dyDescent="0.25">
      <c r="A2479" s="14"/>
      <c r="B2479" s="14"/>
      <c r="C2479" s="14"/>
      <c r="D2479" s="14"/>
      <c r="E2479" s="14"/>
      <c r="F2479" s="14"/>
      <c r="T2479"/>
      <c r="AK2479" s="12"/>
      <c r="AL2479" s="1"/>
      <c r="AM2479" s="1"/>
      <c r="AN2479" s="1"/>
      <c r="AO2479" s="2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</row>
    <row r="2480" spans="1:58" x14ac:dyDescent="0.25">
      <c r="A2480" s="14"/>
      <c r="B2480" s="14"/>
      <c r="C2480" s="14"/>
      <c r="D2480" s="14"/>
      <c r="E2480" s="14"/>
      <c r="F2480" s="14"/>
      <c r="T2480"/>
      <c r="AK2480" s="12"/>
      <c r="AL2480" s="1"/>
      <c r="AM2480" s="1"/>
      <c r="AN2480" s="1"/>
      <c r="AO2480" s="2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</row>
    <row r="2481" spans="1:58" x14ac:dyDescent="0.25">
      <c r="A2481" s="14"/>
      <c r="B2481" s="14"/>
      <c r="C2481" s="14"/>
      <c r="D2481" s="14"/>
      <c r="E2481" s="14"/>
      <c r="F2481" s="14"/>
      <c r="T2481"/>
      <c r="AK2481" s="12"/>
      <c r="AL2481" s="1"/>
      <c r="AM2481" s="1"/>
      <c r="AN2481" s="1"/>
      <c r="AO2481" s="2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</row>
    <row r="2482" spans="1:58" x14ac:dyDescent="0.25">
      <c r="A2482" s="14"/>
      <c r="B2482" s="14"/>
      <c r="C2482" s="14"/>
      <c r="D2482" s="14"/>
      <c r="E2482" s="14"/>
      <c r="F2482" s="14"/>
      <c r="T2482"/>
      <c r="AK2482" s="12"/>
      <c r="AL2482" s="1"/>
      <c r="AM2482" s="1"/>
      <c r="AN2482" s="1"/>
      <c r="AO2482" s="2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</row>
    <row r="2483" spans="1:58" x14ac:dyDescent="0.25">
      <c r="A2483" s="14"/>
      <c r="B2483" s="14"/>
      <c r="C2483" s="14"/>
      <c r="D2483" s="14"/>
      <c r="E2483" s="14"/>
      <c r="F2483" s="14"/>
      <c r="T2483"/>
      <c r="AK2483" s="12"/>
      <c r="AL2483" s="1"/>
      <c r="AM2483" s="1"/>
      <c r="AN2483" s="1"/>
      <c r="AO2483" s="2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</row>
    <row r="2484" spans="1:58" x14ac:dyDescent="0.25">
      <c r="A2484" s="14"/>
      <c r="B2484" s="14"/>
      <c r="C2484" s="14"/>
      <c r="D2484" s="14"/>
      <c r="E2484" s="14"/>
      <c r="F2484" s="14"/>
      <c r="T2484"/>
      <c r="AK2484" s="12"/>
      <c r="AL2484" s="1"/>
      <c r="AM2484" s="1"/>
      <c r="AN2484" s="1"/>
      <c r="AO2484" s="2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1"/>
      <c r="BE2484" s="1"/>
      <c r="BF2484" s="1"/>
    </row>
    <row r="2485" spans="1:58" x14ac:dyDescent="0.25">
      <c r="A2485" s="14"/>
      <c r="B2485" s="14"/>
      <c r="C2485" s="14"/>
      <c r="D2485" s="14"/>
      <c r="E2485" s="14"/>
      <c r="F2485" s="14"/>
      <c r="T2485"/>
      <c r="AK2485" s="12"/>
      <c r="AL2485" s="1"/>
      <c r="AM2485" s="1"/>
      <c r="AN2485" s="1"/>
      <c r="AO2485" s="2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</row>
    <row r="2486" spans="1:58" x14ac:dyDescent="0.25">
      <c r="A2486" s="14"/>
      <c r="B2486" s="14"/>
      <c r="C2486" s="14"/>
      <c r="D2486" s="14"/>
      <c r="E2486" s="14"/>
      <c r="F2486" s="14"/>
      <c r="T2486"/>
      <c r="AK2486" s="12"/>
      <c r="AL2486" s="1"/>
      <c r="AM2486" s="1"/>
      <c r="AN2486" s="1"/>
      <c r="AO2486" s="2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</row>
    <row r="2487" spans="1:58" x14ac:dyDescent="0.25">
      <c r="A2487" s="14"/>
      <c r="B2487" s="14"/>
      <c r="C2487" s="14"/>
      <c r="D2487" s="14"/>
      <c r="E2487" s="14"/>
      <c r="F2487" s="14"/>
      <c r="T2487"/>
      <c r="AK2487" s="12"/>
      <c r="AL2487" s="1"/>
      <c r="AM2487" s="1"/>
      <c r="AN2487" s="1"/>
      <c r="AO2487" s="2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</row>
    <row r="2488" spans="1:58" x14ac:dyDescent="0.25">
      <c r="A2488" s="14"/>
      <c r="B2488" s="14"/>
      <c r="C2488" s="14"/>
      <c r="D2488" s="14"/>
      <c r="E2488" s="14"/>
      <c r="F2488" s="14"/>
      <c r="T2488"/>
      <c r="AK2488" s="12"/>
      <c r="AL2488" s="1"/>
      <c r="AM2488" s="1"/>
      <c r="AN2488" s="1"/>
      <c r="AO2488" s="2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</row>
    <row r="2489" spans="1:58" x14ac:dyDescent="0.25">
      <c r="A2489" s="14"/>
      <c r="B2489" s="14"/>
      <c r="C2489" s="14"/>
      <c r="D2489" s="14"/>
      <c r="E2489" s="14"/>
      <c r="F2489" s="14"/>
      <c r="T2489"/>
      <c r="AK2489" s="12"/>
      <c r="AL2489" s="1"/>
      <c r="AM2489" s="1"/>
      <c r="AN2489" s="1"/>
      <c r="AO2489" s="2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</row>
    <row r="2490" spans="1:58" x14ac:dyDescent="0.25">
      <c r="A2490" s="14"/>
      <c r="B2490" s="14"/>
      <c r="C2490" s="14"/>
      <c r="D2490" s="14"/>
      <c r="E2490" s="14"/>
      <c r="F2490" s="14"/>
      <c r="T2490"/>
      <c r="AK2490" s="12"/>
      <c r="AL2490" s="1"/>
      <c r="AM2490" s="1"/>
      <c r="AN2490" s="1"/>
      <c r="AO2490" s="2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  <c r="BD2490" s="1"/>
      <c r="BE2490" s="1"/>
      <c r="BF2490" s="1"/>
    </row>
    <row r="2491" spans="1:58" x14ac:dyDescent="0.25">
      <c r="A2491" s="14"/>
      <c r="B2491" s="14"/>
      <c r="C2491" s="14"/>
      <c r="D2491" s="14"/>
      <c r="E2491" s="14"/>
      <c r="F2491" s="14"/>
      <c r="T2491"/>
      <c r="AK2491" s="12"/>
      <c r="AL2491" s="1"/>
      <c r="AM2491" s="1"/>
      <c r="AN2491" s="1"/>
      <c r="AO2491" s="2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</row>
    <row r="2492" spans="1:58" x14ac:dyDescent="0.25">
      <c r="A2492" s="14"/>
      <c r="B2492" s="14"/>
      <c r="C2492" s="14"/>
      <c r="D2492" s="14"/>
      <c r="E2492" s="14"/>
      <c r="F2492" s="14"/>
      <c r="T2492"/>
      <c r="AK2492" s="12"/>
      <c r="AL2492" s="1"/>
      <c r="AM2492" s="1"/>
      <c r="AN2492" s="1"/>
      <c r="AO2492" s="2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  <c r="BD2492" s="1"/>
      <c r="BE2492" s="1"/>
      <c r="BF2492" s="1"/>
    </row>
    <row r="2493" spans="1:58" x14ac:dyDescent="0.25">
      <c r="A2493" s="14"/>
      <c r="B2493" s="14"/>
      <c r="C2493" s="14"/>
      <c r="D2493" s="14"/>
      <c r="E2493" s="14"/>
      <c r="F2493" s="14"/>
      <c r="T2493"/>
      <c r="AK2493" s="12"/>
      <c r="AL2493" s="1"/>
      <c r="AM2493" s="1"/>
      <c r="AN2493" s="1"/>
      <c r="AO2493" s="2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</row>
    <row r="2494" spans="1:58" x14ac:dyDescent="0.25">
      <c r="A2494" s="14"/>
      <c r="B2494" s="14"/>
      <c r="C2494" s="14"/>
      <c r="D2494" s="14"/>
      <c r="E2494" s="14"/>
      <c r="F2494" s="14"/>
      <c r="T2494"/>
      <c r="AK2494" s="12"/>
      <c r="AL2494" s="1"/>
      <c r="AM2494" s="1"/>
      <c r="AN2494" s="1"/>
      <c r="AO2494" s="2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</row>
    <row r="2495" spans="1:58" x14ac:dyDescent="0.25">
      <c r="A2495" s="14"/>
      <c r="B2495" s="14"/>
      <c r="C2495" s="14"/>
      <c r="D2495" s="14"/>
      <c r="E2495" s="14"/>
      <c r="F2495" s="14"/>
      <c r="T2495"/>
      <c r="AK2495" s="12"/>
      <c r="AL2495" s="1"/>
      <c r="AM2495" s="1"/>
      <c r="AN2495" s="1"/>
      <c r="AO2495" s="2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</row>
    <row r="2496" spans="1:58" x14ac:dyDescent="0.25">
      <c r="A2496" s="14"/>
      <c r="B2496" s="14"/>
      <c r="C2496" s="14"/>
      <c r="D2496" s="14"/>
      <c r="E2496" s="14"/>
      <c r="F2496" s="14"/>
      <c r="T2496"/>
      <c r="AK2496" s="12"/>
      <c r="AL2496" s="1"/>
      <c r="AM2496" s="1"/>
      <c r="AN2496" s="1"/>
      <c r="AO2496" s="2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</row>
    <row r="2497" spans="1:58" x14ac:dyDescent="0.25">
      <c r="A2497" s="14"/>
      <c r="B2497" s="14"/>
      <c r="C2497" s="14"/>
      <c r="D2497" s="14"/>
      <c r="E2497" s="14"/>
      <c r="F2497" s="14"/>
      <c r="T2497"/>
      <c r="AK2497" s="12"/>
      <c r="AL2497" s="1"/>
      <c r="AM2497" s="1"/>
      <c r="AN2497" s="1"/>
      <c r="AO2497" s="2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</row>
    <row r="2498" spans="1:58" x14ac:dyDescent="0.25">
      <c r="A2498" s="14"/>
      <c r="B2498" s="14"/>
      <c r="C2498" s="14"/>
      <c r="D2498" s="14"/>
      <c r="E2498" s="14"/>
      <c r="F2498" s="14"/>
      <c r="T2498"/>
      <c r="AK2498" s="12"/>
      <c r="AL2498" s="1"/>
      <c r="AM2498" s="1"/>
      <c r="AN2498" s="1"/>
      <c r="AO2498" s="2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</row>
    <row r="2499" spans="1:58" x14ac:dyDescent="0.25">
      <c r="A2499" s="14"/>
      <c r="B2499" s="14"/>
      <c r="C2499" s="14"/>
      <c r="D2499" s="14"/>
      <c r="E2499" s="14"/>
      <c r="F2499" s="14"/>
      <c r="T2499"/>
      <c r="AK2499" s="12"/>
      <c r="AL2499" s="1"/>
      <c r="AM2499" s="1"/>
      <c r="AN2499" s="1"/>
      <c r="AO2499" s="2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</row>
    <row r="2500" spans="1:58" x14ac:dyDescent="0.25">
      <c r="A2500" s="14"/>
      <c r="B2500" s="14"/>
      <c r="C2500" s="14"/>
      <c r="D2500" s="14"/>
      <c r="E2500" s="14"/>
      <c r="F2500" s="14"/>
      <c r="T2500"/>
      <c r="AK2500" s="12"/>
      <c r="AL2500" s="1"/>
      <c r="AM2500" s="1"/>
      <c r="AN2500" s="1"/>
      <c r="AO2500" s="2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</row>
    <row r="2501" spans="1:58" x14ac:dyDescent="0.25">
      <c r="A2501" s="14"/>
      <c r="B2501" s="14"/>
      <c r="C2501" s="14"/>
      <c r="D2501" s="14"/>
      <c r="E2501" s="14"/>
      <c r="F2501" s="14"/>
      <c r="T2501"/>
      <c r="AK2501" s="12"/>
      <c r="AL2501" s="1"/>
      <c r="AM2501" s="1"/>
      <c r="AN2501" s="1"/>
      <c r="AO2501" s="2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</row>
    <row r="2502" spans="1:58" x14ac:dyDescent="0.25">
      <c r="A2502" s="14"/>
      <c r="B2502" s="14"/>
      <c r="C2502" s="14"/>
      <c r="D2502" s="14"/>
      <c r="E2502" s="14"/>
      <c r="F2502" s="14"/>
      <c r="T2502"/>
      <c r="AK2502" s="12"/>
      <c r="AL2502" s="1"/>
      <c r="AM2502" s="1"/>
      <c r="AN2502" s="1"/>
      <c r="AO2502" s="2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</row>
    <row r="2503" spans="1:58" x14ac:dyDescent="0.25">
      <c r="A2503" s="14"/>
      <c r="B2503" s="14"/>
      <c r="C2503" s="14"/>
      <c r="D2503" s="14"/>
      <c r="E2503" s="14"/>
      <c r="F2503" s="14"/>
      <c r="T2503"/>
      <c r="AK2503" s="12"/>
      <c r="AL2503" s="1"/>
      <c r="AM2503" s="1"/>
      <c r="AN2503" s="1"/>
      <c r="AO2503" s="2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</row>
    <row r="2504" spans="1:58" x14ac:dyDescent="0.25">
      <c r="A2504" s="14"/>
      <c r="B2504" s="14"/>
      <c r="C2504" s="14"/>
      <c r="D2504" s="14"/>
      <c r="E2504" s="14"/>
      <c r="F2504" s="14"/>
      <c r="T2504"/>
      <c r="AK2504" s="12"/>
      <c r="AL2504" s="1"/>
      <c r="AM2504" s="1"/>
      <c r="AN2504" s="1"/>
      <c r="AO2504" s="2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  <c r="BD2504" s="1"/>
      <c r="BE2504" s="1"/>
      <c r="BF2504" s="1"/>
    </row>
    <row r="2505" spans="1:58" x14ac:dyDescent="0.25">
      <c r="A2505" s="14"/>
      <c r="B2505" s="14"/>
      <c r="C2505" s="14"/>
      <c r="D2505" s="14"/>
      <c r="E2505" s="14"/>
      <c r="F2505" s="14"/>
      <c r="T2505"/>
      <c r="AK2505" s="12"/>
      <c r="AL2505" s="1"/>
      <c r="AM2505" s="1"/>
      <c r="AN2505" s="1"/>
      <c r="AO2505" s="2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</row>
    <row r="2506" spans="1:58" x14ac:dyDescent="0.25">
      <c r="A2506" s="14"/>
      <c r="B2506" s="14"/>
      <c r="C2506" s="14"/>
      <c r="D2506" s="14"/>
      <c r="E2506" s="14"/>
      <c r="F2506" s="14"/>
      <c r="T2506"/>
      <c r="AK2506" s="12"/>
      <c r="AL2506" s="1"/>
      <c r="AM2506" s="1"/>
      <c r="AN2506" s="1"/>
      <c r="AO2506" s="2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</row>
    <row r="2507" spans="1:58" x14ac:dyDescent="0.25">
      <c r="A2507" s="14"/>
      <c r="B2507" s="14"/>
      <c r="C2507" s="14"/>
      <c r="D2507" s="14"/>
      <c r="E2507" s="14"/>
      <c r="F2507" s="14"/>
      <c r="T2507"/>
      <c r="AK2507" s="12"/>
      <c r="AL2507" s="1"/>
      <c r="AM2507" s="1"/>
      <c r="AN2507" s="1"/>
      <c r="AO2507" s="2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</row>
    <row r="2508" spans="1:58" x14ac:dyDescent="0.25">
      <c r="A2508" s="14"/>
      <c r="B2508" s="14"/>
      <c r="C2508" s="14"/>
      <c r="D2508" s="14"/>
      <c r="E2508" s="14"/>
      <c r="F2508" s="14"/>
      <c r="T2508"/>
      <c r="AK2508" s="12"/>
      <c r="AL2508" s="1"/>
      <c r="AM2508" s="1"/>
      <c r="AN2508" s="1"/>
      <c r="AO2508" s="2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  <c r="BD2508" s="1"/>
      <c r="BE2508" s="1"/>
      <c r="BF2508" s="1"/>
    </row>
    <row r="2509" spans="1:58" x14ac:dyDescent="0.25">
      <c r="A2509" s="14"/>
      <c r="B2509" s="14"/>
      <c r="C2509" s="14"/>
      <c r="D2509" s="14"/>
      <c r="E2509" s="14"/>
      <c r="F2509" s="14"/>
      <c r="T2509"/>
      <c r="AK2509" s="12"/>
      <c r="AL2509" s="1"/>
      <c r="AM2509" s="1"/>
      <c r="AN2509" s="1"/>
      <c r="AO2509" s="2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</row>
    <row r="2510" spans="1:58" x14ac:dyDescent="0.25">
      <c r="A2510" s="14"/>
      <c r="B2510" s="14"/>
      <c r="C2510" s="14"/>
      <c r="D2510" s="14"/>
      <c r="E2510" s="14"/>
      <c r="F2510" s="14"/>
      <c r="T2510"/>
      <c r="AK2510" s="12"/>
      <c r="AL2510" s="1"/>
      <c r="AM2510" s="1"/>
      <c r="AN2510" s="1"/>
      <c r="AO2510" s="2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</row>
    <row r="2511" spans="1:58" x14ac:dyDescent="0.25">
      <c r="A2511" s="14"/>
      <c r="B2511" s="14"/>
      <c r="C2511" s="14"/>
      <c r="D2511" s="14"/>
      <c r="E2511" s="14"/>
      <c r="F2511" s="14"/>
      <c r="T2511"/>
      <c r="AK2511" s="12"/>
      <c r="AL2511" s="1"/>
      <c r="AM2511" s="1"/>
      <c r="AN2511" s="1"/>
      <c r="AO2511" s="2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1"/>
      <c r="BE2511" s="1"/>
      <c r="BF2511" s="1"/>
    </row>
    <row r="2512" spans="1:58" x14ac:dyDescent="0.25">
      <c r="A2512" s="14"/>
      <c r="B2512" s="14"/>
      <c r="C2512" s="14"/>
      <c r="D2512" s="14"/>
      <c r="E2512" s="14"/>
      <c r="F2512" s="14"/>
      <c r="T2512"/>
      <c r="AK2512" s="12"/>
      <c r="AL2512" s="1"/>
      <c r="AM2512" s="1"/>
      <c r="AN2512" s="1"/>
      <c r="AO2512" s="2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</row>
    <row r="2513" spans="1:58" x14ac:dyDescent="0.25">
      <c r="A2513" s="14"/>
      <c r="B2513" s="14"/>
      <c r="C2513" s="14"/>
      <c r="D2513" s="14"/>
      <c r="E2513" s="14"/>
      <c r="F2513" s="14"/>
      <c r="T2513"/>
      <c r="AK2513" s="12"/>
      <c r="AL2513" s="1"/>
      <c r="AM2513" s="1"/>
      <c r="AN2513" s="1"/>
      <c r="AO2513" s="2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</row>
    <row r="2514" spans="1:58" x14ac:dyDescent="0.25">
      <c r="A2514" s="14"/>
      <c r="B2514" s="14"/>
      <c r="C2514" s="14"/>
      <c r="D2514" s="14"/>
      <c r="E2514" s="14"/>
      <c r="F2514" s="14"/>
      <c r="T2514"/>
      <c r="AK2514" s="12"/>
      <c r="AL2514" s="1"/>
      <c r="AM2514" s="1"/>
      <c r="AN2514" s="1"/>
      <c r="AO2514" s="2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  <c r="BD2514" s="1"/>
      <c r="BE2514" s="1"/>
      <c r="BF2514" s="1"/>
    </row>
    <row r="2515" spans="1:58" x14ac:dyDescent="0.25">
      <c r="A2515" s="14"/>
      <c r="B2515" s="14"/>
      <c r="C2515" s="14"/>
      <c r="D2515" s="14"/>
      <c r="E2515" s="14"/>
      <c r="F2515" s="14"/>
      <c r="T2515"/>
      <c r="AK2515" s="12"/>
      <c r="AL2515" s="1"/>
      <c r="AM2515" s="1"/>
      <c r="AN2515" s="1"/>
      <c r="AO2515" s="2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</row>
    <row r="2516" spans="1:58" x14ac:dyDescent="0.25">
      <c r="A2516" s="14"/>
      <c r="B2516" s="14"/>
      <c r="C2516" s="14"/>
      <c r="D2516" s="14"/>
      <c r="E2516" s="14"/>
      <c r="F2516" s="14"/>
      <c r="T2516"/>
      <c r="AK2516" s="12"/>
      <c r="AL2516" s="1"/>
      <c r="AM2516" s="1"/>
      <c r="AN2516" s="1"/>
      <c r="AO2516" s="2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</row>
    <row r="2517" spans="1:58" x14ac:dyDescent="0.25">
      <c r="A2517" s="14"/>
      <c r="B2517" s="14"/>
      <c r="C2517" s="14"/>
      <c r="D2517" s="14"/>
      <c r="E2517" s="14"/>
      <c r="F2517" s="14"/>
      <c r="T2517"/>
      <c r="AK2517" s="12"/>
      <c r="AL2517" s="1"/>
      <c r="AM2517" s="1"/>
      <c r="AN2517" s="1"/>
      <c r="AO2517" s="2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</row>
    <row r="2518" spans="1:58" x14ac:dyDescent="0.25">
      <c r="A2518" s="14"/>
      <c r="B2518" s="14"/>
      <c r="C2518" s="14"/>
      <c r="D2518" s="14"/>
      <c r="E2518" s="14"/>
      <c r="F2518" s="14"/>
      <c r="T2518"/>
      <c r="AK2518" s="12"/>
      <c r="AL2518" s="1"/>
      <c r="AM2518" s="1"/>
      <c r="AN2518" s="1"/>
      <c r="AO2518" s="2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  <c r="BD2518" s="1"/>
      <c r="BE2518" s="1"/>
      <c r="BF2518" s="1"/>
    </row>
    <row r="2519" spans="1:58" x14ac:dyDescent="0.25">
      <c r="A2519" s="14"/>
      <c r="B2519" s="14"/>
      <c r="C2519" s="14"/>
      <c r="D2519" s="14"/>
      <c r="E2519" s="14"/>
      <c r="F2519" s="14"/>
      <c r="T2519"/>
      <c r="AK2519" s="12"/>
      <c r="AL2519" s="1"/>
      <c r="AM2519" s="1"/>
      <c r="AN2519" s="1"/>
      <c r="AO2519" s="2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  <c r="BE2519" s="1"/>
      <c r="BF2519" s="1"/>
    </row>
    <row r="2520" spans="1:58" x14ac:dyDescent="0.25">
      <c r="A2520" s="14"/>
      <c r="B2520" s="14"/>
      <c r="C2520" s="14"/>
      <c r="D2520" s="14"/>
      <c r="E2520" s="14"/>
      <c r="F2520" s="14"/>
      <c r="T2520"/>
      <c r="AK2520" s="12"/>
      <c r="AL2520" s="1"/>
      <c r="AM2520" s="1"/>
      <c r="AN2520" s="1"/>
      <c r="AO2520" s="2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</row>
    <row r="2521" spans="1:58" x14ac:dyDescent="0.25">
      <c r="A2521" s="14"/>
      <c r="B2521" s="14"/>
      <c r="C2521" s="14"/>
      <c r="D2521" s="14"/>
      <c r="E2521" s="14"/>
      <c r="F2521" s="14"/>
      <c r="T2521"/>
      <c r="AK2521" s="12"/>
      <c r="AL2521" s="1"/>
      <c r="AM2521" s="1"/>
      <c r="AN2521" s="1"/>
      <c r="AO2521" s="2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</row>
    <row r="2522" spans="1:58" x14ac:dyDescent="0.25">
      <c r="A2522" s="14"/>
      <c r="B2522" s="14"/>
      <c r="C2522" s="14"/>
      <c r="D2522" s="14"/>
      <c r="E2522" s="14"/>
      <c r="F2522" s="14"/>
      <c r="T2522"/>
      <c r="AK2522" s="12"/>
      <c r="AL2522" s="1"/>
      <c r="AM2522" s="1"/>
      <c r="AN2522" s="1"/>
      <c r="AO2522" s="2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/>
    </row>
    <row r="2523" spans="1:58" x14ac:dyDescent="0.25">
      <c r="A2523" s="14"/>
      <c r="B2523" s="14"/>
      <c r="C2523" s="14"/>
      <c r="D2523" s="14"/>
      <c r="E2523" s="14"/>
      <c r="F2523" s="14"/>
      <c r="T2523"/>
      <c r="AK2523" s="12"/>
      <c r="AL2523" s="1"/>
      <c r="AM2523" s="1"/>
      <c r="AN2523" s="1"/>
      <c r="AO2523" s="2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</row>
    <row r="2524" spans="1:58" x14ac:dyDescent="0.25">
      <c r="A2524" s="14"/>
      <c r="B2524" s="14"/>
      <c r="C2524" s="14"/>
      <c r="D2524" s="14"/>
      <c r="E2524" s="14"/>
      <c r="F2524" s="14"/>
      <c r="T2524"/>
      <c r="AK2524" s="12"/>
      <c r="AL2524" s="1"/>
      <c r="AM2524" s="1"/>
      <c r="AN2524" s="1"/>
      <c r="AO2524" s="2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</row>
    <row r="2525" spans="1:58" x14ac:dyDescent="0.25">
      <c r="A2525" s="14"/>
      <c r="B2525" s="14"/>
      <c r="C2525" s="14"/>
      <c r="D2525" s="14"/>
      <c r="E2525" s="14"/>
      <c r="F2525" s="14"/>
      <c r="T2525"/>
      <c r="AK2525" s="12"/>
      <c r="AL2525" s="1"/>
      <c r="AM2525" s="1"/>
      <c r="AN2525" s="1"/>
      <c r="AO2525" s="2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</row>
    <row r="2526" spans="1:58" x14ac:dyDescent="0.25">
      <c r="A2526" s="14"/>
      <c r="B2526" s="14"/>
      <c r="C2526" s="14"/>
      <c r="D2526" s="14"/>
      <c r="E2526" s="14"/>
      <c r="F2526" s="14"/>
      <c r="T2526"/>
      <c r="AK2526" s="12"/>
      <c r="AL2526" s="1"/>
      <c r="AM2526" s="1"/>
      <c r="AN2526" s="1"/>
      <c r="AO2526" s="2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</row>
    <row r="2527" spans="1:58" x14ac:dyDescent="0.25">
      <c r="A2527" s="14"/>
      <c r="B2527" s="14"/>
      <c r="C2527" s="14"/>
      <c r="D2527" s="14"/>
      <c r="E2527" s="14"/>
      <c r="F2527" s="14"/>
      <c r="T2527"/>
      <c r="AK2527" s="12"/>
      <c r="AL2527" s="1"/>
      <c r="AM2527" s="1"/>
      <c r="AN2527" s="1"/>
      <c r="AO2527" s="2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</row>
    <row r="2528" spans="1:58" x14ac:dyDescent="0.25">
      <c r="A2528" s="14"/>
      <c r="B2528" s="14"/>
      <c r="C2528" s="14"/>
      <c r="D2528" s="14"/>
      <c r="E2528" s="14"/>
      <c r="F2528" s="14"/>
      <c r="T2528"/>
      <c r="AK2528" s="12"/>
      <c r="AL2528" s="1"/>
      <c r="AM2528" s="1"/>
      <c r="AN2528" s="1"/>
      <c r="AO2528" s="2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  <c r="BD2528" s="1"/>
      <c r="BE2528" s="1"/>
      <c r="BF2528" s="1"/>
    </row>
    <row r="2529" spans="1:58" x14ac:dyDescent="0.25">
      <c r="A2529" s="14"/>
      <c r="B2529" s="14"/>
      <c r="C2529" s="14"/>
      <c r="D2529" s="14"/>
      <c r="E2529" s="14"/>
      <c r="F2529" s="14"/>
      <c r="T2529"/>
      <c r="AK2529" s="12"/>
      <c r="AL2529" s="1"/>
      <c r="AM2529" s="1"/>
      <c r="AN2529" s="1"/>
      <c r="AO2529" s="2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/>
      <c r="BF2529" s="1"/>
    </row>
    <row r="2530" spans="1:58" x14ac:dyDescent="0.25">
      <c r="A2530" s="14"/>
      <c r="B2530" s="14"/>
      <c r="C2530" s="14"/>
      <c r="D2530" s="14"/>
      <c r="E2530" s="14"/>
      <c r="F2530" s="14"/>
      <c r="T2530"/>
      <c r="AK2530" s="12"/>
      <c r="AL2530" s="1"/>
      <c r="AM2530" s="1"/>
      <c r="AN2530" s="1"/>
      <c r="AO2530" s="2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  <c r="BD2530" s="1"/>
      <c r="BE2530" s="1"/>
      <c r="BF2530" s="1"/>
    </row>
    <row r="2531" spans="1:58" x14ac:dyDescent="0.25">
      <c r="A2531" s="14"/>
      <c r="B2531" s="14"/>
      <c r="C2531" s="14"/>
      <c r="D2531" s="14"/>
      <c r="E2531" s="14"/>
      <c r="F2531" s="14"/>
      <c r="T2531"/>
      <c r="AK2531" s="12"/>
      <c r="AL2531" s="1"/>
      <c r="AM2531" s="1"/>
      <c r="AN2531" s="1"/>
      <c r="AO2531" s="2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</row>
    <row r="2532" spans="1:58" x14ac:dyDescent="0.25">
      <c r="A2532" s="14"/>
      <c r="B2532" s="14"/>
      <c r="C2532" s="14"/>
      <c r="D2532" s="14"/>
      <c r="E2532" s="14"/>
      <c r="F2532" s="14"/>
      <c r="T2532"/>
      <c r="AK2532" s="12"/>
      <c r="AL2532" s="1"/>
      <c r="AM2532" s="1"/>
      <c r="AN2532" s="1"/>
      <c r="AO2532" s="2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</row>
    <row r="2533" spans="1:58" x14ac:dyDescent="0.25">
      <c r="A2533" s="14"/>
      <c r="B2533" s="14"/>
      <c r="C2533" s="14"/>
      <c r="D2533" s="14"/>
      <c r="E2533" s="14"/>
      <c r="F2533" s="14"/>
      <c r="T2533"/>
      <c r="AK2533" s="12"/>
      <c r="AL2533" s="1"/>
      <c r="AM2533" s="1"/>
      <c r="AN2533" s="1"/>
      <c r="AO2533" s="2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</row>
    <row r="2534" spans="1:58" x14ac:dyDescent="0.25">
      <c r="A2534" s="14"/>
      <c r="B2534" s="14"/>
      <c r="C2534" s="14"/>
      <c r="D2534" s="14"/>
      <c r="E2534" s="14"/>
      <c r="F2534" s="14"/>
      <c r="T2534"/>
      <c r="AK2534" s="12"/>
      <c r="AL2534" s="1"/>
      <c r="AM2534" s="1"/>
      <c r="AN2534" s="1"/>
      <c r="AO2534" s="2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</row>
    <row r="2535" spans="1:58" x14ac:dyDescent="0.25">
      <c r="A2535" s="14"/>
      <c r="B2535" s="14"/>
      <c r="C2535" s="14"/>
      <c r="D2535" s="14"/>
      <c r="E2535" s="14"/>
      <c r="F2535" s="14"/>
      <c r="T2535"/>
      <c r="AK2535" s="12"/>
      <c r="AL2535" s="1"/>
      <c r="AM2535" s="1"/>
      <c r="AN2535" s="1"/>
      <c r="AO2535" s="2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</row>
    <row r="2536" spans="1:58" x14ac:dyDescent="0.25">
      <c r="A2536" s="14"/>
      <c r="B2536" s="14"/>
      <c r="C2536" s="14"/>
      <c r="D2536" s="14"/>
      <c r="E2536" s="14"/>
      <c r="F2536" s="14"/>
      <c r="T2536"/>
      <c r="AK2536" s="12"/>
      <c r="AL2536" s="1"/>
      <c r="AM2536" s="1"/>
      <c r="AN2536" s="1"/>
      <c r="AO2536" s="2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</row>
    <row r="2537" spans="1:58" x14ac:dyDescent="0.25">
      <c r="A2537" s="14"/>
      <c r="B2537" s="14"/>
      <c r="C2537" s="14"/>
      <c r="D2537" s="14"/>
      <c r="E2537" s="14"/>
      <c r="F2537" s="14"/>
      <c r="T2537"/>
      <c r="AK2537" s="12"/>
      <c r="AL2537" s="1"/>
      <c r="AM2537" s="1"/>
      <c r="AN2537" s="1"/>
      <c r="AO2537" s="2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</row>
    <row r="2538" spans="1:58" x14ac:dyDescent="0.25">
      <c r="A2538" s="14"/>
      <c r="B2538" s="14"/>
      <c r="C2538" s="14"/>
      <c r="D2538" s="14"/>
      <c r="E2538" s="14"/>
      <c r="F2538" s="14"/>
      <c r="T2538"/>
      <c r="AK2538" s="12"/>
      <c r="AL2538" s="1"/>
      <c r="AM2538" s="1"/>
      <c r="AN2538" s="1"/>
      <c r="AO2538" s="2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  <c r="BD2538" s="1"/>
      <c r="BE2538" s="1"/>
      <c r="BF2538" s="1"/>
    </row>
    <row r="2539" spans="1:58" x14ac:dyDescent="0.25">
      <c r="A2539" s="14"/>
      <c r="B2539" s="14"/>
      <c r="C2539" s="14"/>
      <c r="D2539" s="14"/>
      <c r="E2539" s="14"/>
      <c r="F2539" s="14"/>
      <c r="T2539"/>
      <c r="AK2539" s="12"/>
      <c r="AL2539" s="1"/>
      <c r="AM2539" s="1"/>
      <c r="AN2539" s="1"/>
      <c r="AO2539" s="2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</row>
    <row r="2540" spans="1:58" x14ac:dyDescent="0.25">
      <c r="A2540" s="14"/>
      <c r="B2540" s="14"/>
      <c r="C2540" s="14"/>
      <c r="D2540" s="14"/>
      <c r="E2540" s="14"/>
      <c r="F2540" s="14"/>
      <c r="T2540"/>
      <c r="AK2540" s="12"/>
      <c r="AL2540" s="1"/>
      <c r="AM2540" s="1"/>
      <c r="AN2540" s="1"/>
      <c r="AO2540" s="2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  <c r="BD2540" s="1"/>
      <c r="BE2540" s="1"/>
      <c r="BF2540" s="1"/>
    </row>
    <row r="2541" spans="1:58" x14ac:dyDescent="0.25">
      <c r="A2541" s="14"/>
      <c r="B2541" s="14"/>
      <c r="C2541" s="14"/>
      <c r="D2541" s="14"/>
      <c r="E2541" s="14"/>
      <c r="F2541" s="14"/>
      <c r="T2541"/>
      <c r="AK2541" s="12"/>
      <c r="AL2541" s="1"/>
      <c r="AM2541" s="1"/>
      <c r="AN2541" s="1"/>
      <c r="AO2541" s="2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/>
    </row>
    <row r="2542" spans="1:58" x14ac:dyDescent="0.25">
      <c r="A2542" s="14"/>
      <c r="B2542" s="14"/>
      <c r="C2542" s="14"/>
      <c r="D2542" s="14"/>
      <c r="E2542" s="14"/>
      <c r="F2542" s="14"/>
      <c r="T2542"/>
      <c r="AK2542" s="12"/>
      <c r="AL2542" s="1"/>
      <c r="AM2542" s="1"/>
      <c r="AN2542" s="1"/>
      <c r="AO2542" s="2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</row>
    <row r="2543" spans="1:58" x14ac:dyDescent="0.25">
      <c r="A2543" s="14"/>
      <c r="B2543" s="14"/>
      <c r="C2543" s="14"/>
      <c r="D2543" s="14"/>
      <c r="E2543" s="14"/>
      <c r="F2543" s="14"/>
      <c r="T2543"/>
      <c r="AK2543" s="12"/>
      <c r="AL2543" s="1"/>
      <c r="AM2543" s="1"/>
      <c r="AN2543" s="1"/>
      <c r="AO2543" s="2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</row>
    <row r="2544" spans="1:58" x14ac:dyDescent="0.25">
      <c r="A2544" s="14"/>
      <c r="B2544" s="14"/>
      <c r="C2544" s="14"/>
      <c r="D2544" s="14"/>
      <c r="E2544" s="14"/>
      <c r="F2544" s="14"/>
      <c r="T2544"/>
      <c r="AK2544" s="12"/>
      <c r="AL2544" s="1"/>
      <c r="AM2544" s="1"/>
      <c r="AN2544" s="1"/>
      <c r="AO2544" s="2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  <c r="BD2544" s="1"/>
      <c r="BE2544" s="1"/>
      <c r="BF2544" s="1"/>
    </row>
    <row r="2545" spans="1:58" x14ac:dyDescent="0.25">
      <c r="A2545" s="14"/>
      <c r="B2545" s="14"/>
      <c r="C2545" s="14"/>
      <c r="D2545" s="14"/>
      <c r="E2545" s="14"/>
      <c r="F2545" s="14"/>
      <c r="T2545"/>
      <c r="AK2545" s="12"/>
      <c r="AL2545" s="1"/>
      <c r="AM2545" s="1"/>
      <c r="AN2545" s="1"/>
      <c r="AO2545" s="2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</row>
    <row r="2546" spans="1:58" x14ac:dyDescent="0.25">
      <c r="A2546" s="14"/>
      <c r="B2546" s="14"/>
      <c r="C2546" s="14"/>
      <c r="D2546" s="14"/>
      <c r="E2546" s="14"/>
      <c r="F2546" s="14"/>
      <c r="T2546"/>
      <c r="AK2546" s="12"/>
      <c r="AL2546" s="1"/>
      <c r="AM2546" s="1"/>
      <c r="AN2546" s="1"/>
      <c r="AO2546" s="2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</row>
    <row r="2547" spans="1:58" x14ac:dyDescent="0.25">
      <c r="A2547" s="14"/>
      <c r="B2547" s="14"/>
      <c r="C2547" s="14"/>
      <c r="D2547" s="14"/>
      <c r="E2547" s="14"/>
      <c r="F2547" s="14"/>
      <c r="T2547"/>
      <c r="AK2547" s="12"/>
      <c r="AL2547" s="1"/>
      <c r="AM2547" s="1"/>
      <c r="AN2547" s="1"/>
      <c r="AO2547" s="2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</row>
    <row r="2548" spans="1:58" x14ac:dyDescent="0.25">
      <c r="A2548" s="14"/>
      <c r="B2548" s="14"/>
      <c r="C2548" s="14"/>
      <c r="D2548" s="14"/>
      <c r="E2548" s="14"/>
      <c r="F2548" s="14"/>
      <c r="T2548"/>
      <c r="AK2548" s="12"/>
      <c r="AL2548" s="1"/>
      <c r="AM2548" s="1"/>
      <c r="AN2548" s="1"/>
      <c r="AO2548" s="2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</row>
    <row r="2549" spans="1:58" x14ac:dyDescent="0.25">
      <c r="A2549" s="14"/>
      <c r="B2549" s="14"/>
      <c r="C2549" s="14"/>
      <c r="D2549" s="14"/>
      <c r="E2549" s="14"/>
      <c r="F2549" s="14"/>
      <c r="T2549"/>
      <c r="AK2549" s="12"/>
      <c r="AL2549" s="1"/>
      <c r="AM2549" s="1"/>
      <c r="AN2549" s="1"/>
      <c r="AO2549" s="2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</row>
    <row r="2550" spans="1:58" x14ac:dyDescent="0.25">
      <c r="A2550" s="14"/>
      <c r="B2550" s="14"/>
      <c r="C2550" s="14"/>
      <c r="D2550" s="14"/>
      <c r="E2550" s="14"/>
      <c r="F2550" s="14"/>
      <c r="T2550"/>
      <c r="AK2550" s="12"/>
      <c r="AL2550" s="1"/>
      <c r="AM2550" s="1"/>
      <c r="AN2550" s="1"/>
      <c r="AO2550" s="2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</row>
    <row r="2551" spans="1:58" x14ac:dyDescent="0.25">
      <c r="A2551" s="14"/>
      <c r="B2551" s="14"/>
      <c r="C2551" s="14"/>
      <c r="D2551" s="14"/>
      <c r="E2551" s="14"/>
      <c r="F2551" s="14"/>
      <c r="T2551"/>
      <c r="AK2551" s="12"/>
      <c r="AL2551" s="1"/>
      <c r="AM2551" s="1"/>
      <c r="AN2551" s="1"/>
      <c r="AO2551" s="2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</row>
    <row r="2552" spans="1:58" x14ac:dyDescent="0.25">
      <c r="A2552" s="14"/>
      <c r="B2552" s="14"/>
      <c r="C2552" s="14"/>
      <c r="D2552" s="14"/>
      <c r="E2552" s="14"/>
      <c r="F2552" s="14"/>
      <c r="T2552"/>
      <c r="AK2552" s="12"/>
      <c r="AL2552" s="1"/>
      <c r="AM2552" s="1"/>
      <c r="AN2552" s="1"/>
      <c r="AO2552" s="2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</row>
    <row r="2553" spans="1:58" x14ac:dyDescent="0.25">
      <c r="A2553" s="14"/>
      <c r="B2553" s="14"/>
      <c r="C2553" s="14"/>
      <c r="D2553" s="14"/>
      <c r="E2553" s="14"/>
      <c r="F2553" s="14"/>
      <c r="T2553"/>
      <c r="AK2553" s="12"/>
      <c r="AL2553" s="1"/>
      <c r="AM2553" s="1"/>
      <c r="AN2553" s="1"/>
      <c r="AO2553" s="2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</row>
    <row r="2554" spans="1:58" x14ac:dyDescent="0.25">
      <c r="A2554" s="14"/>
      <c r="B2554" s="14"/>
      <c r="C2554" s="14"/>
      <c r="D2554" s="14"/>
      <c r="E2554" s="14"/>
      <c r="F2554" s="14"/>
      <c r="T2554"/>
      <c r="AK2554" s="12"/>
      <c r="AL2554" s="1"/>
      <c r="AM2554" s="1"/>
      <c r="AN2554" s="1"/>
      <c r="AO2554" s="2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  <c r="BD2554" s="1"/>
      <c r="BE2554" s="1"/>
      <c r="BF2554" s="1"/>
    </row>
    <row r="2555" spans="1:58" x14ac:dyDescent="0.25">
      <c r="A2555" s="14"/>
      <c r="B2555" s="14"/>
      <c r="C2555" s="14"/>
      <c r="D2555" s="14"/>
      <c r="E2555" s="14"/>
      <c r="F2555" s="14"/>
      <c r="T2555"/>
      <c r="AK2555" s="12"/>
      <c r="AL2555" s="1"/>
      <c r="AM2555" s="1"/>
      <c r="AN2555" s="1"/>
      <c r="AO2555" s="2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</row>
    <row r="2556" spans="1:58" x14ac:dyDescent="0.25">
      <c r="A2556" s="14"/>
      <c r="B2556" s="14"/>
      <c r="C2556" s="14"/>
      <c r="D2556" s="14"/>
      <c r="E2556" s="14"/>
      <c r="F2556" s="14"/>
      <c r="T2556"/>
      <c r="AK2556" s="12"/>
      <c r="AL2556" s="1"/>
      <c r="AM2556" s="1"/>
      <c r="AN2556" s="1"/>
      <c r="AO2556" s="2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1"/>
      <c r="BE2556" s="1"/>
      <c r="BF2556" s="1"/>
    </row>
    <row r="2557" spans="1:58" x14ac:dyDescent="0.25">
      <c r="A2557" s="14"/>
      <c r="B2557" s="14"/>
      <c r="C2557" s="14"/>
      <c r="D2557" s="14"/>
      <c r="E2557" s="14"/>
      <c r="F2557" s="14"/>
      <c r="T2557"/>
      <c r="AK2557" s="12"/>
      <c r="AL2557" s="1"/>
      <c r="AM2557" s="1"/>
      <c r="AN2557" s="1"/>
      <c r="AO2557" s="2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</row>
    <row r="2558" spans="1:58" x14ac:dyDescent="0.25">
      <c r="A2558" s="14"/>
      <c r="B2558" s="14"/>
      <c r="C2558" s="14"/>
      <c r="D2558" s="14"/>
      <c r="E2558" s="14"/>
      <c r="F2558" s="14"/>
      <c r="T2558"/>
      <c r="AK2558" s="12"/>
      <c r="AL2558" s="1"/>
      <c r="AM2558" s="1"/>
      <c r="AN2558" s="1"/>
      <c r="AO2558" s="2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1"/>
      <c r="BE2558" s="1"/>
      <c r="BF2558" s="1"/>
    </row>
    <row r="2559" spans="1:58" x14ac:dyDescent="0.25">
      <c r="A2559" s="14"/>
      <c r="B2559" s="14"/>
      <c r="C2559" s="14"/>
      <c r="D2559" s="14"/>
      <c r="E2559" s="14"/>
      <c r="F2559" s="14"/>
      <c r="T2559"/>
      <c r="AK2559" s="12"/>
      <c r="AL2559" s="1"/>
      <c r="AM2559" s="1"/>
      <c r="AN2559" s="1"/>
      <c r="AO2559" s="2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</row>
    <row r="2560" spans="1:58" x14ac:dyDescent="0.25">
      <c r="A2560" s="14"/>
      <c r="B2560" s="14"/>
      <c r="C2560" s="14"/>
      <c r="D2560" s="14"/>
      <c r="E2560" s="14"/>
      <c r="F2560" s="14"/>
      <c r="T2560"/>
      <c r="AK2560" s="12"/>
      <c r="AL2560" s="1"/>
      <c r="AM2560" s="1"/>
      <c r="AN2560" s="1"/>
      <c r="AO2560" s="2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  <c r="BD2560" s="1"/>
      <c r="BE2560" s="1"/>
      <c r="BF2560" s="1"/>
    </row>
    <row r="2561" spans="1:58" x14ac:dyDescent="0.25">
      <c r="A2561" s="14"/>
      <c r="B2561" s="14"/>
      <c r="C2561" s="14"/>
      <c r="D2561" s="14"/>
      <c r="E2561" s="14"/>
      <c r="F2561" s="14"/>
      <c r="T2561"/>
      <c r="AK2561" s="12"/>
      <c r="AL2561" s="1"/>
      <c r="AM2561" s="1"/>
      <c r="AN2561" s="1"/>
      <c r="AO2561" s="2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</row>
    <row r="2562" spans="1:58" x14ac:dyDescent="0.25">
      <c r="A2562" s="14"/>
      <c r="B2562" s="14"/>
      <c r="C2562" s="14"/>
      <c r="D2562" s="14"/>
      <c r="E2562" s="14"/>
      <c r="F2562" s="14"/>
      <c r="T2562"/>
      <c r="AK2562" s="12"/>
      <c r="AL2562" s="1"/>
      <c r="AM2562" s="1"/>
      <c r="AN2562" s="1"/>
      <c r="AO2562" s="2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  <c r="BD2562" s="1"/>
      <c r="BE2562" s="1"/>
      <c r="BF2562" s="1"/>
    </row>
    <row r="2563" spans="1:58" x14ac:dyDescent="0.25">
      <c r="A2563" s="14"/>
      <c r="B2563" s="14"/>
      <c r="C2563" s="14"/>
      <c r="D2563" s="14"/>
      <c r="E2563" s="14"/>
      <c r="F2563" s="14"/>
      <c r="T2563"/>
      <c r="AK2563" s="12"/>
      <c r="AL2563" s="1"/>
      <c r="AM2563" s="1"/>
      <c r="AN2563" s="1"/>
      <c r="AO2563" s="2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</row>
    <row r="2564" spans="1:58" x14ac:dyDescent="0.25">
      <c r="A2564" s="14"/>
      <c r="B2564" s="14"/>
      <c r="C2564" s="14"/>
      <c r="D2564" s="14"/>
      <c r="E2564" s="14"/>
      <c r="F2564" s="14"/>
      <c r="T2564"/>
      <c r="AK2564" s="12"/>
      <c r="AL2564" s="1"/>
      <c r="AM2564" s="1"/>
      <c r="AN2564" s="1"/>
      <c r="AO2564" s="2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  <c r="BD2564" s="1"/>
      <c r="BE2564" s="1"/>
      <c r="BF2564" s="1"/>
    </row>
    <row r="2565" spans="1:58" x14ac:dyDescent="0.25">
      <c r="A2565" s="14"/>
      <c r="B2565" s="14"/>
      <c r="C2565" s="14"/>
      <c r="D2565" s="14"/>
      <c r="E2565" s="14"/>
      <c r="F2565" s="14"/>
      <c r="T2565"/>
      <c r="AK2565" s="12"/>
      <c r="AL2565" s="1"/>
      <c r="AM2565" s="1"/>
      <c r="AN2565" s="1"/>
      <c r="AO2565" s="2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</row>
    <row r="2566" spans="1:58" x14ac:dyDescent="0.25">
      <c r="A2566" s="14"/>
      <c r="B2566" s="14"/>
      <c r="C2566" s="14"/>
      <c r="D2566" s="14"/>
      <c r="E2566" s="14"/>
      <c r="F2566" s="14"/>
      <c r="T2566"/>
      <c r="AK2566" s="12"/>
      <c r="AL2566" s="1"/>
      <c r="AM2566" s="1"/>
      <c r="AN2566" s="1"/>
      <c r="AO2566" s="2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  <c r="BD2566" s="1"/>
      <c r="BE2566" s="1"/>
      <c r="BF2566" s="1"/>
    </row>
    <row r="2567" spans="1:58" x14ac:dyDescent="0.25">
      <c r="A2567" s="14"/>
      <c r="B2567" s="14"/>
      <c r="C2567" s="14"/>
      <c r="D2567" s="14"/>
      <c r="E2567" s="14"/>
      <c r="F2567" s="14"/>
      <c r="T2567"/>
      <c r="AK2567" s="12"/>
      <c r="AL2567" s="1"/>
      <c r="AM2567" s="1"/>
      <c r="AN2567" s="1"/>
      <c r="AO2567" s="2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  <c r="BD2567" s="1"/>
      <c r="BE2567" s="1"/>
      <c r="BF2567" s="1"/>
    </row>
    <row r="2568" spans="1:58" x14ac:dyDescent="0.25">
      <c r="A2568" s="14"/>
      <c r="B2568" s="14"/>
      <c r="C2568" s="14"/>
      <c r="D2568" s="14"/>
      <c r="E2568" s="14"/>
      <c r="F2568" s="14"/>
      <c r="T2568"/>
      <c r="AK2568" s="12"/>
      <c r="AL2568" s="1"/>
      <c r="AM2568" s="1"/>
      <c r="AN2568" s="1"/>
      <c r="AO2568" s="2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  <c r="BD2568" s="1"/>
      <c r="BE2568" s="1"/>
      <c r="BF2568" s="1"/>
    </row>
    <row r="2569" spans="1:58" x14ac:dyDescent="0.25">
      <c r="A2569" s="14"/>
      <c r="B2569" s="14"/>
      <c r="C2569" s="14"/>
      <c r="D2569" s="14"/>
      <c r="E2569" s="14"/>
      <c r="F2569" s="14"/>
      <c r="T2569"/>
      <c r="AK2569" s="12"/>
      <c r="AL2569" s="1"/>
      <c r="AM2569" s="1"/>
      <c r="AN2569" s="1"/>
      <c r="AO2569" s="2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  <c r="BD2569" s="1"/>
      <c r="BE2569" s="1"/>
      <c r="BF2569" s="1"/>
    </row>
    <row r="2570" spans="1:58" x14ac:dyDescent="0.25">
      <c r="A2570" s="14"/>
      <c r="B2570" s="14"/>
      <c r="C2570" s="14"/>
      <c r="D2570" s="14"/>
      <c r="E2570" s="14"/>
      <c r="F2570" s="14"/>
      <c r="T2570"/>
      <c r="AK2570" s="12"/>
      <c r="AL2570" s="1"/>
      <c r="AM2570" s="1"/>
      <c r="AN2570" s="1"/>
      <c r="AO2570" s="2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  <c r="BD2570" s="1"/>
      <c r="BE2570" s="1"/>
      <c r="BF2570" s="1"/>
    </row>
    <row r="2571" spans="1:58" x14ac:dyDescent="0.25">
      <c r="A2571" s="14"/>
      <c r="B2571" s="14"/>
      <c r="C2571" s="14"/>
      <c r="D2571" s="14"/>
      <c r="E2571" s="14"/>
      <c r="F2571" s="14"/>
      <c r="T2571"/>
      <c r="AK2571" s="12"/>
      <c r="AL2571" s="1"/>
      <c r="AM2571" s="1"/>
      <c r="AN2571" s="1"/>
      <c r="AO2571" s="2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1"/>
      <c r="BE2571" s="1"/>
      <c r="BF2571" s="1"/>
    </row>
    <row r="2572" spans="1:58" x14ac:dyDescent="0.25">
      <c r="A2572" s="14"/>
      <c r="B2572" s="14"/>
      <c r="C2572" s="14"/>
      <c r="D2572" s="14"/>
      <c r="E2572" s="14"/>
      <c r="F2572" s="14"/>
      <c r="T2572"/>
      <c r="AK2572" s="12"/>
      <c r="AL2572" s="1"/>
      <c r="AM2572" s="1"/>
      <c r="AN2572" s="1"/>
      <c r="AO2572" s="2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  <c r="BD2572" s="1"/>
      <c r="BE2572" s="1"/>
      <c r="BF2572" s="1"/>
    </row>
    <row r="2573" spans="1:58" x14ac:dyDescent="0.25">
      <c r="A2573" s="14"/>
      <c r="B2573" s="14"/>
      <c r="C2573" s="14"/>
      <c r="D2573" s="14"/>
      <c r="E2573" s="14"/>
      <c r="F2573" s="14"/>
      <c r="T2573"/>
      <c r="AK2573" s="12"/>
      <c r="AL2573" s="1"/>
      <c r="AM2573" s="1"/>
      <c r="AN2573" s="1"/>
      <c r="AO2573" s="2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1"/>
      <c r="BE2573" s="1"/>
      <c r="BF2573" s="1"/>
    </row>
    <row r="2574" spans="1:58" x14ac:dyDescent="0.25">
      <c r="A2574" s="14"/>
      <c r="B2574" s="14"/>
      <c r="C2574" s="14"/>
      <c r="D2574" s="14"/>
      <c r="E2574" s="14"/>
      <c r="F2574" s="14"/>
      <c r="T2574"/>
      <c r="AK2574" s="12"/>
      <c r="AL2574" s="1"/>
      <c r="AM2574" s="1"/>
      <c r="AN2574" s="1"/>
      <c r="AO2574" s="2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  <c r="BD2574" s="1"/>
      <c r="BE2574" s="1"/>
      <c r="BF2574" s="1"/>
    </row>
    <row r="2575" spans="1:58" x14ac:dyDescent="0.25">
      <c r="A2575" s="14"/>
      <c r="B2575" s="14"/>
      <c r="C2575" s="14"/>
      <c r="D2575" s="14"/>
      <c r="E2575" s="14"/>
      <c r="F2575" s="14"/>
      <c r="T2575"/>
      <c r="AK2575" s="12"/>
      <c r="AL2575" s="1"/>
      <c r="AM2575" s="1"/>
      <c r="AN2575" s="1"/>
      <c r="AO2575" s="2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/>
    </row>
    <row r="2576" spans="1:58" x14ac:dyDescent="0.25">
      <c r="A2576" s="14"/>
      <c r="B2576" s="14"/>
      <c r="C2576" s="14"/>
      <c r="D2576" s="14"/>
      <c r="E2576" s="14"/>
      <c r="F2576" s="14"/>
      <c r="T2576"/>
      <c r="AK2576" s="12"/>
      <c r="AL2576" s="1"/>
      <c r="AM2576" s="1"/>
      <c r="AN2576" s="1"/>
      <c r="AO2576" s="2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  <c r="BD2576" s="1"/>
      <c r="BE2576" s="1"/>
      <c r="BF2576" s="1"/>
    </row>
    <row r="2577" spans="1:58" x14ac:dyDescent="0.25">
      <c r="A2577" s="14"/>
      <c r="B2577" s="14"/>
      <c r="C2577" s="14"/>
      <c r="D2577" s="14"/>
      <c r="E2577" s="14"/>
      <c r="F2577" s="14"/>
      <c r="T2577"/>
      <c r="AK2577" s="12"/>
      <c r="AL2577" s="1"/>
      <c r="AM2577" s="1"/>
      <c r="AN2577" s="1"/>
      <c r="AO2577" s="2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  <c r="BD2577" s="1"/>
      <c r="BE2577" s="1"/>
      <c r="BF2577" s="1"/>
    </row>
    <row r="2578" spans="1:58" x14ac:dyDescent="0.25">
      <c r="A2578" s="14"/>
      <c r="B2578" s="14"/>
      <c r="C2578" s="14"/>
      <c r="D2578" s="14"/>
      <c r="E2578" s="14"/>
      <c r="F2578" s="14"/>
      <c r="T2578"/>
      <c r="AK2578" s="12"/>
      <c r="AL2578" s="1"/>
      <c r="AM2578" s="1"/>
      <c r="AN2578" s="1"/>
      <c r="AO2578" s="2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  <c r="BD2578" s="1"/>
      <c r="BE2578" s="1"/>
      <c r="BF2578" s="1"/>
    </row>
    <row r="2579" spans="1:58" x14ac:dyDescent="0.25">
      <c r="A2579" s="14"/>
      <c r="B2579" s="14"/>
      <c r="C2579" s="14"/>
      <c r="D2579" s="14"/>
      <c r="E2579" s="14"/>
      <c r="F2579" s="14"/>
      <c r="T2579"/>
      <c r="AK2579" s="12"/>
      <c r="AL2579" s="1"/>
      <c r="AM2579" s="1"/>
      <c r="AN2579" s="1"/>
      <c r="AO2579" s="2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  <c r="BD2579" s="1"/>
      <c r="BE2579" s="1"/>
      <c r="BF2579" s="1"/>
    </row>
    <row r="2580" spans="1:58" x14ac:dyDescent="0.25">
      <c r="A2580" s="14"/>
      <c r="B2580" s="14"/>
      <c r="C2580" s="14"/>
      <c r="D2580" s="14"/>
      <c r="E2580" s="14"/>
      <c r="F2580" s="14"/>
      <c r="T2580"/>
      <c r="AK2580" s="12"/>
      <c r="AL2580" s="1"/>
      <c r="AM2580" s="1"/>
      <c r="AN2580" s="1"/>
      <c r="AO2580" s="2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  <c r="BD2580" s="1"/>
      <c r="BE2580" s="1"/>
      <c r="BF2580" s="1"/>
    </row>
    <row r="2581" spans="1:58" x14ac:dyDescent="0.25">
      <c r="A2581" s="14"/>
      <c r="B2581" s="14"/>
      <c r="C2581" s="14"/>
      <c r="D2581" s="14"/>
      <c r="E2581" s="14"/>
      <c r="F2581" s="14"/>
      <c r="T2581"/>
      <c r="AK2581" s="12"/>
      <c r="AL2581" s="1"/>
      <c r="AM2581" s="1"/>
      <c r="AN2581" s="1"/>
      <c r="AO2581" s="2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</row>
    <row r="2582" spans="1:58" x14ac:dyDescent="0.25">
      <c r="A2582" s="14"/>
      <c r="B2582" s="14"/>
      <c r="C2582" s="14"/>
      <c r="D2582" s="14"/>
      <c r="E2582" s="14"/>
      <c r="F2582" s="14"/>
      <c r="T2582"/>
      <c r="AK2582" s="12"/>
      <c r="AL2582" s="1"/>
      <c r="AM2582" s="1"/>
      <c r="AN2582" s="1"/>
      <c r="AO2582" s="2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  <c r="BD2582" s="1"/>
      <c r="BE2582" s="1"/>
      <c r="BF2582" s="1"/>
    </row>
    <row r="2583" spans="1:58" x14ac:dyDescent="0.25">
      <c r="A2583" s="14"/>
      <c r="B2583" s="14"/>
      <c r="C2583" s="14"/>
      <c r="D2583" s="14"/>
      <c r="E2583" s="14"/>
      <c r="F2583" s="14"/>
      <c r="T2583"/>
      <c r="AK2583" s="12"/>
      <c r="AL2583" s="1"/>
      <c r="AM2583" s="1"/>
      <c r="AN2583" s="1"/>
      <c r="AO2583" s="2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</row>
    <row r="2584" spans="1:58" x14ac:dyDescent="0.25">
      <c r="A2584" s="14"/>
      <c r="B2584" s="14"/>
      <c r="C2584" s="14"/>
      <c r="D2584" s="14"/>
      <c r="E2584" s="14"/>
      <c r="F2584" s="14"/>
      <c r="T2584"/>
      <c r="AK2584" s="12"/>
      <c r="AL2584" s="1"/>
      <c r="AM2584" s="1"/>
      <c r="AN2584" s="1"/>
      <c r="AO2584" s="2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  <c r="BD2584" s="1"/>
      <c r="BE2584" s="1"/>
      <c r="BF2584" s="1"/>
    </row>
    <row r="2585" spans="1:58" x14ac:dyDescent="0.25">
      <c r="A2585" s="14"/>
      <c r="B2585" s="14"/>
      <c r="C2585" s="14"/>
      <c r="D2585" s="14"/>
      <c r="E2585" s="14"/>
      <c r="F2585" s="14"/>
      <c r="T2585"/>
      <c r="AK2585" s="12"/>
      <c r="AL2585" s="1"/>
      <c r="AM2585" s="1"/>
      <c r="AN2585" s="1"/>
      <c r="AO2585" s="2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</row>
    <row r="2586" spans="1:58" x14ac:dyDescent="0.25">
      <c r="A2586" s="14"/>
      <c r="B2586" s="14"/>
      <c r="C2586" s="14"/>
      <c r="D2586" s="14"/>
      <c r="E2586" s="14"/>
      <c r="F2586" s="14"/>
      <c r="T2586"/>
      <c r="AK2586" s="12"/>
      <c r="AL2586" s="1"/>
      <c r="AM2586" s="1"/>
      <c r="AN2586" s="1"/>
      <c r="AO2586" s="2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  <c r="BD2586" s="1"/>
      <c r="BE2586" s="1"/>
      <c r="BF2586" s="1"/>
    </row>
    <row r="2587" spans="1:58" x14ac:dyDescent="0.25">
      <c r="A2587" s="14"/>
      <c r="B2587" s="14"/>
      <c r="C2587" s="14"/>
      <c r="D2587" s="14"/>
      <c r="E2587" s="14"/>
      <c r="F2587" s="14"/>
      <c r="T2587"/>
      <c r="AK2587" s="12"/>
      <c r="AL2587" s="1"/>
      <c r="AM2587" s="1"/>
      <c r="AN2587" s="1"/>
      <c r="AO2587" s="2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  <c r="BD2587" s="1"/>
      <c r="BE2587" s="1"/>
      <c r="BF2587" s="1"/>
    </row>
    <row r="2588" spans="1:58" x14ac:dyDescent="0.25">
      <c r="A2588" s="14"/>
      <c r="B2588" s="14"/>
      <c r="C2588" s="14"/>
      <c r="D2588" s="14"/>
      <c r="E2588" s="14"/>
      <c r="F2588" s="14"/>
      <c r="T2588"/>
      <c r="AK2588" s="12"/>
      <c r="AL2588" s="1"/>
      <c r="AM2588" s="1"/>
      <c r="AN2588" s="1"/>
      <c r="AO2588" s="2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  <c r="BD2588" s="1"/>
      <c r="BE2588" s="1"/>
      <c r="BF2588" s="1"/>
    </row>
    <row r="2589" spans="1:58" x14ac:dyDescent="0.25">
      <c r="A2589" s="14"/>
      <c r="B2589" s="14"/>
      <c r="C2589" s="14"/>
      <c r="D2589" s="14"/>
      <c r="E2589" s="14"/>
      <c r="F2589" s="14"/>
      <c r="T2589"/>
      <c r="AK2589" s="12"/>
      <c r="AL2589" s="1"/>
      <c r="AM2589" s="1"/>
      <c r="AN2589" s="1"/>
      <c r="AO2589" s="2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  <c r="BD2589" s="1"/>
      <c r="BE2589" s="1"/>
      <c r="BF2589" s="1"/>
    </row>
    <row r="2590" spans="1:58" x14ac:dyDescent="0.25">
      <c r="A2590" s="14"/>
      <c r="B2590" s="14"/>
      <c r="C2590" s="14"/>
      <c r="D2590" s="14"/>
      <c r="E2590" s="14"/>
      <c r="F2590" s="14"/>
      <c r="T2590"/>
      <c r="AK2590" s="12"/>
      <c r="AL2590" s="1"/>
      <c r="AM2590" s="1"/>
      <c r="AN2590" s="1"/>
      <c r="AO2590" s="2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  <c r="BD2590" s="1"/>
      <c r="BE2590" s="1"/>
      <c r="BF2590" s="1"/>
    </row>
    <row r="2591" spans="1:58" x14ac:dyDescent="0.25">
      <c r="A2591" s="14"/>
      <c r="B2591" s="14"/>
      <c r="C2591" s="14"/>
      <c r="D2591" s="14"/>
      <c r="E2591" s="14"/>
      <c r="F2591" s="14"/>
      <c r="T2591"/>
      <c r="AK2591" s="12"/>
      <c r="AL2591" s="1"/>
      <c r="AM2591" s="1"/>
      <c r="AN2591" s="1"/>
      <c r="AO2591" s="2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</row>
    <row r="2592" spans="1:58" x14ac:dyDescent="0.25">
      <c r="A2592" s="14"/>
      <c r="B2592" s="14"/>
      <c r="C2592" s="14"/>
      <c r="D2592" s="14"/>
      <c r="E2592" s="14"/>
      <c r="F2592" s="14"/>
      <c r="T2592"/>
      <c r="AK2592" s="12"/>
      <c r="AL2592" s="1"/>
      <c r="AM2592" s="1"/>
      <c r="AN2592" s="1"/>
      <c r="AO2592" s="2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</row>
    <row r="2593" spans="1:58" x14ac:dyDescent="0.25">
      <c r="A2593" s="14"/>
      <c r="B2593" s="14"/>
      <c r="C2593" s="14"/>
      <c r="D2593" s="14"/>
      <c r="E2593" s="14"/>
      <c r="F2593" s="14"/>
      <c r="T2593"/>
      <c r="AK2593" s="12"/>
      <c r="AL2593" s="1"/>
      <c r="AM2593" s="1"/>
      <c r="AN2593" s="1"/>
      <c r="AO2593" s="2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/>
    </row>
    <row r="2594" spans="1:58" x14ac:dyDescent="0.25">
      <c r="A2594" s="14"/>
      <c r="B2594" s="14"/>
      <c r="C2594" s="14"/>
      <c r="D2594" s="14"/>
      <c r="E2594" s="14"/>
      <c r="F2594" s="14"/>
      <c r="T2594"/>
      <c r="AK2594" s="12"/>
      <c r="AL2594" s="1"/>
      <c r="AM2594" s="1"/>
      <c r="AN2594" s="1"/>
      <c r="AO2594" s="2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</row>
    <row r="2595" spans="1:58" x14ac:dyDescent="0.25">
      <c r="A2595" s="14"/>
      <c r="B2595" s="14"/>
      <c r="C2595" s="14"/>
      <c r="D2595" s="14"/>
      <c r="E2595" s="14"/>
      <c r="F2595" s="14"/>
      <c r="T2595"/>
      <c r="AK2595" s="12"/>
      <c r="AL2595" s="1"/>
      <c r="AM2595" s="1"/>
      <c r="AN2595" s="1"/>
      <c r="AO2595" s="2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</row>
    <row r="2596" spans="1:58" x14ac:dyDescent="0.25">
      <c r="A2596" s="14"/>
      <c r="B2596" s="14"/>
      <c r="C2596" s="14"/>
      <c r="D2596" s="14"/>
      <c r="E2596" s="14"/>
      <c r="F2596" s="14"/>
      <c r="T2596"/>
      <c r="AK2596" s="12"/>
      <c r="AL2596" s="1"/>
      <c r="AM2596" s="1"/>
      <c r="AN2596" s="1"/>
      <c r="AO2596" s="2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  <c r="BD2596" s="1"/>
      <c r="BE2596" s="1"/>
      <c r="BF2596" s="1"/>
    </row>
    <row r="2597" spans="1:58" x14ac:dyDescent="0.25">
      <c r="A2597" s="14"/>
      <c r="B2597" s="14"/>
      <c r="C2597" s="14"/>
      <c r="D2597" s="14"/>
      <c r="E2597" s="14"/>
      <c r="F2597" s="14"/>
      <c r="T2597"/>
      <c r="AK2597" s="12"/>
      <c r="AL2597" s="1"/>
      <c r="AM2597" s="1"/>
      <c r="AN2597" s="1"/>
      <c r="AO2597" s="2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</row>
    <row r="2598" spans="1:58" x14ac:dyDescent="0.25">
      <c r="A2598" s="14"/>
      <c r="B2598" s="14"/>
      <c r="C2598" s="14"/>
      <c r="D2598" s="14"/>
      <c r="E2598" s="14"/>
      <c r="F2598" s="14"/>
      <c r="T2598"/>
      <c r="AK2598" s="12"/>
      <c r="AL2598" s="1"/>
      <c r="AM2598" s="1"/>
      <c r="AN2598" s="1"/>
      <c r="AO2598" s="2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1"/>
      <c r="BE2598" s="1"/>
      <c r="BF2598" s="1"/>
    </row>
    <row r="2599" spans="1:58" x14ac:dyDescent="0.25">
      <c r="A2599" s="14"/>
      <c r="B2599" s="14"/>
      <c r="C2599" s="14"/>
      <c r="D2599" s="14"/>
      <c r="E2599" s="14"/>
      <c r="F2599" s="14"/>
      <c r="T2599"/>
      <c r="AK2599" s="12"/>
      <c r="AL2599" s="1"/>
      <c r="AM2599" s="1"/>
      <c r="AN2599" s="1"/>
      <c r="AO2599" s="2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  <c r="BD2599" s="1"/>
      <c r="BE2599" s="1"/>
      <c r="BF2599" s="1"/>
    </row>
    <row r="2600" spans="1:58" x14ac:dyDescent="0.25">
      <c r="A2600" s="14"/>
      <c r="B2600" s="14"/>
      <c r="C2600" s="14"/>
      <c r="D2600" s="14"/>
      <c r="E2600" s="14"/>
      <c r="F2600" s="14"/>
      <c r="T2600"/>
      <c r="AK2600" s="12"/>
      <c r="AL2600" s="1"/>
      <c r="AM2600" s="1"/>
      <c r="AN2600" s="1"/>
      <c r="AO2600" s="2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  <c r="BD2600" s="1"/>
      <c r="BE2600" s="1"/>
      <c r="BF2600" s="1"/>
    </row>
    <row r="2601" spans="1:58" x14ac:dyDescent="0.25">
      <c r="A2601" s="14"/>
      <c r="B2601" s="14"/>
      <c r="C2601" s="14"/>
      <c r="D2601" s="14"/>
      <c r="E2601" s="14"/>
      <c r="F2601" s="14"/>
      <c r="T2601"/>
      <c r="AK2601" s="12"/>
      <c r="AL2601" s="1"/>
      <c r="AM2601" s="1"/>
      <c r="AN2601" s="1"/>
      <c r="AO2601" s="2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1"/>
      <c r="BE2601" s="1"/>
      <c r="BF2601" s="1"/>
    </row>
    <row r="2602" spans="1:58" x14ac:dyDescent="0.25">
      <c r="A2602" s="14"/>
      <c r="B2602" s="14"/>
      <c r="C2602" s="14"/>
      <c r="D2602" s="14"/>
      <c r="E2602" s="14"/>
      <c r="F2602" s="14"/>
      <c r="T2602"/>
      <c r="AK2602" s="12"/>
      <c r="AL2602" s="1"/>
      <c r="AM2602" s="1"/>
      <c r="AN2602" s="1"/>
      <c r="AO2602" s="2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  <c r="BD2602" s="1"/>
      <c r="BE2602" s="1"/>
      <c r="BF2602" s="1"/>
    </row>
    <row r="2603" spans="1:58" x14ac:dyDescent="0.25">
      <c r="A2603" s="14"/>
      <c r="B2603" s="14"/>
      <c r="C2603" s="14"/>
      <c r="D2603" s="14"/>
      <c r="E2603" s="14"/>
      <c r="F2603" s="14"/>
      <c r="T2603"/>
      <c r="AK2603" s="12"/>
      <c r="AL2603" s="1"/>
      <c r="AM2603" s="1"/>
      <c r="AN2603" s="1"/>
      <c r="AO2603" s="2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</row>
    <row r="2604" spans="1:58" x14ac:dyDescent="0.25">
      <c r="A2604" s="14"/>
      <c r="B2604" s="14"/>
      <c r="C2604" s="14"/>
      <c r="D2604" s="14"/>
      <c r="E2604" s="14"/>
      <c r="F2604" s="14"/>
      <c r="T2604"/>
      <c r="AK2604" s="12"/>
      <c r="AL2604" s="1"/>
      <c r="AM2604" s="1"/>
      <c r="AN2604" s="1"/>
      <c r="AO2604" s="2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  <c r="BD2604" s="1"/>
      <c r="BE2604" s="1"/>
      <c r="BF2604" s="1"/>
    </row>
    <row r="2605" spans="1:58" x14ac:dyDescent="0.25">
      <c r="A2605" s="14"/>
      <c r="B2605" s="14"/>
      <c r="C2605" s="14"/>
      <c r="D2605" s="14"/>
      <c r="E2605" s="14"/>
      <c r="F2605" s="14"/>
      <c r="T2605"/>
      <c r="AK2605" s="12"/>
      <c r="AL2605" s="1"/>
      <c r="AM2605" s="1"/>
      <c r="AN2605" s="1"/>
      <c r="AO2605" s="2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</row>
    <row r="2606" spans="1:58" x14ac:dyDescent="0.25">
      <c r="A2606" s="14"/>
      <c r="B2606" s="14"/>
      <c r="C2606" s="14"/>
      <c r="D2606" s="14"/>
      <c r="E2606" s="14"/>
      <c r="F2606" s="14"/>
      <c r="T2606"/>
      <c r="AK2606" s="12"/>
      <c r="AL2606" s="1"/>
      <c r="AM2606" s="1"/>
      <c r="AN2606" s="1"/>
      <c r="AO2606" s="2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</row>
    <row r="2607" spans="1:58" x14ac:dyDescent="0.25">
      <c r="A2607" s="14"/>
      <c r="B2607" s="14"/>
      <c r="C2607" s="14"/>
      <c r="D2607" s="14"/>
      <c r="E2607" s="14"/>
      <c r="F2607" s="14"/>
      <c r="T2607"/>
      <c r="AK2607" s="12"/>
      <c r="AL2607" s="1"/>
      <c r="AM2607" s="1"/>
      <c r="AN2607" s="1"/>
      <c r="AO2607" s="2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</row>
    <row r="2608" spans="1:58" x14ac:dyDescent="0.25">
      <c r="A2608" s="14"/>
      <c r="B2608" s="14"/>
      <c r="C2608" s="14"/>
      <c r="D2608" s="14"/>
      <c r="E2608" s="14"/>
      <c r="F2608" s="14"/>
      <c r="T2608"/>
      <c r="AK2608" s="12"/>
      <c r="AL2608" s="1"/>
      <c r="AM2608" s="1"/>
      <c r="AN2608" s="1"/>
      <c r="AO2608" s="2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  <c r="BD2608" s="1"/>
      <c r="BE2608" s="1"/>
      <c r="BF2608" s="1"/>
    </row>
    <row r="2609" spans="1:58" x14ac:dyDescent="0.25">
      <c r="A2609" s="14"/>
      <c r="B2609" s="14"/>
      <c r="C2609" s="14"/>
      <c r="D2609" s="14"/>
      <c r="E2609" s="14"/>
      <c r="F2609" s="14"/>
      <c r="T2609"/>
      <c r="AK2609" s="12"/>
      <c r="AL2609" s="1"/>
      <c r="AM2609" s="1"/>
      <c r="AN2609" s="1"/>
      <c r="AO2609" s="2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  <c r="BD2609" s="1"/>
      <c r="BE2609" s="1"/>
      <c r="BF2609" s="1"/>
    </row>
    <row r="2610" spans="1:58" x14ac:dyDescent="0.25">
      <c r="A2610" s="14"/>
      <c r="B2610" s="14"/>
      <c r="C2610" s="14"/>
      <c r="D2610" s="14"/>
      <c r="E2610" s="14"/>
      <c r="F2610" s="14"/>
      <c r="T2610"/>
      <c r="AK2610" s="12"/>
      <c r="AL2610" s="1"/>
      <c r="AM2610" s="1"/>
      <c r="AN2610" s="1"/>
      <c r="AO2610" s="2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</row>
    <row r="2611" spans="1:58" x14ac:dyDescent="0.25">
      <c r="A2611" s="14"/>
      <c r="B2611" s="14"/>
      <c r="C2611" s="14"/>
      <c r="D2611" s="14"/>
      <c r="E2611" s="14"/>
      <c r="F2611" s="14"/>
      <c r="T2611"/>
      <c r="AK2611" s="12"/>
      <c r="AL2611" s="1"/>
      <c r="AM2611" s="1"/>
      <c r="AN2611" s="1"/>
      <c r="AO2611" s="2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</row>
    <row r="2612" spans="1:58" x14ac:dyDescent="0.25">
      <c r="A2612" s="14"/>
      <c r="B2612" s="14"/>
      <c r="C2612" s="14"/>
      <c r="D2612" s="14"/>
      <c r="E2612" s="14"/>
      <c r="F2612" s="14"/>
      <c r="T2612"/>
      <c r="AK2612" s="12"/>
      <c r="AL2612" s="1"/>
      <c r="AM2612" s="1"/>
      <c r="AN2612" s="1"/>
      <c r="AO2612" s="2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  <c r="BD2612" s="1"/>
      <c r="BE2612" s="1"/>
      <c r="BF2612" s="1"/>
    </row>
    <row r="2613" spans="1:58" x14ac:dyDescent="0.25">
      <c r="A2613" s="14"/>
      <c r="B2613" s="14"/>
      <c r="C2613" s="14"/>
      <c r="D2613" s="14"/>
      <c r="E2613" s="14"/>
      <c r="F2613" s="14"/>
      <c r="T2613"/>
      <c r="AK2613" s="12"/>
      <c r="AL2613" s="1"/>
      <c r="AM2613" s="1"/>
      <c r="AN2613" s="1"/>
      <c r="AO2613" s="2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/>
    </row>
    <row r="2614" spans="1:58" x14ac:dyDescent="0.25">
      <c r="A2614" s="14"/>
      <c r="B2614" s="14"/>
      <c r="C2614" s="14"/>
      <c r="D2614" s="14"/>
      <c r="E2614" s="14"/>
      <c r="F2614" s="14"/>
      <c r="T2614"/>
      <c r="AK2614" s="12"/>
      <c r="AL2614" s="1"/>
      <c r="AM2614" s="1"/>
      <c r="AN2614" s="1"/>
      <c r="AO2614" s="2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  <c r="BD2614" s="1"/>
      <c r="BE2614" s="1"/>
      <c r="BF2614" s="1"/>
    </row>
    <row r="2615" spans="1:58" x14ac:dyDescent="0.25">
      <c r="A2615" s="14"/>
      <c r="B2615" s="14"/>
      <c r="C2615" s="14"/>
      <c r="D2615" s="14"/>
      <c r="E2615" s="14"/>
      <c r="F2615" s="14"/>
      <c r="T2615"/>
      <c r="AK2615" s="12"/>
      <c r="AL2615" s="1"/>
      <c r="AM2615" s="1"/>
      <c r="AN2615" s="1"/>
      <c r="AO2615" s="2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</row>
    <row r="2616" spans="1:58" x14ac:dyDescent="0.25">
      <c r="A2616" s="14"/>
      <c r="B2616" s="14"/>
      <c r="C2616" s="14"/>
      <c r="D2616" s="14"/>
      <c r="E2616" s="14"/>
      <c r="F2616" s="14"/>
      <c r="T2616"/>
      <c r="AK2616" s="12"/>
      <c r="AL2616" s="1"/>
      <c r="AM2616" s="1"/>
      <c r="AN2616" s="1"/>
      <c r="AO2616" s="2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  <c r="BD2616" s="1"/>
      <c r="BE2616" s="1"/>
      <c r="BF2616" s="1"/>
    </row>
    <row r="2617" spans="1:58" x14ac:dyDescent="0.25">
      <c r="A2617" s="14"/>
      <c r="B2617" s="14"/>
      <c r="C2617" s="14"/>
      <c r="D2617" s="14"/>
      <c r="E2617" s="14"/>
      <c r="F2617" s="14"/>
      <c r="T2617"/>
      <c r="AK2617" s="12"/>
      <c r="AL2617" s="1"/>
      <c r="AM2617" s="1"/>
      <c r="AN2617" s="1"/>
      <c r="AO2617" s="2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1"/>
      <c r="BE2617" s="1"/>
      <c r="BF2617" s="1"/>
    </row>
    <row r="2618" spans="1:58" x14ac:dyDescent="0.25">
      <c r="A2618" s="14"/>
      <c r="B2618" s="14"/>
      <c r="C2618" s="14"/>
      <c r="D2618" s="14"/>
      <c r="E2618" s="14"/>
      <c r="F2618" s="14"/>
      <c r="T2618"/>
      <c r="AK2618" s="12"/>
      <c r="AL2618" s="1"/>
      <c r="AM2618" s="1"/>
      <c r="AN2618" s="1"/>
      <c r="AO2618" s="2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  <c r="BD2618" s="1"/>
      <c r="BE2618" s="1"/>
      <c r="BF2618" s="1"/>
    </row>
    <row r="2619" spans="1:58" x14ac:dyDescent="0.25">
      <c r="A2619" s="14"/>
      <c r="B2619" s="14"/>
      <c r="C2619" s="14"/>
      <c r="D2619" s="14"/>
      <c r="E2619" s="14"/>
      <c r="F2619" s="14"/>
      <c r="T2619"/>
      <c r="AK2619" s="12"/>
      <c r="AL2619" s="1"/>
      <c r="AM2619" s="1"/>
      <c r="AN2619" s="1"/>
      <c r="AO2619" s="2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1"/>
      <c r="BE2619" s="1"/>
      <c r="BF2619" s="1"/>
    </row>
    <row r="2620" spans="1:58" x14ac:dyDescent="0.25">
      <c r="A2620" s="14"/>
      <c r="B2620" s="14"/>
      <c r="C2620" s="14"/>
      <c r="D2620" s="14"/>
      <c r="E2620" s="14"/>
      <c r="F2620" s="14"/>
      <c r="T2620"/>
      <c r="AK2620" s="12"/>
      <c r="AL2620" s="1"/>
      <c r="AM2620" s="1"/>
      <c r="AN2620" s="1"/>
      <c r="AO2620" s="2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</row>
    <row r="2621" spans="1:58" x14ac:dyDescent="0.25">
      <c r="A2621" s="14"/>
      <c r="B2621" s="14"/>
      <c r="C2621" s="14"/>
      <c r="D2621" s="14"/>
      <c r="E2621" s="14"/>
      <c r="F2621" s="14"/>
      <c r="T2621"/>
      <c r="AK2621" s="12"/>
      <c r="AL2621" s="1"/>
      <c r="AM2621" s="1"/>
      <c r="AN2621" s="1"/>
      <c r="AO2621" s="2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  <c r="BD2621" s="1"/>
      <c r="BE2621" s="1"/>
      <c r="BF2621" s="1"/>
    </row>
    <row r="2622" spans="1:58" x14ac:dyDescent="0.25">
      <c r="A2622" s="14"/>
      <c r="B2622" s="14"/>
      <c r="C2622" s="14"/>
      <c r="D2622" s="14"/>
      <c r="E2622" s="14"/>
      <c r="F2622" s="14"/>
      <c r="T2622"/>
      <c r="AK2622" s="12"/>
      <c r="AL2622" s="1"/>
      <c r="AM2622" s="1"/>
      <c r="AN2622" s="1"/>
      <c r="AO2622" s="2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  <c r="BD2622" s="1"/>
      <c r="BE2622" s="1"/>
      <c r="BF2622" s="1"/>
    </row>
    <row r="2623" spans="1:58" x14ac:dyDescent="0.25">
      <c r="A2623" s="14"/>
      <c r="B2623" s="14"/>
      <c r="C2623" s="14"/>
      <c r="D2623" s="14"/>
      <c r="E2623" s="14"/>
      <c r="F2623" s="14"/>
      <c r="T2623"/>
      <c r="AK2623" s="12"/>
      <c r="AL2623" s="1"/>
      <c r="AM2623" s="1"/>
      <c r="AN2623" s="1"/>
      <c r="AO2623" s="2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1"/>
      <c r="BE2623" s="1"/>
      <c r="BF2623" s="1"/>
    </row>
    <row r="2624" spans="1:58" x14ac:dyDescent="0.25">
      <c r="A2624" s="14"/>
      <c r="B2624" s="14"/>
      <c r="C2624" s="14"/>
      <c r="D2624" s="14"/>
      <c r="E2624" s="14"/>
      <c r="F2624" s="14"/>
      <c r="T2624"/>
      <c r="AK2624" s="12"/>
      <c r="AL2624" s="1"/>
      <c r="AM2624" s="1"/>
      <c r="AN2624" s="1"/>
      <c r="AO2624" s="2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  <c r="BD2624" s="1"/>
      <c r="BE2624" s="1"/>
      <c r="BF2624" s="1"/>
    </row>
    <row r="2625" spans="1:58" x14ac:dyDescent="0.25">
      <c r="A2625" s="14"/>
      <c r="B2625" s="14"/>
      <c r="C2625" s="14"/>
      <c r="D2625" s="14"/>
      <c r="E2625" s="14"/>
      <c r="F2625" s="14"/>
      <c r="T2625"/>
      <c r="AK2625" s="12"/>
      <c r="AL2625" s="1"/>
      <c r="AM2625" s="1"/>
      <c r="AN2625" s="1"/>
      <c r="AO2625" s="2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1"/>
      <c r="BE2625" s="1"/>
      <c r="BF2625" s="1"/>
    </row>
    <row r="2626" spans="1:58" x14ac:dyDescent="0.25">
      <c r="A2626" s="14"/>
      <c r="B2626" s="14"/>
      <c r="C2626" s="14"/>
      <c r="D2626" s="14"/>
      <c r="E2626" s="14"/>
      <c r="F2626" s="14"/>
      <c r="T2626"/>
      <c r="AK2626" s="12"/>
      <c r="AL2626" s="1"/>
      <c r="AM2626" s="1"/>
      <c r="AN2626" s="1"/>
      <c r="AO2626" s="2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  <c r="BD2626" s="1"/>
      <c r="BE2626" s="1"/>
      <c r="BF2626" s="1"/>
    </row>
    <row r="2627" spans="1:58" x14ac:dyDescent="0.25">
      <c r="A2627" s="14"/>
      <c r="B2627" s="14"/>
      <c r="C2627" s="14"/>
      <c r="D2627" s="14"/>
      <c r="E2627" s="14"/>
      <c r="F2627" s="14"/>
      <c r="T2627"/>
      <c r="AK2627" s="12"/>
      <c r="AL2627" s="1"/>
      <c r="AM2627" s="1"/>
      <c r="AN2627" s="1"/>
      <c r="AO2627" s="2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</row>
    <row r="2628" spans="1:58" x14ac:dyDescent="0.25">
      <c r="A2628" s="14"/>
      <c r="B2628" s="14"/>
      <c r="C2628" s="14"/>
      <c r="D2628" s="14"/>
      <c r="E2628" s="14"/>
      <c r="F2628" s="14"/>
      <c r="T2628"/>
      <c r="AK2628" s="12"/>
      <c r="AL2628" s="1"/>
      <c r="AM2628" s="1"/>
      <c r="AN2628" s="1"/>
      <c r="AO2628" s="2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  <c r="BD2628" s="1"/>
      <c r="BE2628" s="1"/>
      <c r="BF2628" s="1"/>
    </row>
    <row r="2629" spans="1:58" x14ac:dyDescent="0.25">
      <c r="A2629" s="14"/>
      <c r="B2629" s="14"/>
      <c r="C2629" s="14"/>
      <c r="D2629" s="14"/>
      <c r="E2629" s="14"/>
      <c r="F2629" s="14"/>
      <c r="T2629"/>
      <c r="AK2629" s="12"/>
      <c r="AL2629" s="1"/>
      <c r="AM2629" s="1"/>
      <c r="AN2629" s="1"/>
      <c r="AO2629" s="2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1"/>
      <c r="BE2629" s="1"/>
      <c r="BF2629" s="1"/>
    </row>
    <row r="2630" spans="1:58" x14ac:dyDescent="0.25">
      <c r="A2630" s="14"/>
      <c r="B2630" s="14"/>
      <c r="C2630" s="14"/>
      <c r="D2630" s="14"/>
      <c r="E2630" s="14"/>
      <c r="F2630" s="14"/>
      <c r="T2630"/>
      <c r="AK2630" s="12"/>
      <c r="AL2630" s="1"/>
      <c r="AM2630" s="1"/>
      <c r="AN2630" s="1"/>
      <c r="AO2630" s="2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  <c r="BD2630" s="1"/>
      <c r="BE2630" s="1"/>
      <c r="BF2630" s="1"/>
    </row>
    <row r="2631" spans="1:58" x14ac:dyDescent="0.25">
      <c r="A2631" s="14"/>
      <c r="B2631" s="14"/>
      <c r="C2631" s="14"/>
      <c r="D2631" s="14"/>
      <c r="E2631" s="14"/>
      <c r="F2631" s="14"/>
      <c r="T2631"/>
      <c r="AK2631" s="12"/>
      <c r="AL2631" s="1"/>
      <c r="AM2631" s="1"/>
      <c r="AN2631" s="1"/>
      <c r="AO2631" s="2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1"/>
      <c r="BE2631" s="1"/>
      <c r="BF2631" s="1"/>
    </row>
    <row r="2632" spans="1:58" x14ac:dyDescent="0.25">
      <c r="A2632" s="14"/>
      <c r="B2632" s="14"/>
      <c r="C2632" s="14"/>
      <c r="D2632" s="14"/>
      <c r="E2632" s="14"/>
      <c r="F2632" s="14"/>
      <c r="T2632"/>
      <c r="AK2632" s="12"/>
      <c r="AL2632" s="1"/>
      <c r="AM2632" s="1"/>
      <c r="AN2632" s="1"/>
      <c r="AO2632" s="2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  <c r="BD2632" s="1"/>
      <c r="BE2632" s="1"/>
      <c r="BF2632" s="1"/>
    </row>
    <row r="2633" spans="1:58" x14ac:dyDescent="0.25">
      <c r="A2633" s="14"/>
      <c r="B2633" s="14"/>
      <c r="C2633" s="14"/>
      <c r="D2633" s="14"/>
      <c r="E2633" s="14"/>
      <c r="F2633" s="14"/>
      <c r="T2633"/>
      <c r="AK2633" s="12"/>
      <c r="AL2633" s="1"/>
      <c r="AM2633" s="1"/>
      <c r="AN2633" s="1"/>
      <c r="AO2633" s="2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  <c r="BD2633" s="1"/>
      <c r="BE2633" s="1"/>
      <c r="BF2633" s="1"/>
    </row>
    <row r="2634" spans="1:58" x14ac:dyDescent="0.25">
      <c r="A2634" s="14"/>
      <c r="B2634" s="14"/>
      <c r="C2634" s="14"/>
      <c r="D2634" s="14"/>
      <c r="E2634" s="14"/>
      <c r="F2634" s="14"/>
      <c r="T2634"/>
      <c r="AK2634" s="12"/>
      <c r="AL2634" s="1"/>
      <c r="AM2634" s="1"/>
      <c r="AN2634" s="1"/>
      <c r="AO2634" s="2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  <c r="BD2634" s="1"/>
      <c r="BE2634" s="1"/>
      <c r="BF2634" s="1"/>
    </row>
    <row r="2635" spans="1:58" x14ac:dyDescent="0.25">
      <c r="A2635" s="14"/>
      <c r="B2635" s="14"/>
      <c r="C2635" s="14"/>
      <c r="D2635" s="14"/>
      <c r="E2635" s="14"/>
      <c r="F2635" s="14"/>
      <c r="T2635"/>
      <c r="AK2635" s="12"/>
      <c r="AL2635" s="1"/>
      <c r="AM2635" s="1"/>
      <c r="AN2635" s="1"/>
      <c r="AO2635" s="2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1"/>
      <c r="BF2635" s="1"/>
    </row>
    <row r="2636" spans="1:58" x14ac:dyDescent="0.25">
      <c r="A2636" s="14"/>
      <c r="B2636" s="14"/>
      <c r="C2636" s="14"/>
      <c r="D2636" s="14"/>
      <c r="E2636" s="14"/>
      <c r="F2636" s="14"/>
      <c r="T2636"/>
      <c r="AK2636" s="12"/>
      <c r="AL2636" s="1"/>
      <c r="AM2636" s="1"/>
      <c r="AN2636" s="1"/>
      <c r="AO2636" s="2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  <c r="BD2636" s="1"/>
      <c r="BE2636" s="1"/>
      <c r="BF2636" s="1"/>
    </row>
    <row r="2637" spans="1:58" x14ac:dyDescent="0.25">
      <c r="A2637" s="14"/>
      <c r="B2637" s="14"/>
      <c r="C2637" s="14"/>
      <c r="D2637" s="14"/>
      <c r="E2637" s="14"/>
      <c r="F2637" s="14"/>
      <c r="T2637"/>
      <c r="AK2637" s="12"/>
      <c r="AL2637" s="1"/>
      <c r="AM2637" s="1"/>
      <c r="AN2637" s="1"/>
      <c r="AO2637" s="2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</row>
    <row r="2638" spans="1:58" x14ac:dyDescent="0.25">
      <c r="A2638" s="14"/>
      <c r="B2638" s="14"/>
      <c r="C2638" s="14"/>
      <c r="D2638" s="14"/>
      <c r="E2638" s="14"/>
      <c r="F2638" s="14"/>
      <c r="T2638"/>
      <c r="AK2638" s="12"/>
      <c r="AL2638" s="1"/>
      <c r="AM2638" s="1"/>
      <c r="AN2638" s="1"/>
      <c r="AO2638" s="2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  <c r="BD2638" s="1"/>
      <c r="BE2638" s="1"/>
      <c r="BF2638" s="1"/>
    </row>
    <row r="2639" spans="1:58" x14ac:dyDescent="0.25">
      <c r="A2639" s="14"/>
      <c r="B2639" s="14"/>
      <c r="C2639" s="14"/>
      <c r="D2639" s="14"/>
      <c r="E2639" s="14"/>
      <c r="F2639" s="14"/>
      <c r="T2639"/>
      <c r="AK2639" s="12"/>
      <c r="AL2639" s="1"/>
      <c r="AM2639" s="1"/>
      <c r="AN2639" s="1"/>
      <c r="AO2639" s="2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</row>
    <row r="2640" spans="1:58" x14ac:dyDescent="0.25">
      <c r="A2640" s="14"/>
      <c r="B2640" s="14"/>
      <c r="C2640" s="14"/>
      <c r="D2640" s="14"/>
      <c r="E2640" s="14"/>
      <c r="F2640" s="14"/>
      <c r="T2640"/>
      <c r="AK2640" s="12"/>
      <c r="AL2640" s="1"/>
      <c r="AM2640" s="1"/>
      <c r="AN2640" s="1"/>
      <c r="AO2640" s="2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  <c r="BD2640" s="1"/>
      <c r="BE2640" s="1"/>
      <c r="BF2640" s="1"/>
    </row>
    <row r="2641" spans="1:58" x14ac:dyDescent="0.25">
      <c r="A2641" s="14"/>
      <c r="B2641" s="14"/>
      <c r="C2641" s="14"/>
      <c r="D2641" s="14"/>
      <c r="E2641" s="14"/>
      <c r="F2641" s="14"/>
      <c r="T2641"/>
      <c r="AK2641" s="12"/>
      <c r="AL2641" s="1"/>
      <c r="AM2641" s="1"/>
      <c r="AN2641" s="1"/>
      <c r="AO2641" s="2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1"/>
      <c r="BE2641" s="1"/>
      <c r="BF2641" s="1"/>
    </row>
    <row r="2642" spans="1:58" x14ac:dyDescent="0.25">
      <c r="A2642" s="14"/>
      <c r="B2642" s="14"/>
      <c r="C2642" s="14"/>
      <c r="D2642" s="14"/>
      <c r="E2642" s="14"/>
      <c r="F2642" s="14"/>
      <c r="T2642"/>
      <c r="AK2642" s="12"/>
      <c r="AL2642" s="1"/>
      <c r="AM2642" s="1"/>
      <c r="AN2642" s="1"/>
      <c r="AO2642" s="2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  <c r="BD2642" s="1"/>
      <c r="BE2642" s="1"/>
      <c r="BF2642" s="1"/>
    </row>
    <row r="2643" spans="1:58" x14ac:dyDescent="0.25">
      <c r="A2643" s="14"/>
      <c r="B2643" s="14"/>
      <c r="C2643" s="14"/>
      <c r="D2643" s="14"/>
      <c r="E2643" s="14"/>
      <c r="F2643" s="14"/>
      <c r="T2643"/>
      <c r="AK2643" s="12"/>
      <c r="AL2643" s="1"/>
      <c r="AM2643" s="1"/>
      <c r="AN2643" s="1"/>
      <c r="AO2643" s="2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  <c r="BD2643" s="1"/>
      <c r="BE2643" s="1"/>
      <c r="BF2643" s="1"/>
    </row>
    <row r="2644" spans="1:58" x14ac:dyDescent="0.25">
      <c r="A2644" s="14"/>
      <c r="B2644" s="14"/>
      <c r="C2644" s="14"/>
      <c r="D2644" s="14"/>
      <c r="E2644" s="14"/>
      <c r="F2644" s="14"/>
      <c r="T2644"/>
      <c r="AK2644" s="12"/>
      <c r="AL2644" s="1"/>
      <c r="AM2644" s="1"/>
      <c r="AN2644" s="1"/>
      <c r="AO2644" s="2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  <c r="BD2644" s="1"/>
      <c r="BE2644" s="1"/>
      <c r="BF2644" s="1"/>
    </row>
    <row r="2645" spans="1:58" x14ac:dyDescent="0.25">
      <c r="A2645" s="14"/>
      <c r="B2645" s="14"/>
      <c r="C2645" s="14"/>
      <c r="D2645" s="14"/>
      <c r="E2645" s="14"/>
      <c r="F2645" s="14"/>
      <c r="T2645"/>
      <c r="AK2645" s="12"/>
      <c r="AL2645" s="1"/>
      <c r="AM2645" s="1"/>
      <c r="AN2645" s="1"/>
      <c r="AO2645" s="2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</row>
    <row r="2646" spans="1:58" x14ac:dyDescent="0.25">
      <c r="A2646" s="14"/>
      <c r="B2646" s="14"/>
      <c r="C2646" s="14"/>
      <c r="D2646" s="14"/>
      <c r="E2646" s="14"/>
      <c r="F2646" s="14"/>
      <c r="T2646"/>
      <c r="AK2646" s="12"/>
      <c r="AL2646" s="1"/>
      <c r="AM2646" s="1"/>
      <c r="AN2646" s="1"/>
      <c r="AO2646" s="2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  <c r="BD2646" s="1"/>
      <c r="BE2646" s="1"/>
      <c r="BF2646" s="1"/>
    </row>
    <row r="2647" spans="1:58" x14ac:dyDescent="0.25">
      <c r="A2647" s="14"/>
      <c r="B2647" s="14"/>
      <c r="C2647" s="14"/>
      <c r="D2647" s="14"/>
      <c r="E2647" s="14"/>
      <c r="F2647" s="14"/>
      <c r="T2647"/>
      <c r="AK2647" s="12"/>
      <c r="AL2647" s="1"/>
      <c r="AM2647" s="1"/>
      <c r="AN2647" s="1"/>
      <c r="AO2647" s="2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</row>
    <row r="2648" spans="1:58" x14ac:dyDescent="0.25">
      <c r="A2648" s="14"/>
      <c r="B2648" s="14"/>
      <c r="C2648" s="14"/>
      <c r="D2648" s="14"/>
      <c r="E2648" s="14"/>
      <c r="F2648" s="14"/>
      <c r="T2648"/>
      <c r="AK2648" s="12"/>
      <c r="AL2648" s="1"/>
      <c r="AM2648" s="1"/>
      <c r="AN2648" s="1"/>
      <c r="AO2648" s="2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</row>
    <row r="2649" spans="1:58" x14ac:dyDescent="0.25">
      <c r="A2649" s="14"/>
      <c r="B2649" s="14"/>
      <c r="C2649" s="14"/>
      <c r="D2649" s="14"/>
      <c r="E2649" s="14"/>
      <c r="F2649" s="14"/>
      <c r="T2649"/>
      <c r="AK2649" s="12"/>
      <c r="AL2649" s="1"/>
      <c r="AM2649" s="1"/>
      <c r="AN2649" s="1"/>
      <c r="AO2649" s="2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</row>
    <row r="2650" spans="1:58" x14ac:dyDescent="0.25">
      <c r="A2650" s="14"/>
      <c r="B2650" s="14"/>
      <c r="C2650" s="14"/>
      <c r="D2650" s="14"/>
      <c r="E2650" s="14"/>
      <c r="F2650" s="14"/>
      <c r="T2650"/>
      <c r="AK2650" s="12"/>
      <c r="AL2650" s="1"/>
      <c r="AM2650" s="1"/>
      <c r="AN2650" s="1"/>
      <c r="AO2650" s="2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  <c r="BD2650" s="1"/>
      <c r="BE2650" s="1"/>
      <c r="BF2650" s="1"/>
    </row>
    <row r="2651" spans="1:58" x14ac:dyDescent="0.25">
      <c r="A2651" s="14"/>
      <c r="B2651" s="14"/>
      <c r="C2651" s="14"/>
      <c r="D2651" s="14"/>
      <c r="E2651" s="14"/>
      <c r="F2651" s="14"/>
      <c r="T2651"/>
      <c r="AK2651" s="12"/>
      <c r="AL2651" s="1"/>
      <c r="AM2651" s="1"/>
      <c r="AN2651" s="1"/>
      <c r="AO2651" s="2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</row>
    <row r="2652" spans="1:58" x14ac:dyDescent="0.25">
      <c r="A2652" s="14"/>
      <c r="B2652" s="14"/>
      <c r="C2652" s="14"/>
      <c r="D2652" s="14"/>
      <c r="E2652" s="14"/>
      <c r="F2652" s="14"/>
      <c r="T2652"/>
      <c r="AK2652" s="12"/>
      <c r="AL2652" s="1"/>
      <c r="AM2652" s="1"/>
      <c r="AN2652" s="1"/>
      <c r="AO2652" s="2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  <c r="BD2652" s="1"/>
      <c r="BE2652" s="1"/>
      <c r="BF2652" s="1"/>
    </row>
    <row r="2653" spans="1:58" x14ac:dyDescent="0.25">
      <c r="A2653" s="14"/>
      <c r="B2653" s="14"/>
      <c r="C2653" s="14"/>
      <c r="D2653" s="14"/>
      <c r="E2653" s="14"/>
      <c r="F2653" s="14"/>
      <c r="T2653"/>
      <c r="AK2653" s="12"/>
      <c r="AL2653" s="1"/>
      <c r="AM2653" s="1"/>
      <c r="AN2653" s="1"/>
      <c r="AO2653" s="2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1"/>
      <c r="BE2653" s="1"/>
      <c r="BF2653" s="1"/>
    </row>
    <row r="2654" spans="1:58" x14ac:dyDescent="0.25">
      <c r="A2654" s="14"/>
      <c r="B2654" s="14"/>
      <c r="C2654" s="14"/>
      <c r="D2654" s="14"/>
      <c r="E2654" s="14"/>
      <c r="F2654" s="14"/>
      <c r="T2654"/>
      <c r="AK2654" s="12"/>
      <c r="AL2654" s="1"/>
      <c r="AM2654" s="1"/>
      <c r="AN2654" s="1"/>
      <c r="AO2654" s="2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  <c r="BD2654" s="1"/>
      <c r="BE2654" s="1"/>
      <c r="BF2654" s="1"/>
    </row>
    <row r="2655" spans="1:58" x14ac:dyDescent="0.25">
      <c r="A2655" s="14"/>
      <c r="B2655" s="14"/>
      <c r="C2655" s="14"/>
      <c r="D2655" s="14"/>
      <c r="E2655" s="14"/>
      <c r="F2655" s="14"/>
      <c r="T2655"/>
      <c r="AK2655" s="12"/>
      <c r="AL2655" s="1"/>
      <c r="AM2655" s="1"/>
      <c r="AN2655" s="1"/>
      <c r="AO2655" s="2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1"/>
      <c r="BE2655" s="1"/>
      <c r="BF2655" s="1"/>
    </row>
    <row r="2656" spans="1:58" x14ac:dyDescent="0.25">
      <c r="A2656" s="14"/>
      <c r="B2656" s="14"/>
      <c r="C2656" s="14"/>
      <c r="D2656" s="14"/>
      <c r="E2656" s="14"/>
      <c r="F2656" s="14"/>
      <c r="T2656"/>
      <c r="AK2656" s="12"/>
      <c r="AL2656" s="1"/>
      <c r="AM2656" s="1"/>
      <c r="AN2656" s="1"/>
      <c r="AO2656" s="2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  <c r="BD2656" s="1"/>
      <c r="BE2656" s="1"/>
      <c r="BF2656" s="1"/>
    </row>
    <row r="2657" spans="1:58" x14ac:dyDescent="0.25">
      <c r="A2657" s="14"/>
      <c r="B2657" s="14"/>
      <c r="C2657" s="14"/>
      <c r="D2657" s="14"/>
      <c r="E2657" s="14"/>
      <c r="F2657" s="14"/>
      <c r="T2657"/>
      <c r="AK2657" s="12"/>
      <c r="AL2657" s="1"/>
      <c r="AM2657" s="1"/>
      <c r="AN2657" s="1"/>
      <c r="AO2657" s="2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  <c r="BD2657" s="1"/>
      <c r="BE2657" s="1"/>
      <c r="BF2657" s="1"/>
    </row>
    <row r="2658" spans="1:58" x14ac:dyDescent="0.25">
      <c r="A2658" s="14"/>
      <c r="B2658" s="14"/>
      <c r="C2658" s="14"/>
      <c r="D2658" s="14"/>
      <c r="E2658" s="14"/>
      <c r="F2658" s="14"/>
      <c r="T2658"/>
      <c r="AK2658" s="12"/>
      <c r="AL2658" s="1"/>
      <c r="AM2658" s="1"/>
      <c r="AN2658" s="1"/>
      <c r="AO2658" s="2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  <c r="BD2658" s="1"/>
      <c r="BE2658" s="1"/>
      <c r="BF2658" s="1"/>
    </row>
    <row r="2659" spans="1:58" x14ac:dyDescent="0.25">
      <c r="A2659" s="14"/>
      <c r="B2659" s="14"/>
      <c r="C2659" s="14"/>
      <c r="D2659" s="14"/>
      <c r="E2659" s="14"/>
      <c r="F2659" s="14"/>
      <c r="T2659"/>
      <c r="AK2659" s="12"/>
      <c r="AL2659" s="1"/>
      <c r="AM2659" s="1"/>
      <c r="AN2659" s="1"/>
      <c r="AO2659" s="2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1"/>
      <c r="BE2659" s="1"/>
      <c r="BF2659" s="1"/>
    </row>
    <row r="2660" spans="1:58" x14ac:dyDescent="0.25">
      <c r="A2660" s="14"/>
      <c r="B2660" s="14"/>
      <c r="C2660" s="14"/>
      <c r="D2660" s="14"/>
      <c r="E2660" s="14"/>
      <c r="F2660" s="14"/>
      <c r="T2660"/>
      <c r="AK2660" s="12"/>
      <c r="AL2660" s="1"/>
      <c r="AM2660" s="1"/>
      <c r="AN2660" s="1"/>
      <c r="AO2660" s="2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  <c r="BD2660" s="1"/>
      <c r="BE2660" s="1"/>
      <c r="BF2660" s="1"/>
    </row>
    <row r="2661" spans="1:58" x14ac:dyDescent="0.25">
      <c r="A2661" s="14"/>
      <c r="B2661" s="14"/>
      <c r="C2661" s="14"/>
      <c r="D2661" s="14"/>
      <c r="E2661" s="14"/>
      <c r="F2661" s="14"/>
      <c r="T2661"/>
      <c r="AK2661" s="12"/>
      <c r="AL2661" s="1"/>
      <c r="AM2661" s="1"/>
      <c r="AN2661" s="1"/>
      <c r="AO2661" s="2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1"/>
      <c r="BE2661" s="1"/>
      <c r="BF2661" s="1"/>
    </row>
    <row r="2662" spans="1:58" x14ac:dyDescent="0.25">
      <c r="A2662" s="14"/>
      <c r="B2662" s="14"/>
      <c r="C2662" s="14"/>
      <c r="D2662" s="14"/>
      <c r="E2662" s="14"/>
      <c r="F2662" s="14"/>
      <c r="T2662"/>
      <c r="AK2662" s="12"/>
      <c r="AL2662" s="1"/>
      <c r="AM2662" s="1"/>
      <c r="AN2662" s="1"/>
      <c r="AO2662" s="2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  <c r="BD2662" s="1"/>
      <c r="BE2662" s="1"/>
      <c r="BF2662" s="1"/>
    </row>
    <row r="2663" spans="1:58" x14ac:dyDescent="0.25">
      <c r="A2663" s="14"/>
      <c r="B2663" s="14"/>
      <c r="C2663" s="14"/>
      <c r="D2663" s="14"/>
      <c r="E2663" s="14"/>
      <c r="F2663" s="14"/>
      <c r="T2663"/>
      <c r="AK2663" s="12"/>
      <c r="AL2663" s="1"/>
      <c r="AM2663" s="1"/>
      <c r="AN2663" s="1"/>
      <c r="AO2663" s="2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1"/>
      <c r="BE2663" s="1"/>
      <c r="BF2663" s="1"/>
    </row>
    <row r="2664" spans="1:58" x14ac:dyDescent="0.25">
      <c r="A2664" s="14"/>
      <c r="B2664" s="14"/>
      <c r="C2664" s="14"/>
      <c r="D2664" s="14"/>
      <c r="E2664" s="14"/>
      <c r="F2664" s="14"/>
      <c r="T2664"/>
      <c r="AK2664" s="12"/>
      <c r="AL2664" s="1"/>
      <c r="AM2664" s="1"/>
      <c r="AN2664" s="1"/>
      <c r="AO2664" s="2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  <c r="BD2664" s="1"/>
      <c r="BE2664" s="1"/>
      <c r="BF2664" s="1"/>
    </row>
    <row r="2665" spans="1:58" x14ac:dyDescent="0.25">
      <c r="A2665" s="14"/>
      <c r="B2665" s="14"/>
      <c r="C2665" s="14"/>
      <c r="D2665" s="14"/>
      <c r="E2665" s="14"/>
      <c r="F2665" s="14"/>
      <c r="T2665"/>
      <c r="AK2665" s="12"/>
      <c r="AL2665" s="1"/>
      <c r="AM2665" s="1"/>
      <c r="AN2665" s="1"/>
      <c r="AO2665" s="2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1"/>
      <c r="BE2665" s="1"/>
      <c r="BF2665" s="1"/>
    </row>
    <row r="2666" spans="1:58" x14ac:dyDescent="0.25">
      <c r="A2666" s="14"/>
      <c r="B2666" s="14"/>
      <c r="C2666" s="14"/>
      <c r="D2666" s="14"/>
      <c r="E2666" s="14"/>
      <c r="F2666" s="14"/>
      <c r="T2666"/>
      <c r="AK2666" s="12"/>
      <c r="AL2666" s="1"/>
      <c r="AM2666" s="1"/>
      <c r="AN2666" s="1"/>
      <c r="AO2666" s="2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1"/>
      <c r="BE2666" s="1"/>
      <c r="BF2666" s="1"/>
    </row>
    <row r="2667" spans="1:58" x14ac:dyDescent="0.25">
      <c r="A2667" s="14"/>
      <c r="B2667" s="14"/>
      <c r="C2667" s="14"/>
      <c r="D2667" s="14"/>
      <c r="E2667" s="14"/>
      <c r="F2667" s="14"/>
      <c r="T2667"/>
      <c r="AK2667" s="12"/>
      <c r="AL2667" s="1"/>
      <c r="AM2667" s="1"/>
      <c r="AN2667" s="1"/>
      <c r="AO2667" s="2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  <c r="BD2667" s="1"/>
      <c r="BE2667" s="1"/>
      <c r="BF2667" s="1"/>
    </row>
    <row r="2668" spans="1:58" x14ac:dyDescent="0.25">
      <c r="A2668" s="14"/>
      <c r="B2668" s="14"/>
      <c r="C2668" s="14"/>
      <c r="D2668" s="14"/>
      <c r="E2668" s="14"/>
      <c r="F2668" s="14"/>
      <c r="T2668"/>
      <c r="AK2668" s="12"/>
      <c r="AL2668" s="1"/>
      <c r="AM2668" s="1"/>
      <c r="AN2668" s="1"/>
      <c r="AO2668" s="2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  <c r="BD2668" s="1"/>
      <c r="BE2668" s="1"/>
      <c r="BF2668" s="1"/>
    </row>
    <row r="2669" spans="1:58" x14ac:dyDescent="0.25">
      <c r="A2669" s="14"/>
      <c r="B2669" s="14"/>
      <c r="C2669" s="14"/>
      <c r="D2669" s="14"/>
      <c r="E2669" s="14"/>
      <c r="F2669" s="14"/>
      <c r="T2669"/>
      <c r="AK2669" s="12"/>
      <c r="AL2669" s="1"/>
      <c r="AM2669" s="1"/>
      <c r="AN2669" s="1"/>
      <c r="AO2669" s="2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1"/>
      <c r="BE2669" s="1"/>
      <c r="BF2669" s="1"/>
    </row>
    <row r="2670" spans="1:58" x14ac:dyDescent="0.25">
      <c r="A2670" s="14"/>
      <c r="B2670" s="14"/>
      <c r="C2670" s="14"/>
      <c r="D2670" s="14"/>
      <c r="E2670" s="14"/>
      <c r="F2670" s="14"/>
      <c r="T2670"/>
      <c r="AK2670" s="12"/>
      <c r="AL2670" s="1"/>
      <c r="AM2670" s="1"/>
      <c r="AN2670" s="1"/>
      <c r="AO2670" s="2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  <c r="BD2670" s="1"/>
      <c r="BE2670" s="1"/>
      <c r="BF2670" s="1"/>
    </row>
    <row r="2671" spans="1:58" x14ac:dyDescent="0.25">
      <c r="A2671" s="14"/>
      <c r="B2671" s="14"/>
      <c r="C2671" s="14"/>
      <c r="D2671" s="14"/>
      <c r="E2671" s="14"/>
      <c r="F2671" s="14"/>
      <c r="T2671"/>
      <c r="AK2671" s="12"/>
      <c r="AL2671" s="1"/>
      <c r="AM2671" s="1"/>
      <c r="AN2671" s="1"/>
      <c r="AO2671" s="2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1"/>
      <c r="BE2671" s="1"/>
      <c r="BF2671" s="1"/>
    </row>
    <row r="2672" spans="1:58" x14ac:dyDescent="0.25">
      <c r="A2672" s="14"/>
      <c r="B2672" s="14"/>
      <c r="C2672" s="14"/>
      <c r="D2672" s="14"/>
      <c r="E2672" s="14"/>
      <c r="F2672" s="14"/>
      <c r="T2672"/>
      <c r="AK2672" s="12"/>
      <c r="AL2672" s="1"/>
      <c r="AM2672" s="1"/>
      <c r="AN2672" s="1"/>
      <c r="AO2672" s="2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1"/>
      <c r="BE2672" s="1"/>
      <c r="BF2672" s="1"/>
    </row>
    <row r="2673" spans="1:58" x14ac:dyDescent="0.25">
      <c r="A2673" s="14"/>
      <c r="B2673" s="14"/>
      <c r="C2673" s="14"/>
      <c r="D2673" s="14"/>
      <c r="E2673" s="14"/>
      <c r="F2673" s="14"/>
      <c r="T2673"/>
      <c r="AK2673" s="12"/>
      <c r="AL2673" s="1"/>
      <c r="AM2673" s="1"/>
      <c r="AN2673" s="1"/>
      <c r="AO2673" s="2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1"/>
      <c r="BE2673" s="1"/>
      <c r="BF2673" s="1"/>
    </row>
    <row r="2674" spans="1:58" x14ac:dyDescent="0.25">
      <c r="A2674" s="14"/>
      <c r="B2674" s="14"/>
      <c r="C2674" s="14"/>
      <c r="D2674" s="14"/>
      <c r="E2674" s="14"/>
      <c r="F2674" s="14"/>
      <c r="T2674"/>
      <c r="AK2674" s="12"/>
      <c r="AL2674" s="1"/>
      <c r="AM2674" s="1"/>
      <c r="AN2674" s="1"/>
      <c r="AO2674" s="2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  <c r="BD2674" s="1"/>
      <c r="BE2674" s="1"/>
      <c r="BF2674" s="1"/>
    </row>
    <row r="2675" spans="1:58" x14ac:dyDescent="0.25">
      <c r="A2675" s="14"/>
      <c r="B2675" s="14"/>
      <c r="C2675" s="14"/>
      <c r="D2675" s="14"/>
      <c r="E2675" s="14"/>
      <c r="F2675" s="14"/>
      <c r="T2675"/>
      <c r="AK2675" s="12"/>
      <c r="AL2675" s="1"/>
      <c r="AM2675" s="1"/>
      <c r="AN2675" s="1"/>
      <c r="AO2675" s="2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</row>
    <row r="2676" spans="1:58" x14ac:dyDescent="0.25">
      <c r="A2676" s="14"/>
      <c r="B2676" s="14"/>
      <c r="C2676" s="14"/>
      <c r="D2676" s="14"/>
      <c r="E2676" s="14"/>
      <c r="F2676" s="14"/>
      <c r="T2676"/>
      <c r="AK2676" s="12"/>
      <c r="AL2676" s="1"/>
      <c r="AM2676" s="1"/>
      <c r="AN2676" s="1"/>
      <c r="AO2676" s="2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1"/>
      <c r="BE2676" s="1"/>
      <c r="BF2676" s="1"/>
    </row>
    <row r="2677" spans="1:58" x14ac:dyDescent="0.25">
      <c r="A2677" s="14"/>
      <c r="B2677" s="14"/>
      <c r="C2677" s="14"/>
      <c r="D2677" s="14"/>
      <c r="E2677" s="14"/>
      <c r="F2677" s="14"/>
      <c r="T2677"/>
      <c r="AK2677" s="12"/>
      <c r="AL2677" s="1"/>
      <c r="AM2677" s="1"/>
      <c r="AN2677" s="1"/>
      <c r="AO2677" s="2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1"/>
      <c r="BE2677" s="1"/>
      <c r="BF2677" s="1"/>
    </row>
    <row r="2678" spans="1:58" x14ac:dyDescent="0.25">
      <c r="A2678" s="14"/>
      <c r="B2678" s="14"/>
      <c r="C2678" s="14"/>
      <c r="D2678" s="14"/>
      <c r="E2678" s="14"/>
      <c r="F2678" s="14"/>
      <c r="T2678"/>
      <c r="AK2678" s="12"/>
      <c r="AL2678" s="1"/>
      <c r="AM2678" s="1"/>
      <c r="AN2678" s="1"/>
      <c r="AO2678" s="2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  <c r="BD2678" s="1"/>
      <c r="BE2678" s="1"/>
      <c r="BF2678" s="1"/>
    </row>
    <row r="2679" spans="1:58" x14ac:dyDescent="0.25">
      <c r="A2679" s="14"/>
      <c r="B2679" s="14"/>
      <c r="C2679" s="14"/>
      <c r="D2679" s="14"/>
      <c r="E2679" s="14"/>
      <c r="F2679" s="14"/>
      <c r="T2679"/>
      <c r="AK2679" s="12"/>
      <c r="AL2679" s="1"/>
      <c r="AM2679" s="1"/>
      <c r="AN2679" s="1"/>
      <c r="AO2679" s="2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1"/>
      <c r="BE2679" s="1"/>
      <c r="BF2679" s="1"/>
    </row>
    <row r="2680" spans="1:58" x14ac:dyDescent="0.25">
      <c r="A2680" s="14"/>
      <c r="B2680" s="14"/>
      <c r="C2680" s="14"/>
      <c r="D2680" s="14"/>
      <c r="E2680" s="14"/>
      <c r="F2680" s="14"/>
      <c r="T2680"/>
      <c r="AK2680" s="12"/>
      <c r="AL2680" s="1"/>
      <c r="AM2680" s="1"/>
      <c r="AN2680" s="1"/>
      <c r="AO2680" s="2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  <c r="BD2680" s="1"/>
      <c r="BE2680" s="1"/>
      <c r="BF2680" s="1"/>
    </row>
    <row r="2681" spans="1:58" x14ac:dyDescent="0.25">
      <c r="A2681" s="14"/>
      <c r="B2681" s="14"/>
      <c r="C2681" s="14"/>
      <c r="D2681" s="14"/>
      <c r="E2681" s="14"/>
      <c r="F2681" s="14"/>
      <c r="T2681"/>
      <c r="AK2681" s="12"/>
      <c r="AL2681" s="1"/>
      <c r="AM2681" s="1"/>
      <c r="AN2681" s="1"/>
      <c r="AO2681" s="2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  <c r="BD2681" s="1"/>
      <c r="BE2681" s="1"/>
      <c r="BF2681" s="1"/>
    </row>
    <row r="2682" spans="1:58" x14ac:dyDescent="0.25">
      <c r="A2682" s="14"/>
      <c r="B2682" s="14"/>
      <c r="C2682" s="14"/>
      <c r="D2682" s="14"/>
      <c r="E2682" s="14"/>
      <c r="F2682" s="14"/>
      <c r="T2682"/>
      <c r="AK2682" s="12"/>
      <c r="AL2682" s="1"/>
      <c r="AM2682" s="1"/>
      <c r="AN2682" s="1"/>
      <c r="AO2682" s="2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  <c r="BD2682" s="1"/>
      <c r="BE2682" s="1"/>
      <c r="BF2682" s="1"/>
    </row>
    <row r="2683" spans="1:58" x14ac:dyDescent="0.25">
      <c r="A2683" s="14"/>
      <c r="B2683" s="14"/>
      <c r="C2683" s="14"/>
      <c r="D2683" s="14"/>
      <c r="E2683" s="14"/>
      <c r="F2683" s="14"/>
      <c r="T2683"/>
      <c r="AK2683" s="12"/>
      <c r="AL2683" s="1"/>
      <c r="AM2683" s="1"/>
      <c r="AN2683" s="1"/>
      <c r="AO2683" s="2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  <c r="BD2683" s="1"/>
      <c r="BE2683" s="1"/>
      <c r="BF2683" s="1"/>
    </row>
    <row r="2684" spans="1:58" x14ac:dyDescent="0.25">
      <c r="A2684" s="14"/>
      <c r="B2684" s="14"/>
      <c r="C2684" s="14"/>
      <c r="D2684" s="14"/>
      <c r="E2684" s="14"/>
      <c r="F2684" s="14"/>
      <c r="T2684"/>
      <c r="AK2684" s="12"/>
      <c r="AL2684" s="1"/>
      <c r="AM2684" s="1"/>
      <c r="AN2684" s="1"/>
      <c r="AO2684" s="2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  <c r="BD2684" s="1"/>
      <c r="BE2684" s="1"/>
      <c r="BF2684" s="1"/>
    </row>
    <row r="2685" spans="1:58" x14ac:dyDescent="0.25">
      <c r="A2685" s="14"/>
      <c r="B2685" s="14"/>
      <c r="C2685" s="14"/>
      <c r="D2685" s="14"/>
      <c r="E2685" s="14"/>
      <c r="F2685" s="14"/>
      <c r="T2685"/>
      <c r="AK2685" s="12"/>
      <c r="AL2685" s="1"/>
      <c r="AM2685" s="1"/>
      <c r="AN2685" s="1"/>
      <c r="AO2685" s="2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  <c r="BD2685" s="1"/>
      <c r="BE2685" s="1"/>
      <c r="BF2685" s="1"/>
    </row>
    <row r="2686" spans="1:58" x14ac:dyDescent="0.25">
      <c r="A2686" s="14"/>
      <c r="B2686" s="14"/>
      <c r="C2686" s="14"/>
      <c r="D2686" s="14"/>
      <c r="E2686" s="14"/>
      <c r="F2686" s="14"/>
      <c r="T2686"/>
      <c r="AK2686" s="12"/>
      <c r="AL2686" s="1"/>
      <c r="AM2686" s="1"/>
      <c r="AN2686" s="1"/>
      <c r="AO2686" s="2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  <c r="BD2686" s="1"/>
      <c r="BE2686" s="1"/>
      <c r="BF2686" s="1"/>
    </row>
    <row r="2687" spans="1:58" x14ac:dyDescent="0.25">
      <c r="A2687" s="14"/>
      <c r="B2687" s="14"/>
      <c r="C2687" s="14"/>
      <c r="D2687" s="14"/>
      <c r="E2687" s="14"/>
      <c r="F2687" s="14"/>
      <c r="T2687"/>
      <c r="AK2687" s="12"/>
      <c r="AL2687" s="1"/>
      <c r="AM2687" s="1"/>
      <c r="AN2687" s="1"/>
      <c r="AO2687" s="2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</row>
    <row r="2688" spans="1:58" x14ac:dyDescent="0.25">
      <c r="A2688" s="14"/>
      <c r="B2688" s="14"/>
      <c r="C2688" s="14"/>
      <c r="D2688" s="14"/>
      <c r="E2688" s="14"/>
      <c r="F2688" s="14"/>
      <c r="T2688"/>
      <c r="AK2688" s="12"/>
      <c r="AL2688" s="1"/>
      <c r="AM2688" s="1"/>
      <c r="AN2688" s="1"/>
      <c r="AO2688" s="2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1"/>
      <c r="BE2688" s="1"/>
      <c r="BF2688" s="1"/>
    </row>
    <row r="2689" spans="1:58" x14ac:dyDescent="0.25">
      <c r="A2689" s="14"/>
      <c r="B2689" s="14"/>
      <c r="C2689" s="14"/>
      <c r="D2689" s="14"/>
      <c r="E2689" s="14"/>
      <c r="F2689" s="14"/>
      <c r="T2689"/>
      <c r="AK2689" s="12"/>
      <c r="AL2689" s="1"/>
      <c r="AM2689" s="1"/>
      <c r="AN2689" s="1"/>
      <c r="AO2689" s="2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</row>
    <row r="2690" spans="1:58" x14ac:dyDescent="0.25">
      <c r="A2690" s="14"/>
      <c r="B2690" s="14"/>
      <c r="C2690" s="14"/>
      <c r="D2690" s="14"/>
      <c r="E2690" s="14"/>
      <c r="F2690" s="14"/>
      <c r="T2690"/>
      <c r="AK2690" s="12"/>
      <c r="AL2690" s="1"/>
      <c r="AM2690" s="1"/>
      <c r="AN2690" s="1"/>
      <c r="AO2690" s="2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  <c r="BD2690" s="1"/>
      <c r="BE2690" s="1"/>
      <c r="BF2690" s="1"/>
    </row>
    <row r="2691" spans="1:58" x14ac:dyDescent="0.25">
      <c r="A2691" s="14"/>
      <c r="B2691" s="14"/>
      <c r="C2691" s="14"/>
      <c r="D2691" s="14"/>
      <c r="E2691" s="14"/>
      <c r="F2691" s="14"/>
      <c r="T2691"/>
      <c r="AK2691" s="12"/>
      <c r="AL2691" s="1"/>
      <c r="AM2691" s="1"/>
      <c r="AN2691" s="1"/>
      <c r="AO2691" s="2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</row>
    <row r="2692" spans="1:58" x14ac:dyDescent="0.25">
      <c r="A2692" s="14"/>
      <c r="B2692" s="14"/>
      <c r="C2692" s="14"/>
      <c r="D2692" s="14"/>
      <c r="E2692" s="14"/>
      <c r="F2692" s="14"/>
      <c r="T2692"/>
      <c r="AK2692" s="12"/>
      <c r="AL2692" s="1"/>
      <c r="AM2692" s="1"/>
      <c r="AN2692" s="1"/>
      <c r="AO2692" s="2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  <c r="BD2692" s="1"/>
      <c r="BE2692" s="1"/>
      <c r="BF2692" s="1"/>
    </row>
    <row r="2693" spans="1:58" x14ac:dyDescent="0.25">
      <c r="A2693" s="14"/>
      <c r="B2693" s="14"/>
      <c r="C2693" s="14"/>
      <c r="D2693" s="14"/>
      <c r="E2693" s="14"/>
      <c r="F2693" s="14"/>
      <c r="T2693"/>
      <c r="AK2693" s="12"/>
      <c r="AL2693" s="1"/>
      <c r="AM2693" s="1"/>
      <c r="AN2693" s="1"/>
      <c r="AO2693" s="2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1"/>
      <c r="BE2693" s="1"/>
      <c r="BF2693" s="1"/>
    </row>
    <row r="2694" spans="1:58" x14ac:dyDescent="0.25">
      <c r="A2694" s="14"/>
      <c r="B2694" s="14"/>
      <c r="C2694" s="14"/>
      <c r="D2694" s="14"/>
      <c r="E2694" s="14"/>
      <c r="F2694" s="14"/>
      <c r="T2694"/>
      <c r="AK2694" s="12"/>
      <c r="AL2694" s="1"/>
      <c r="AM2694" s="1"/>
      <c r="AN2694" s="1"/>
      <c r="AO2694" s="2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  <c r="BD2694" s="1"/>
      <c r="BE2694" s="1"/>
      <c r="BF2694" s="1"/>
    </row>
    <row r="2695" spans="1:58" x14ac:dyDescent="0.25">
      <c r="A2695" s="14"/>
      <c r="B2695" s="14"/>
      <c r="C2695" s="14"/>
      <c r="D2695" s="14"/>
      <c r="E2695" s="14"/>
      <c r="F2695" s="14"/>
      <c r="T2695"/>
      <c r="AK2695" s="12"/>
      <c r="AL2695" s="1"/>
      <c r="AM2695" s="1"/>
      <c r="AN2695" s="1"/>
      <c r="AO2695" s="2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</row>
    <row r="2696" spans="1:58" x14ac:dyDescent="0.25">
      <c r="A2696" s="14"/>
      <c r="B2696" s="14"/>
      <c r="C2696" s="14"/>
      <c r="D2696" s="14"/>
      <c r="E2696" s="14"/>
      <c r="F2696" s="14"/>
      <c r="T2696"/>
      <c r="AK2696" s="12"/>
      <c r="AL2696" s="1"/>
      <c r="AM2696" s="1"/>
      <c r="AN2696" s="1"/>
      <c r="AO2696" s="2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/>
    </row>
    <row r="2697" spans="1:58" x14ac:dyDescent="0.25">
      <c r="A2697" s="14"/>
      <c r="B2697" s="14"/>
      <c r="C2697" s="14"/>
      <c r="D2697" s="14"/>
      <c r="E2697" s="14"/>
      <c r="F2697" s="14"/>
      <c r="T2697"/>
      <c r="AK2697" s="12"/>
      <c r="AL2697" s="1"/>
      <c r="AM2697" s="1"/>
      <c r="AN2697" s="1"/>
      <c r="AO2697" s="2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</row>
    <row r="2698" spans="1:58" x14ac:dyDescent="0.25">
      <c r="A2698" s="14"/>
      <c r="B2698" s="14"/>
      <c r="C2698" s="14"/>
      <c r="D2698" s="14"/>
      <c r="E2698" s="14"/>
      <c r="F2698" s="14"/>
      <c r="T2698"/>
      <c r="AK2698" s="12"/>
      <c r="AL2698" s="1"/>
      <c r="AM2698" s="1"/>
      <c r="AN2698" s="1"/>
      <c r="AO2698" s="2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  <c r="BD2698" s="1"/>
      <c r="BE2698" s="1"/>
      <c r="BF2698" s="1"/>
    </row>
    <row r="2699" spans="1:58" x14ac:dyDescent="0.25">
      <c r="A2699" s="14"/>
      <c r="B2699" s="14"/>
      <c r="C2699" s="14"/>
      <c r="D2699" s="14"/>
      <c r="E2699" s="14"/>
      <c r="F2699" s="14"/>
      <c r="T2699"/>
      <c r="AK2699" s="12"/>
      <c r="AL2699" s="1"/>
      <c r="AM2699" s="1"/>
      <c r="AN2699" s="1"/>
      <c r="AO2699" s="2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</row>
    <row r="2700" spans="1:58" x14ac:dyDescent="0.25">
      <c r="A2700" s="14"/>
      <c r="B2700" s="14"/>
      <c r="C2700" s="14"/>
      <c r="D2700" s="14"/>
      <c r="E2700" s="14"/>
      <c r="F2700" s="14"/>
      <c r="T2700"/>
      <c r="AK2700" s="12"/>
      <c r="AL2700" s="1"/>
      <c r="AM2700" s="1"/>
      <c r="AN2700" s="1"/>
      <c r="AO2700" s="2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  <c r="BD2700" s="1"/>
      <c r="BE2700" s="1"/>
      <c r="BF2700" s="1"/>
    </row>
    <row r="2701" spans="1:58" x14ac:dyDescent="0.25">
      <c r="A2701" s="14"/>
      <c r="B2701" s="14"/>
      <c r="C2701" s="14"/>
      <c r="D2701" s="14"/>
      <c r="E2701" s="14"/>
      <c r="F2701" s="14"/>
      <c r="T2701"/>
      <c r="AK2701" s="12"/>
      <c r="AL2701" s="1"/>
      <c r="AM2701" s="1"/>
      <c r="AN2701" s="1"/>
      <c r="AO2701" s="2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  <c r="BD2701" s="1"/>
      <c r="BE2701" s="1"/>
      <c r="BF2701" s="1"/>
    </row>
    <row r="2702" spans="1:58" x14ac:dyDescent="0.25">
      <c r="A2702" s="14"/>
      <c r="B2702" s="14"/>
      <c r="C2702" s="14"/>
      <c r="D2702" s="14"/>
      <c r="E2702" s="14"/>
      <c r="F2702" s="14"/>
      <c r="T2702"/>
      <c r="AK2702" s="12"/>
      <c r="AL2702" s="1"/>
      <c r="AM2702" s="1"/>
      <c r="AN2702" s="1"/>
      <c r="AO2702" s="2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  <c r="BD2702" s="1"/>
      <c r="BE2702" s="1"/>
      <c r="BF2702" s="1"/>
    </row>
    <row r="2703" spans="1:58" x14ac:dyDescent="0.25">
      <c r="A2703" s="14"/>
      <c r="B2703" s="14"/>
      <c r="C2703" s="14"/>
      <c r="D2703" s="14"/>
      <c r="E2703" s="14"/>
      <c r="F2703" s="14"/>
      <c r="T2703"/>
      <c r="AK2703" s="12"/>
      <c r="AL2703" s="1"/>
      <c r="AM2703" s="1"/>
      <c r="AN2703" s="1"/>
      <c r="AO2703" s="2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1"/>
      <c r="BE2703" s="1"/>
      <c r="BF2703" s="1"/>
    </row>
    <row r="2704" spans="1:58" x14ac:dyDescent="0.25">
      <c r="A2704" s="14"/>
      <c r="B2704" s="14"/>
      <c r="C2704" s="14"/>
      <c r="D2704" s="14"/>
      <c r="E2704" s="14"/>
      <c r="F2704" s="14"/>
      <c r="T2704"/>
      <c r="AK2704" s="12"/>
      <c r="AL2704" s="1"/>
      <c r="AM2704" s="1"/>
      <c r="AN2704" s="1"/>
      <c r="AO2704" s="2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1"/>
      <c r="BE2704" s="1"/>
      <c r="BF2704" s="1"/>
    </row>
    <row r="2705" spans="1:58" x14ac:dyDescent="0.25">
      <c r="A2705" s="14"/>
      <c r="B2705" s="14"/>
      <c r="C2705" s="14"/>
      <c r="D2705" s="14"/>
      <c r="E2705" s="14"/>
      <c r="F2705" s="14"/>
      <c r="T2705"/>
      <c r="AK2705" s="12"/>
      <c r="AL2705" s="1"/>
      <c r="AM2705" s="1"/>
      <c r="AN2705" s="1"/>
      <c r="AO2705" s="2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1"/>
      <c r="BE2705" s="1"/>
      <c r="BF2705" s="1"/>
    </row>
    <row r="2706" spans="1:58" x14ac:dyDescent="0.25">
      <c r="A2706" s="14"/>
      <c r="B2706" s="14"/>
      <c r="C2706" s="14"/>
      <c r="D2706" s="14"/>
      <c r="E2706" s="14"/>
      <c r="F2706" s="14"/>
      <c r="T2706"/>
      <c r="AK2706" s="12"/>
      <c r="AL2706" s="1"/>
      <c r="AM2706" s="1"/>
      <c r="AN2706" s="1"/>
      <c r="AO2706" s="2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  <c r="BD2706" s="1"/>
      <c r="BE2706" s="1"/>
      <c r="BF2706" s="1"/>
    </row>
    <row r="2707" spans="1:58" x14ac:dyDescent="0.25">
      <c r="A2707" s="14"/>
      <c r="B2707" s="14"/>
      <c r="C2707" s="14"/>
      <c r="D2707" s="14"/>
      <c r="E2707" s="14"/>
      <c r="F2707" s="14"/>
      <c r="T2707"/>
      <c r="AK2707" s="12"/>
      <c r="AL2707" s="1"/>
      <c r="AM2707" s="1"/>
      <c r="AN2707" s="1"/>
      <c r="AO2707" s="2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1"/>
      <c r="BE2707" s="1"/>
      <c r="BF2707" s="1"/>
    </row>
    <row r="2708" spans="1:58" x14ac:dyDescent="0.25">
      <c r="A2708" s="14"/>
      <c r="B2708" s="14"/>
      <c r="C2708" s="14"/>
      <c r="D2708" s="14"/>
      <c r="E2708" s="14"/>
      <c r="F2708" s="14"/>
      <c r="T2708"/>
      <c r="AK2708" s="12"/>
      <c r="AL2708" s="1"/>
      <c r="AM2708" s="1"/>
      <c r="AN2708" s="1"/>
      <c r="AO2708" s="2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  <c r="BD2708" s="1"/>
      <c r="BE2708" s="1"/>
      <c r="BF2708" s="1"/>
    </row>
    <row r="2709" spans="1:58" x14ac:dyDescent="0.25">
      <c r="A2709" s="14"/>
      <c r="B2709" s="14"/>
      <c r="C2709" s="14"/>
      <c r="D2709" s="14"/>
      <c r="E2709" s="14"/>
      <c r="F2709" s="14"/>
      <c r="T2709"/>
      <c r="AK2709" s="12"/>
      <c r="AL2709" s="1"/>
      <c r="AM2709" s="1"/>
      <c r="AN2709" s="1"/>
      <c r="AO2709" s="2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1"/>
      <c r="BE2709" s="1"/>
      <c r="BF2709" s="1"/>
    </row>
    <row r="2710" spans="1:58" x14ac:dyDescent="0.25">
      <c r="A2710" s="14"/>
      <c r="B2710" s="14"/>
      <c r="C2710" s="14"/>
      <c r="D2710" s="14"/>
      <c r="E2710" s="14"/>
      <c r="F2710" s="14"/>
      <c r="T2710"/>
      <c r="AK2710" s="12"/>
      <c r="AL2710" s="1"/>
      <c r="AM2710" s="1"/>
      <c r="AN2710" s="1"/>
      <c r="AO2710" s="2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</row>
    <row r="2711" spans="1:58" x14ac:dyDescent="0.25">
      <c r="A2711" s="14"/>
      <c r="B2711" s="14"/>
      <c r="C2711" s="14"/>
      <c r="D2711" s="14"/>
      <c r="E2711" s="14"/>
      <c r="F2711" s="14"/>
      <c r="T2711"/>
      <c r="AK2711" s="12"/>
      <c r="AL2711" s="1"/>
      <c r="AM2711" s="1"/>
      <c r="AN2711" s="1"/>
      <c r="AO2711" s="2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</row>
    <row r="2712" spans="1:58" x14ac:dyDescent="0.25">
      <c r="A2712" s="14"/>
      <c r="B2712" s="14"/>
      <c r="C2712" s="14"/>
      <c r="D2712" s="14"/>
      <c r="E2712" s="14"/>
      <c r="F2712" s="14"/>
      <c r="T2712"/>
      <c r="AK2712" s="12"/>
      <c r="AL2712" s="1"/>
      <c r="AM2712" s="1"/>
      <c r="AN2712" s="1"/>
      <c r="AO2712" s="2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  <c r="BD2712" s="1"/>
      <c r="BE2712" s="1"/>
      <c r="BF2712" s="1"/>
    </row>
    <row r="2713" spans="1:58" x14ac:dyDescent="0.25">
      <c r="A2713" s="14"/>
      <c r="B2713" s="14"/>
      <c r="C2713" s="14"/>
      <c r="D2713" s="14"/>
      <c r="E2713" s="14"/>
      <c r="F2713" s="14"/>
      <c r="T2713"/>
      <c r="AK2713" s="12"/>
      <c r="AL2713" s="1"/>
      <c r="AM2713" s="1"/>
      <c r="AN2713" s="1"/>
      <c r="AO2713" s="2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/>
    </row>
    <row r="2714" spans="1:58" x14ac:dyDescent="0.25">
      <c r="A2714" s="14"/>
      <c r="B2714" s="14"/>
      <c r="C2714" s="14"/>
      <c r="D2714" s="14"/>
      <c r="E2714" s="14"/>
      <c r="F2714" s="14"/>
      <c r="T2714"/>
      <c r="AK2714" s="12"/>
      <c r="AL2714" s="1"/>
      <c r="AM2714" s="1"/>
      <c r="AN2714" s="1"/>
      <c r="AO2714" s="2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  <c r="BD2714" s="1"/>
      <c r="BE2714" s="1"/>
      <c r="BF2714" s="1"/>
    </row>
    <row r="2715" spans="1:58" x14ac:dyDescent="0.25">
      <c r="A2715" s="14"/>
      <c r="B2715" s="14"/>
      <c r="C2715" s="14"/>
      <c r="D2715" s="14"/>
      <c r="E2715" s="14"/>
      <c r="F2715" s="14"/>
      <c r="T2715"/>
      <c r="AK2715" s="12"/>
      <c r="AL2715" s="1"/>
      <c r="AM2715" s="1"/>
      <c r="AN2715" s="1"/>
      <c r="AO2715" s="2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</row>
    <row r="2716" spans="1:58" x14ac:dyDescent="0.25">
      <c r="A2716" s="14"/>
      <c r="B2716" s="14"/>
      <c r="C2716" s="14"/>
      <c r="D2716" s="14"/>
      <c r="E2716" s="14"/>
      <c r="F2716" s="14"/>
      <c r="T2716"/>
      <c r="AK2716" s="12"/>
      <c r="AL2716" s="1"/>
      <c r="AM2716" s="1"/>
      <c r="AN2716" s="1"/>
      <c r="AO2716" s="2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  <c r="BD2716" s="1"/>
      <c r="BE2716" s="1"/>
      <c r="BF2716" s="1"/>
    </row>
    <row r="2717" spans="1:58" x14ac:dyDescent="0.25">
      <c r="A2717" s="14"/>
      <c r="B2717" s="14"/>
      <c r="C2717" s="14"/>
      <c r="D2717" s="14"/>
      <c r="E2717" s="14"/>
      <c r="F2717" s="14"/>
      <c r="T2717"/>
      <c r="AK2717" s="12"/>
      <c r="AL2717" s="1"/>
      <c r="AM2717" s="1"/>
      <c r="AN2717" s="1"/>
      <c r="AO2717" s="2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  <c r="BD2717" s="1"/>
      <c r="BE2717" s="1"/>
      <c r="BF2717" s="1"/>
    </row>
    <row r="2718" spans="1:58" x14ac:dyDescent="0.25">
      <c r="A2718" s="14"/>
      <c r="B2718" s="14"/>
      <c r="C2718" s="14"/>
      <c r="D2718" s="14"/>
      <c r="E2718" s="14"/>
      <c r="F2718" s="14"/>
      <c r="T2718"/>
      <c r="AK2718" s="12"/>
      <c r="AL2718" s="1"/>
      <c r="AM2718" s="1"/>
      <c r="AN2718" s="1"/>
      <c r="AO2718" s="2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  <c r="BD2718" s="1"/>
      <c r="BE2718" s="1"/>
      <c r="BF2718" s="1"/>
    </row>
    <row r="2719" spans="1:58" x14ac:dyDescent="0.25">
      <c r="A2719" s="14"/>
      <c r="B2719" s="14"/>
      <c r="C2719" s="14"/>
      <c r="D2719" s="14"/>
      <c r="E2719" s="14"/>
      <c r="F2719" s="14"/>
      <c r="T2719"/>
      <c r="AK2719" s="12"/>
      <c r="AL2719" s="1"/>
      <c r="AM2719" s="1"/>
      <c r="AN2719" s="1"/>
      <c r="AO2719" s="2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  <c r="BD2719" s="1"/>
      <c r="BE2719" s="1"/>
      <c r="BF2719" s="1"/>
    </row>
    <row r="2720" spans="1:58" x14ac:dyDescent="0.25">
      <c r="A2720" s="14"/>
      <c r="B2720" s="14"/>
      <c r="C2720" s="14"/>
      <c r="D2720" s="14"/>
      <c r="E2720" s="14"/>
      <c r="F2720" s="14"/>
      <c r="T2720"/>
      <c r="AK2720" s="12"/>
      <c r="AL2720" s="1"/>
      <c r="AM2720" s="1"/>
      <c r="AN2720" s="1"/>
      <c r="AO2720" s="2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  <c r="BD2720" s="1"/>
      <c r="BE2720" s="1"/>
      <c r="BF2720" s="1"/>
    </row>
    <row r="2721" spans="1:58" x14ac:dyDescent="0.25">
      <c r="A2721" s="14"/>
      <c r="B2721" s="14"/>
      <c r="C2721" s="14"/>
      <c r="D2721" s="14"/>
      <c r="E2721" s="14"/>
      <c r="F2721" s="14"/>
      <c r="T2721"/>
      <c r="AK2721" s="12"/>
      <c r="AL2721" s="1"/>
      <c r="AM2721" s="1"/>
      <c r="AN2721" s="1"/>
      <c r="AO2721" s="2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  <c r="BD2721" s="1"/>
      <c r="BE2721" s="1"/>
      <c r="BF2721" s="1"/>
    </row>
    <row r="2722" spans="1:58" x14ac:dyDescent="0.25">
      <c r="A2722" s="14"/>
      <c r="B2722" s="14"/>
      <c r="C2722" s="14"/>
      <c r="D2722" s="14"/>
      <c r="E2722" s="14"/>
      <c r="F2722" s="14"/>
      <c r="T2722"/>
      <c r="AK2722" s="12"/>
      <c r="AL2722" s="1"/>
      <c r="AM2722" s="1"/>
      <c r="AN2722" s="1"/>
      <c r="AO2722" s="2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</row>
    <row r="2723" spans="1:58" x14ac:dyDescent="0.25">
      <c r="A2723" s="14"/>
      <c r="B2723" s="14"/>
      <c r="C2723" s="14"/>
      <c r="D2723" s="14"/>
      <c r="E2723" s="14"/>
      <c r="F2723" s="14"/>
      <c r="T2723"/>
      <c r="AK2723" s="12"/>
      <c r="AL2723" s="1"/>
      <c r="AM2723" s="1"/>
      <c r="AN2723" s="1"/>
      <c r="AO2723" s="2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  <c r="BD2723" s="1"/>
      <c r="BE2723" s="1"/>
      <c r="BF2723" s="1"/>
    </row>
    <row r="2724" spans="1:58" x14ac:dyDescent="0.25">
      <c r="A2724" s="14"/>
      <c r="B2724" s="14"/>
      <c r="C2724" s="14"/>
      <c r="D2724" s="14"/>
      <c r="E2724" s="14"/>
      <c r="F2724" s="14"/>
      <c r="T2724"/>
      <c r="AK2724" s="12"/>
      <c r="AL2724" s="1"/>
      <c r="AM2724" s="1"/>
      <c r="AN2724" s="1"/>
      <c r="AO2724" s="2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  <c r="BD2724" s="1"/>
      <c r="BE2724" s="1"/>
      <c r="BF2724" s="1"/>
    </row>
    <row r="2725" spans="1:58" x14ac:dyDescent="0.25">
      <c r="A2725" s="14"/>
      <c r="B2725" s="14"/>
      <c r="C2725" s="14"/>
      <c r="D2725" s="14"/>
      <c r="E2725" s="14"/>
      <c r="F2725" s="14"/>
      <c r="T2725"/>
      <c r="AK2725" s="12"/>
      <c r="AL2725" s="1"/>
      <c r="AM2725" s="1"/>
      <c r="AN2725" s="1"/>
      <c r="AO2725" s="2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</row>
    <row r="2726" spans="1:58" x14ac:dyDescent="0.25">
      <c r="A2726" s="14"/>
      <c r="B2726" s="14"/>
      <c r="C2726" s="14"/>
      <c r="D2726" s="14"/>
      <c r="E2726" s="14"/>
      <c r="F2726" s="14"/>
      <c r="T2726"/>
      <c r="AK2726" s="12"/>
      <c r="AL2726" s="1"/>
      <c r="AM2726" s="1"/>
      <c r="AN2726" s="1"/>
      <c r="AO2726" s="2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</row>
    <row r="2727" spans="1:58" x14ac:dyDescent="0.25">
      <c r="A2727" s="14"/>
      <c r="B2727" s="14"/>
      <c r="C2727" s="14"/>
      <c r="D2727" s="14"/>
      <c r="E2727" s="14"/>
      <c r="F2727" s="14"/>
      <c r="T2727"/>
      <c r="AK2727" s="12"/>
      <c r="AL2727" s="1"/>
      <c r="AM2727" s="1"/>
      <c r="AN2727" s="1"/>
      <c r="AO2727" s="2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</row>
    <row r="2728" spans="1:58" x14ac:dyDescent="0.25">
      <c r="A2728" s="14"/>
      <c r="B2728" s="14"/>
      <c r="C2728" s="14"/>
      <c r="D2728" s="14"/>
      <c r="E2728" s="14"/>
      <c r="F2728" s="14"/>
      <c r="T2728"/>
      <c r="AK2728" s="12"/>
      <c r="AL2728" s="1"/>
      <c r="AM2728" s="1"/>
      <c r="AN2728" s="1"/>
      <c r="AO2728" s="2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  <c r="BD2728" s="1"/>
      <c r="BE2728" s="1"/>
      <c r="BF2728" s="1"/>
    </row>
    <row r="2729" spans="1:58" x14ac:dyDescent="0.25">
      <c r="A2729" s="14"/>
      <c r="B2729" s="14"/>
      <c r="C2729" s="14"/>
      <c r="D2729" s="14"/>
      <c r="E2729" s="14"/>
      <c r="F2729" s="14"/>
      <c r="T2729"/>
      <c r="AK2729" s="12"/>
      <c r="AL2729" s="1"/>
      <c r="AM2729" s="1"/>
      <c r="AN2729" s="1"/>
      <c r="AO2729" s="2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1"/>
      <c r="BE2729" s="1"/>
      <c r="BF2729" s="1"/>
    </row>
    <row r="2730" spans="1:58" x14ac:dyDescent="0.25">
      <c r="A2730" s="14"/>
      <c r="B2730" s="14"/>
      <c r="C2730" s="14"/>
      <c r="D2730" s="14"/>
      <c r="E2730" s="14"/>
      <c r="F2730" s="14"/>
      <c r="T2730"/>
      <c r="AK2730" s="12"/>
      <c r="AL2730" s="1"/>
      <c r="AM2730" s="1"/>
      <c r="AN2730" s="1"/>
      <c r="AO2730" s="2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  <c r="BD2730" s="1"/>
      <c r="BE2730" s="1"/>
      <c r="BF2730" s="1"/>
    </row>
    <row r="2731" spans="1:58" x14ac:dyDescent="0.25">
      <c r="A2731" s="14"/>
      <c r="B2731" s="14"/>
      <c r="C2731" s="14"/>
      <c r="D2731" s="14"/>
      <c r="E2731" s="14"/>
      <c r="F2731" s="14"/>
      <c r="T2731"/>
      <c r="AK2731" s="12"/>
      <c r="AL2731" s="1"/>
      <c r="AM2731" s="1"/>
      <c r="AN2731" s="1"/>
      <c r="AO2731" s="2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</row>
    <row r="2732" spans="1:58" x14ac:dyDescent="0.25">
      <c r="A2732" s="14"/>
      <c r="B2732" s="14"/>
      <c r="C2732" s="14"/>
      <c r="D2732" s="14"/>
      <c r="E2732" s="14"/>
      <c r="F2732" s="14"/>
      <c r="T2732"/>
      <c r="AK2732" s="12"/>
      <c r="AL2732" s="1"/>
      <c r="AM2732" s="1"/>
      <c r="AN2732" s="1"/>
      <c r="AO2732" s="2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</row>
    <row r="2733" spans="1:58" x14ac:dyDescent="0.25">
      <c r="A2733" s="14"/>
      <c r="B2733" s="14"/>
      <c r="C2733" s="14"/>
      <c r="D2733" s="14"/>
      <c r="E2733" s="14"/>
      <c r="F2733" s="14"/>
      <c r="T2733"/>
      <c r="AK2733" s="12"/>
      <c r="AL2733" s="1"/>
      <c r="AM2733" s="1"/>
      <c r="AN2733" s="1"/>
      <c r="AO2733" s="2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</row>
    <row r="2734" spans="1:58" x14ac:dyDescent="0.25">
      <c r="A2734" s="14"/>
      <c r="B2734" s="14"/>
      <c r="C2734" s="14"/>
      <c r="D2734" s="14"/>
      <c r="E2734" s="14"/>
      <c r="F2734" s="14"/>
      <c r="T2734"/>
      <c r="AK2734" s="12"/>
      <c r="AL2734" s="1"/>
      <c r="AM2734" s="1"/>
      <c r="AN2734" s="1"/>
      <c r="AO2734" s="2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  <c r="BD2734" s="1"/>
      <c r="BE2734" s="1"/>
      <c r="BF2734" s="1"/>
    </row>
    <row r="2735" spans="1:58" x14ac:dyDescent="0.25">
      <c r="A2735" s="14"/>
      <c r="B2735" s="14"/>
      <c r="C2735" s="14"/>
      <c r="D2735" s="14"/>
      <c r="E2735" s="14"/>
      <c r="F2735" s="14"/>
      <c r="T2735"/>
      <c r="AK2735" s="12"/>
      <c r="AL2735" s="1"/>
      <c r="AM2735" s="1"/>
      <c r="AN2735" s="1"/>
      <c r="AO2735" s="2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1"/>
      <c r="BE2735" s="1"/>
      <c r="BF2735" s="1"/>
    </row>
    <row r="2736" spans="1:58" x14ac:dyDescent="0.25">
      <c r="A2736" s="14"/>
      <c r="B2736" s="14"/>
      <c r="C2736" s="14"/>
      <c r="D2736" s="14"/>
      <c r="E2736" s="14"/>
      <c r="F2736" s="14"/>
      <c r="T2736"/>
      <c r="AK2736" s="12"/>
      <c r="AL2736" s="1"/>
      <c r="AM2736" s="1"/>
      <c r="AN2736" s="1"/>
      <c r="AO2736" s="2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1"/>
      <c r="BE2736" s="1"/>
      <c r="BF2736" s="1"/>
    </row>
    <row r="2737" spans="1:58" x14ac:dyDescent="0.25">
      <c r="A2737" s="14"/>
      <c r="B2737" s="14"/>
      <c r="C2737" s="14"/>
      <c r="D2737" s="14"/>
      <c r="E2737" s="14"/>
      <c r="F2737" s="14"/>
      <c r="T2737"/>
      <c r="AK2737" s="12"/>
      <c r="AL2737" s="1"/>
      <c r="AM2737" s="1"/>
      <c r="AN2737" s="1"/>
      <c r="AO2737" s="2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1"/>
      <c r="BE2737" s="1"/>
      <c r="BF2737" s="1"/>
    </row>
    <row r="2738" spans="1:58" x14ac:dyDescent="0.25">
      <c r="A2738" s="14"/>
      <c r="B2738" s="14"/>
      <c r="C2738" s="14"/>
      <c r="D2738" s="14"/>
      <c r="E2738" s="14"/>
      <c r="F2738" s="14"/>
      <c r="T2738"/>
      <c r="AK2738" s="12"/>
      <c r="AL2738" s="1"/>
      <c r="AM2738" s="1"/>
      <c r="AN2738" s="1"/>
      <c r="AO2738" s="2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  <c r="BD2738" s="1"/>
      <c r="BE2738" s="1"/>
      <c r="BF2738" s="1"/>
    </row>
    <row r="2739" spans="1:58" x14ac:dyDescent="0.25">
      <c r="A2739" s="14"/>
      <c r="B2739" s="14"/>
      <c r="C2739" s="14"/>
      <c r="D2739" s="14"/>
      <c r="E2739" s="14"/>
      <c r="F2739" s="14"/>
      <c r="T2739"/>
      <c r="AK2739" s="12"/>
      <c r="AL2739" s="1"/>
      <c r="AM2739" s="1"/>
      <c r="AN2739" s="1"/>
      <c r="AO2739" s="2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1"/>
      <c r="BE2739" s="1"/>
      <c r="BF2739" s="1"/>
    </row>
    <row r="2740" spans="1:58" x14ac:dyDescent="0.25">
      <c r="A2740" s="14"/>
      <c r="B2740" s="14"/>
      <c r="C2740" s="14"/>
      <c r="D2740" s="14"/>
      <c r="E2740" s="14"/>
      <c r="F2740" s="14"/>
      <c r="T2740"/>
      <c r="AK2740" s="12"/>
      <c r="AL2740" s="1"/>
      <c r="AM2740" s="1"/>
      <c r="AN2740" s="1"/>
      <c r="AO2740" s="2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  <c r="BD2740" s="1"/>
      <c r="BE2740" s="1"/>
      <c r="BF2740" s="1"/>
    </row>
    <row r="2741" spans="1:58" x14ac:dyDescent="0.25">
      <c r="A2741" s="14"/>
      <c r="B2741" s="14"/>
      <c r="C2741" s="14"/>
      <c r="D2741" s="14"/>
      <c r="E2741" s="14"/>
      <c r="F2741" s="14"/>
      <c r="T2741"/>
      <c r="AK2741" s="12"/>
      <c r="AL2741" s="1"/>
      <c r="AM2741" s="1"/>
      <c r="AN2741" s="1"/>
      <c r="AO2741" s="2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  <c r="BD2741" s="1"/>
      <c r="BE2741" s="1"/>
      <c r="BF2741" s="1"/>
    </row>
    <row r="2742" spans="1:58" x14ac:dyDescent="0.25">
      <c r="A2742" s="14"/>
      <c r="B2742" s="14"/>
      <c r="C2742" s="14"/>
      <c r="D2742" s="14"/>
      <c r="E2742" s="14"/>
      <c r="F2742" s="14"/>
      <c r="T2742"/>
      <c r="AK2742" s="12"/>
      <c r="AL2742" s="1"/>
      <c r="AM2742" s="1"/>
      <c r="AN2742" s="1"/>
      <c r="AO2742" s="2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  <c r="BD2742" s="1"/>
      <c r="BE2742" s="1"/>
      <c r="BF2742" s="1"/>
    </row>
    <row r="2743" spans="1:58" x14ac:dyDescent="0.25">
      <c r="A2743" s="14"/>
      <c r="B2743" s="14"/>
      <c r="C2743" s="14"/>
      <c r="D2743" s="14"/>
      <c r="E2743" s="14"/>
      <c r="F2743" s="14"/>
      <c r="T2743"/>
      <c r="AK2743" s="12"/>
      <c r="AL2743" s="1"/>
      <c r="AM2743" s="1"/>
      <c r="AN2743" s="1"/>
      <c r="AO2743" s="2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  <c r="BD2743" s="1"/>
      <c r="BE2743" s="1"/>
      <c r="BF2743" s="1"/>
    </row>
    <row r="2744" spans="1:58" x14ac:dyDescent="0.25">
      <c r="A2744" s="14"/>
      <c r="B2744" s="14"/>
      <c r="C2744" s="14"/>
      <c r="D2744" s="14"/>
      <c r="E2744" s="14"/>
      <c r="F2744" s="14"/>
      <c r="T2744"/>
      <c r="AK2744" s="12"/>
      <c r="AL2744" s="1"/>
      <c r="AM2744" s="1"/>
      <c r="AN2744" s="1"/>
      <c r="AO2744" s="2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  <c r="BD2744" s="1"/>
      <c r="BE2744" s="1"/>
      <c r="BF2744" s="1"/>
    </row>
    <row r="2745" spans="1:58" x14ac:dyDescent="0.25">
      <c r="A2745" s="14"/>
      <c r="B2745" s="14"/>
      <c r="C2745" s="14"/>
      <c r="D2745" s="14"/>
      <c r="E2745" s="14"/>
      <c r="F2745" s="14"/>
      <c r="T2745"/>
      <c r="AK2745" s="12"/>
      <c r="AL2745" s="1"/>
      <c r="AM2745" s="1"/>
      <c r="AN2745" s="1"/>
      <c r="AO2745" s="2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</row>
    <row r="2746" spans="1:58" x14ac:dyDescent="0.25">
      <c r="A2746" s="14"/>
      <c r="B2746" s="14"/>
      <c r="C2746" s="14"/>
      <c r="D2746" s="14"/>
      <c r="E2746" s="14"/>
      <c r="F2746" s="14"/>
      <c r="T2746"/>
      <c r="AK2746" s="12"/>
      <c r="AL2746" s="1"/>
      <c r="AM2746" s="1"/>
      <c r="AN2746" s="1"/>
      <c r="AO2746" s="2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  <c r="BD2746" s="1"/>
      <c r="BE2746" s="1"/>
      <c r="BF2746" s="1"/>
    </row>
    <row r="2747" spans="1:58" x14ac:dyDescent="0.25">
      <c r="A2747" s="14"/>
      <c r="B2747" s="14"/>
      <c r="C2747" s="14"/>
      <c r="D2747" s="14"/>
      <c r="E2747" s="14"/>
      <c r="F2747" s="14"/>
      <c r="T2747"/>
      <c r="AK2747" s="12"/>
      <c r="AL2747" s="1"/>
      <c r="AM2747" s="1"/>
      <c r="AN2747" s="1"/>
      <c r="AO2747" s="2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</row>
    <row r="2748" spans="1:58" x14ac:dyDescent="0.25">
      <c r="A2748" s="14"/>
      <c r="B2748" s="14"/>
      <c r="C2748" s="14"/>
      <c r="D2748" s="14"/>
      <c r="E2748" s="14"/>
      <c r="F2748" s="14"/>
      <c r="T2748"/>
      <c r="AK2748" s="12"/>
      <c r="AL2748" s="1"/>
      <c r="AM2748" s="1"/>
      <c r="AN2748" s="1"/>
      <c r="AO2748" s="2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  <c r="BD2748" s="1"/>
      <c r="BE2748" s="1"/>
      <c r="BF2748" s="1"/>
    </row>
    <row r="2749" spans="1:58" x14ac:dyDescent="0.25">
      <c r="A2749" s="14"/>
      <c r="B2749" s="14"/>
      <c r="C2749" s="14"/>
      <c r="D2749" s="14"/>
      <c r="E2749" s="14"/>
      <c r="F2749" s="14"/>
      <c r="T2749"/>
      <c r="AK2749" s="12"/>
      <c r="AL2749" s="1"/>
      <c r="AM2749" s="1"/>
      <c r="AN2749" s="1"/>
      <c r="AO2749" s="2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1"/>
      <c r="BE2749" s="1"/>
      <c r="BF2749" s="1"/>
    </row>
    <row r="2750" spans="1:58" x14ac:dyDescent="0.25">
      <c r="A2750" s="14"/>
      <c r="B2750" s="14"/>
      <c r="C2750" s="14"/>
      <c r="D2750" s="14"/>
      <c r="E2750" s="14"/>
      <c r="F2750" s="14"/>
      <c r="T2750"/>
      <c r="AK2750" s="12"/>
      <c r="AL2750" s="1"/>
      <c r="AM2750" s="1"/>
      <c r="AN2750" s="1"/>
      <c r="AO2750" s="2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  <c r="BD2750" s="1"/>
      <c r="BE2750" s="1"/>
      <c r="BF2750" s="1"/>
    </row>
    <row r="2751" spans="1:58" x14ac:dyDescent="0.25">
      <c r="A2751" s="14"/>
      <c r="B2751" s="14"/>
      <c r="C2751" s="14"/>
      <c r="D2751" s="14"/>
      <c r="E2751" s="14"/>
      <c r="F2751" s="14"/>
      <c r="T2751"/>
      <c r="AK2751" s="12"/>
      <c r="AL2751" s="1"/>
      <c r="AM2751" s="1"/>
      <c r="AN2751" s="1"/>
      <c r="AO2751" s="2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</row>
    <row r="2752" spans="1:58" x14ac:dyDescent="0.25">
      <c r="A2752" s="14"/>
      <c r="B2752" s="14"/>
      <c r="C2752" s="14"/>
      <c r="D2752" s="14"/>
      <c r="E2752" s="14"/>
      <c r="F2752" s="14"/>
      <c r="T2752"/>
      <c r="AK2752" s="12"/>
      <c r="AL2752" s="1"/>
      <c r="AM2752" s="1"/>
      <c r="AN2752" s="1"/>
      <c r="AO2752" s="2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</row>
    <row r="2753" spans="1:58" x14ac:dyDescent="0.25">
      <c r="A2753" s="14"/>
      <c r="B2753" s="14"/>
      <c r="C2753" s="14"/>
      <c r="D2753" s="14"/>
      <c r="E2753" s="14"/>
      <c r="F2753" s="14"/>
      <c r="T2753"/>
      <c r="AK2753" s="12"/>
      <c r="AL2753" s="1"/>
      <c r="AM2753" s="1"/>
      <c r="AN2753" s="1"/>
      <c r="AO2753" s="2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</row>
    <row r="2754" spans="1:58" x14ac:dyDescent="0.25">
      <c r="A2754" s="14"/>
      <c r="B2754" s="14"/>
      <c r="C2754" s="14"/>
      <c r="D2754" s="14"/>
      <c r="E2754" s="14"/>
      <c r="F2754" s="14"/>
      <c r="T2754"/>
      <c r="AK2754" s="12"/>
      <c r="AL2754" s="1"/>
      <c r="AM2754" s="1"/>
      <c r="AN2754" s="1"/>
      <c r="AO2754" s="2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</row>
    <row r="2755" spans="1:58" x14ac:dyDescent="0.25">
      <c r="A2755" s="14"/>
      <c r="B2755" s="14"/>
      <c r="C2755" s="14"/>
      <c r="D2755" s="14"/>
      <c r="E2755" s="14"/>
      <c r="F2755" s="14"/>
      <c r="T2755"/>
      <c r="AK2755" s="12"/>
      <c r="AL2755" s="1"/>
      <c r="AM2755" s="1"/>
      <c r="AN2755" s="1"/>
      <c r="AO2755" s="2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</row>
    <row r="2756" spans="1:58" x14ac:dyDescent="0.25">
      <c r="A2756" s="14"/>
      <c r="B2756" s="14"/>
      <c r="C2756" s="14"/>
      <c r="D2756" s="14"/>
      <c r="E2756" s="14"/>
      <c r="F2756" s="14"/>
      <c r="T2756"/>
      <c r="AK2756" s="12"/>
      <c r="AL2756" s="1"/>
      <c r="AM2756" s="1"/>
      <c r="AN2756" s="1"/>
      <c r="AO2756" s="2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  <c r="BD2756" s="1"/>
      <c r="BE2756" s="1"/>
      <c r="BF2756" s="1"/>
    </row>
    <row r="2757" spans="1:58" x14ac:dyDescent="0.25">
      <c r="A2757" s="14"/>
      <c r="B2757" s="14"/>
      <c r="C2757" s="14"/>
      <c r="D2757" s="14"/>
      <c r="E2757" s="14"/>
      <c r="F2757" s="14"/>
      <c r="T2757"/>
      <c r="AK2757" s="12"/>
      <c r="AL2757" s="1"/>
      <c r="AM2757" s="1"/>
      <c r="AN2757" s="1"/>
      <c r="AO2757" s="2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</row>
    <row r="2758" spans="1:58" x14ac:dyDescent="0.25">
      <c r="A2758" s="14"/>
      <c r="B2758" s="14"/>
      <c r="C2758" s="14"/>
      <c r="D2758" s="14"/>
      <c r="E2758" s="14"/>
      <c r="F2758" s="14"/>
      <c r="T2758"/>
      <c r="AK2758" s="12"/>
      <c r="AL2758" s="1"/>
      <c r="AM2758" s="1"/>
      <c r="AN2758" s="1"/>
      <c r="AO2758" s="2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  <c r="BD2758" s="1"/>
      <c r="BE2758" s="1"/>
      <c r="BF2758" s="1"/>
    </row>
    <row r="2759" spans="1:58" x14ac:dyDescent="0.25">
      <c r="A2759" s="14"/>
      <c r="B2759" s="14"/>
      <c r="C2759" s="14"/>
      <c r="D2759" s="14"/>
      <c r="E2759" s="14"/>
      <c r="F2759" s="14"/>
      <c r="T2759"/>
      <c r="AK2759" s="12"/>
      <c r="AL2759" s="1"/>
      <c r="AM2759" s="1"/>
      <c r="AN2759" s="1"/>
      <c r="AO2759" s="2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</row>
    <row r="2760" spans="1:58" x14ac:dyDescent="0.25">
      <c r="A2760" s="14"/>
      <c r="B2760" s="14"/>
      <c r="C2760" s="14"/>
      <c r="D2760" s="14"/>
      <c r="E2760" s="14"/>
      <c r="F2760" s="14"/>
      <c r="T2760"/>
      <c r="AK2760" s="12"/>
      <c r="AL2760" s="1"/>
      <c r="AM2760" s="1"/>
      <c r="AN2760" s="1"/>
      <c r="AO2760" s="2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  <c r="BD2760" s="1"/>
      <c r="BE2760" s="1"/>
      <c r="BF2760" s="1"/>
    </row>
    <row r="2761" spans="1:58" x14ac:dyDescent="0.25">
      <c r="A2761" s="14"/>
      <c r="B2761" s="14"/>
      <c r="C2761" s="14"/>
      <c r="D2761" s="14"/>
      <c r="E2761" s="14"/>
      <c r="F2761" s="14"/>
      <c r="T2761"/>
      <c r="AK2761" s="12"/>
      <c r="AL2761" s="1"/>
      <c r="AM2761" s="1"/>
      <c r="AN2761" s="1"/>
      <c r="AO2761" s="2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/>
    </row>
    <row r="2762" spans="1:58" x14ac:dyDescent="0.25">
      <c r="A2762" s="14"/>
      <c r="B2762" s="14"/>
      <c r="C2762" s="14"/>
      <c r="D2762" s="14"/>
      <c r="E2762" s="14"/>
      <c r="F2762" s="14"/>
      <c r="T2762"/>
      <c r="AK2762" s="12"/>
      <c r="AL2762" s="1"/>
      <c r="AM2762" s="1"/>
      <c r="AN2762" s="1"/>
      <c r="AO2762" s="2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  <c r="BD2762" s="1"/>
      <c r="BE2762" s="1"/>
      <c r="BF2762" s="1"/>
    </row>
    <row r="2763" spans="1:58" x14ac:dyDescent="0.25">
      <c r="A2763" s="14"/>
      <c r="B2763" s="14"/>
      <c r="C2763" s="14"/>
      <c r="D2763" s="14"/>
      <c r="E2763" s="14"/>
      <c r="F2763" s="14"/>
      <c r="T2763"/>
      <c r="AK2763" s="12"/>
      <c r="AL2763" s="1"/>
      <c r="AM2763" s="1"/>
      <c r="AN2763" s="1"/>
      <c r="AO2763" s="2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  <c r="BD2763" s="1"/>
      <c r="BE2763" s="1"/>
      <c r="BF2763" s="1"/>
    </row>
    <row r="2764" spans="1:58" x14ac:dyDescent="0.25">
      <c r="A2764" s="14"/>
      <c r="B2764" s="14"/>
      <c r="C2764" s="14"/>
      <c r="D2764" s="14"/>
      <c r="E2764" s="14"/>
      <c r="F2764" s="14"/>
      <c r="T2764"/>
      <c r="AK2764" s="12"/>
      <c r="AL2764" s="1"/>
      <c r="AM2764" s="1"/>
      <c r="AN2764" s="1"/>
      <c r="AO2764" s="2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  <c r="BD2764" s="1"/>
      <c r="BE2764" s="1"/>
      <c r="BF2764" s="1"/>
    </row>
    <row r="2765" spans="1:58" x14ac:dyDescent="0.25">
      <c r="A2765" s="14"/>
      <c r="B2765" s="14"/>
      <c r="C2765" s="14"/>
      <c r="D2765" s="14"/>
      <c r="E2765" s="14"/>
      <c r="F2765" s="14"/>
      <c r="T2765"/>
      <c r="AK2765" s="12"/>
      <c r="AL2765" s="1"/>
      <c r="AM2765" s="1"/>
      <c r="AN2765" s="1"/>
      <c r="AO2765" s="2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1"/>
      <c r="BE2765" s="1"/>
      <c r="BF2765" s="1"/>
    </row>
    <row r="2766" spans="1:58" x14ac:dyDescent="0.25">
      <c r="A2766" s="14"/>
      <c r="B2766" s="14"/>
      <c r="C2766" s="14"/>
      <c r="D2766" s="14"/>
      <c r="E2766" s="14"/>
      <c r="F2766" s="14"/>
      <c r="T2766"/>
      <c r="AK2766" s="12"/>
      <c r="AL2766" s="1"/>
      <c r="AM2766" s="1"/>
      <c r="AN2766" s="1"/>
      <c r="AO2766" s="2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  <c r="BD2766" s="1"/>
      <c r="BE2766" s="1"/>
      <c r="BF2766" s="1"/>
    </row>
    <row r="2767" spans="1:58" x14ac:dyDescent="0.25">
      <c r="A2767" s="14"/>
      <c r="B2767" s="14"/>
      <c r="C2767" s="14"/>
      <c r="D2767" s="14"/>
      <c r="E2767" s="14"/>
      <c r="F2767" s="14"/>
      <c r="T2767"/>
      <c r="AK2767" s="12"/>
      <c r="AL2767" s="1"/>
      <c r="AM2767" s="1"/>
      <c r="AN2767" s="1"/>
      <c r="AO2767" s="2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  <c r="BD2767" s="1"/>
      <c r="BE2767" s="1"/>
      <c r="BF2767" s="1"/>
    </row>
    <row r="2768" spans="1:58" x14ac:dyDescent="0.25">
      <c r="A2768" s="14"/>
      <c r="B2768" s="14"/>
      <c r="C2768" s="14"/>
      <c r="D2768" s="14"/>
      <c r="E2768" s="14"/>
      <c r="F2768" s="14"/>
      <c r="T2768"/>
      <c r="AK2768" s="12"/>
      <c r="AL2768" s="1"/>
      <c r="AM2768" s="1"/>
      <c r="AN2768" s="1"/>
      <c r="AO2768" s="2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  <c r="BD2768" s="1"/>
      <c r="BE2768" s="1"/>
      <c r="BF2768" s="1"/>
    </row>
    <row r="2769" spans="1:58" x14ac:dyDescent="0.25">
      <c r="A2769" s="14"/>
      <c r="B2769" s="14"/>
      <c r="C2769" s="14"/>
      <c r="D2769" s="14"/>
      <c r="E2769" s="14"/>
      <c r="F2769" s="14"/>
      <c r="T2769"/>
      <c r="AK2769" s="12"/>
      <c r="AL2769" s="1"/>
      <c r="AM2769" s="1"/>
      <c r="AN2769" s="1"/>
      <c r="AO2769" s="2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</row>
    <row r="2770" spans="1:58" x14ac:dyDescent="0.25">
      <c r="A2770" s="14"/>
      <c r="B2770" s="14"/>
      <c r="C2770" s="14"/>
      <c r="D2770" s="14"/>
      <c r="E2770" s="14"/>
      <c r="F2770" s="14"/>
      <c r="T2770"/>
      <c r="AK2770" s="12"/>
      <c r="AL2770" s="1"/>
      <c r="AM2770" s="1"/>
      <c r="AN2770" s="1"/>
      <c r="AO2770" s="2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  <c r="BD2770" s="1"/>
      <c r="BE2770" s="1"/>
      <c r="BF2770" s="1"/>
    </row>
    <row r="2771" spans="1:58" x14ac:dyDescent="0.25">
      <c r="A2771" s="14"/>
      <c r="B2771" s="14"/>
      <c r="C2771" s="14"/>
      <c r="D2771" s="14"/>
      <c r="E2771" s="14"/>
      <c r="F2771" s="14"/>
      <c r="T2771"/>
      <c r="AK2771" s="12"/>
      <c r="AL2771" s="1"/>
      <c r="AM2771" s="1"/>
      <c r="AN2771" s="1"/>
      <c r="AO2771" s="2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</row>
    <row r="2772" spans="1:58" x14ac:dyDescent="0.25">
      <c r="A2772" s="14"/>
      <c r="B2772" s="14"/>
      <c r="C2772" s="14"/>
      <c r="D2772" s="14"/>
      <c r="E2772" s="14"/>
      <c r="F2772" s="14"/>
      <c r="T2772"/>
      <c r="AK2772" s="12"/>
      <c r="AL2772" s="1"/>
      <c r="AM2772" s="1"/>
      <c r="AN2772" s="1"/>
      <c r="AO2772" s="2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  <c r="BD2772" s="1"/>
      <c r="BE2772" s="1"/>
      <c r="BF2772" s="1"/>
    </row>
    <row r="2773" spans="1:58" x14ac:dyDescent="0.25">
      <c r="A2773" s="14"/>
      <c r="B2773" s="14"/>
      <c r="C2773" s="14"/>
      <c r="D2773" s="14"/>
      <c r="E2773" s="14"/>
      <c r="F2773" s="14"/>
      <c r="T2773"/>
      <c r="AK2773" s="12"/>
      <c r="AL2773" s="1"/>
      <c r="AM2773" s="1"/>
      <c r="AN2773" s="1"/>
      <c r="AO2773" s="2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</row>
    <row r="2774" spans="1:58" x14ac:dyDescent="0.25">
      <c r="A2774" s="14"/>
      <c r="B2774" s="14"/>
      <c r="C2774" s="14"/>
      <c r="D2774" s="14"/>
      <c r="E2774" s="14"/>
      <c r="F2774" s="14"/>
      <c r="T2774"/>
      <c r="AK2774" s="12"/>
      <c r="AL2774" s="1"/>
      <c r="AM2774" s="1"/>
      <c r="AN2774" s="1"/>
      <c r="AO2774" s="2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1"/>
      <c r="BE2774" s="1"/>
      <c r="BF2774" s="1"/>
    </row>
    <row r="2775" spans="1:58" x14ac:dyDescent="0.25">
      <c r="A2775" s="14"/>
      <c r="B2775" s="14"/>
      <c r="C2775" s="14"/>
      <c r="D2775" s="14"/>
      <c r="E2775" s="14"/>
      <c r="F2775" s="14"/>
      <c r="T2775"/>
      <c r="AK2775" s="12"/>
      <c r="AL2775" s="1"/>
      <c r="AM2775" s="1"/>
      <c r="AN2775" s="1"/>
      <c r="AO2775" s="2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</row>
    <row r="2776" spans="1:58" x14ac:dyDescent="0.25">
      <c r="A2776" s="14"/>
      <c r="B2776" s="14"/>
      <c r="C2776" s="14"/>
      <c r="D2776" s="14"/>
      <c r="E2776" s="14"/>
      <c r="F2776" s="14"/>
      <c r="T2776"/>
      <c r="AK2776" s="12"/>
      <c r="AL2776" s="1"/>
      <c r="AM2776" s="1"/>
      <c r="AN2776" s="1"/>
      <c r="AO2776" s="2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  <c r="BD2776" s="1"/>
      <c r="BE2776" s="1"/>
      <c r="BF2776" s="1"/>
    </row>
    <row r="2777" spans="1:58" x14ac:dyDescent="0.25">
      <c r="A2777" s="14"/>
      <c r="B2777" s="14"/>
      <c r="C2777" s="14"/>
      <c r="D2777" s="14"/>
      <c r="E2777" s="14"/>
      <c r="F2777" s="14"/>
      <c r="T2777"/>
      <c r="AK2777" s="12"/>
      <c r="AL2777" s="1"/>
      <c r="AM2777" s="1"/>
      <c r="AN2777" s="1"/>
      <c r="AO2777" s="2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</row>
    <row r="2778" spans="1:58" x14ac:dyDescent="0.25">
      <c r="A2778" s="14"/>
      <c r="B2778" s="14"/>
      <c r="C2778" s="14"/>
      <c r="D2778" s="14"/>
      <c r="E2778" s="14"/>
      <c r="F2778" s="14"/>
      <c r="T2778"/>
      <c r="AK2778" s="12"/>
      <c r="AL2778" s="1"/>
      <c r="AM2778" s="1"/>
      <c r="AN2778" s="1"/>
      <c r="AO2778" s="2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  <c r="BD2778" s="1"/>
      <c r="BE2778" s="1"/>
      <c r="BF2778" s="1"/>
    </row>
    <row r="2779" spans="1:58" x14ac:dyDescent="0.25">
      <c r="A2779" s="14"/>
      <c r="B2779" s="14"/>
      <c r="C2779" s="14"/>
      <c r="D2779" s="14"/>
      <c r="E2779" s="14"/>
      <c r="F2779" s="14"/>
      <c r="T2779"/>
      <c r="AK2779" s="12"/>
      <c r="AL2779" s="1"/>
      <c r="AM2779" s="1"/>
      <c r="AN2779" s="1"/>
      <c r="AO2779" s="2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1"/>
      <c r="BE2779" s="1"/>
      <c r="BF2779" s="1"/>
    </row>
    <row r="2780" spans="1:58" x14ac:dyDescent="0.25">
      <c r="A2780" s="14"/>
      <c r="B2780" s="14"/>
      <c r="C2780" s="14"/>
      <c r="D2780" s="14"/>
      <c r="E2780" s="14"/>
      <c r="F2780" s="14"/>
      <c r="T2780"/>
      <c r="AK2780" s="12"/>
      <c r="AL2780" s="1"/>
      <c r="AM2780" s="1"/>
      <c r="AN2780" s="1"/>
      <c r="AO2780" s="2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  <c r="BD2780" s="1"/>
      <c r="BE2780" s="1"/>
      <c r="BF2780" s="1"/>
    </row>
    <row r="2781" spans="1:58" x14ac:dyDescent="0.25">
      <c r="A2781" s="14"/>
      <c r="B2781" s="14"/>
      <c r="C2781" s="14"/>
      <c r="D2781" s="14"/>
      <c r="E2781" s="14"/>
      <c r="F2781" s="14"/>
      <c r="T2781"/>
      <c r="AK2781" s="12"/>
      <c r="AL2781" s="1"/>
      <c r="AM2781" s="1"/>
      <c r="AN2781" s="1"/>
      <c r="AO2781" s="2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  <c r="BD2781" s="1"/>
      <c r="BE2781" s="1"/>
      <c r="BF2781" s="1"/>
    </row>
    <row r="2782" spans="1:58" x14ac:dyDescent="0.25">
      <c r="A2782" s="14"/>
      <c r="B2782" s="14"/>
      <c r="C2782" s="14"/>
      <c r="D2782" s="14"/>
      <c r="E2782" s="14"/>
      <c r="F2782" s="14"/>
      <c r="T2782"/>
      <c r="AK2782" s="12"/>
      <c r="AL2782" s="1"/>
      <c r="AM2782" s="1"/>
      <c r="AN2782" s="1"/>
      <c r="AO2782" s="2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  <c r="BD2782" s="1"/>
      <c r="BE2782" s="1"/>
      <c r="BF2782" s="1"/>
    </row>
    <row r="2783" spans="1:58" x14ac:dyDescent="0.25">
      <c r="A2783" s="14"/>
      <c r="B2783" s="14"/>
      <c r="C2783" s="14"/>
      <c r="D2783" s="14"/>
      <c r="E2783" s="14"/>
      <c r="F2783" s="14"/>
      <c r="T2783"/>
      <c r="AK2783" s="12"/>
      <c r="AL2783" s="1"/>
      <c r="AM2783" s="1"/>
      <c r="AN2783" s="1"/>
      <c r="AO2783" s="2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  <c r="BD2783" s="1"/>
      <c r="BE2783" s="1"/>
      <c r="BF2783" s="1"/>
    </row>
    <row r="2784" spans="1:58" x14ac:dyDescent="0.25">
      <c r="A2784" s="14"/>
      <c r="B2784" s="14"/>
      <c r="C2784" s="14"/>
      <c r="D2784" s="14"/>
      <c r="E2784" s="14"/>
      <c r="F2784" s="14"/>
      <c r="T2784"/>
      <c r="AK2784" s="12"/>
      <c r="AL2784" s="1"/>
      <c r="AM2784" s="1"/>
      <c r="AN2784" s="1"/>
      <c r="AO2784" s="2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  <c r="BD2784" s="1"/>
      <c r="BE2784" s="1"/>
      <c r="BF2784" s="1"/>
    </row>
    <row r="2785" spans="1:58" x14ac:dyDescent="0.25">
      <c r="A2785" s="14"/>
      <c r="B2785" s="14"/>
      <c r="C2785" s="14"/>
      <c r="D2785" s="14"/>
      <c r="E2785" s="14"/>
      <c r="F2785" s="14"/>
      <c r="T2785"/>
      <c r="AK2785" s="12"/>
      <c r="AL2785" s="1"/>
      <c r="AM2785" s="1"/>
      <c r="AN2785" s="1"/>
      <c r="AO2785" s="2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1"/>
      <c r="BE2785" s="1"/>
      <c r="BF2785" s="1"/>
    </row>
    <row r="2786" spans="1:58" x14ac:dyDescent="0.25">
      <c r="A2786" s="14"/>
      <c r="B2786" s="14"/>
      <c r="C2786" s="14"/>
      <c r="D2786" s="14"/>
      <c r="E2786" s="14"/>
      <c r="F2786" s="14"/>
      <c r="T2786"/>
      <c r="AK2786" s="12"/>
      <c r="AL2786" s="1"/>
      <c r="AM2786" s="1"/>
      <c r="AN2786" s="1"/>
      <c r="AO2786" s="2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  <c r="BD2786" s="1"/>
      <c r="BE2786" s="1"/>
      <c r="BF2786" s="1"/>
    </row>
    <row r="2787" spans="1:58" x14ac:dyDescent="0.25">
      <c r="A2787" s="14"/>
      <c r="B2787" s="14"/>
      <c r="C2787" s="14"/>
      <c r="D2787" s="14"/>
      <c r="E2787" s="14"/>
      <c r="F2787" s="14"/>
      <c r="T2787"/>
      <c r="AK2787" s="12"/>
      <c r="AL2787" s="1"/>
      <c r="AM2787" s="1"/>
      <c r="AN2787" s="1"/>
      <c r="AO2787" s="2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  <c r="BD2787" s="1"/>
      <c r="BE2787" s="1"/>
      <c r="BF2787" s="1"/>
    </row>
    <row r="2788" spans="1:58" x14ac:dyDescent="0.25">
      <c r="A2788" s="14"/>
      <c r="B2788" s="14"/>
      <c r="C2788" s="14"/>
      <c r="D2788" s="14"/>
      <c r="E2788" s="14"/>
      <c r="F2788" s="14"/>
      <c r="T2788"/>
      <c r="AK2788" s="12"/>
      <c r="AL2788" s="1"/>
      <c r="AM2788" s="1"/>
      <c r="AN2788" s="1"/>
      <c r="AO2788" s="2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  <c r="BD2788" s="1"/>
      <c r="BE2788" s="1"/>
      <c r="BF2788" s="1"/>
    </row>
    <row r="2789" spans="1:58" x14ac:dyDescent="0.25">
      <c r="A2789" s="14"/>
      <c r="B2789" s="14"/>
      <c r="C2789" s="14"/>
      <c r="D2789" s="14"/>
      <c r="E2789" s="14"/>
      <c r="F2789" s="14"/>
      <c r="T2789"/>
      <c r="AK2789" s="12"/>
      <c r="AL2789" s="1"/>
      <c r="AM2789" s="1"/>
      <c r="AN2789" s="1"/>
      <c r="AO2789" s="2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</row>
    <row r="2790" spans="1:58" x14ac:dyDescent="0.25">
      <c r="A2790" s="14"/>
      <c r="B2790" s="14"/>
      <c r="C2790" s="14"/>
      <c r="D2790" s="14"/>
      <c r="E2790" s="14"/>
      <c r="F2790" s="14"/>
      <c r="T2790"/>
      <c r="AK2790" s="12"/>
      <c r="AL2790" s="1"/>
      <c r="AM2790" s="1"/>
      <c r="AN2790" s="1"/>
      <c r="AO2790" s="2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  <c r="BD2790" s="1"/>
      <c r="BE2790" s="1"/>
      <c r="BF2790" s="1"/>
    </row>
    <row r="2791" spans="1:58" x14ac:dyDescent="0.25">
      <c r="A2791" s="14"/>
      <c r="B2791" s="14"/>
      <c r="C2791" s="14"/>
      <c r="D2791" s="14"/>
      <c r="E2791" s="14"/>
      <c r="F2791" s="14"/>
      <c r="T2791"/>
      <c r="AK2791" s="12"/>
      <c r="AL2791" s="1"/>
      <c r="AM2791" s="1"/>
      <c r="AN2791" s="1"/>
      <c r="AO2791" s="2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  <c r="BD2791" s="1"/>
      <c r="BE2791" s="1"/>
      <c r="BF2791" s="1"/>
    </row>
    <row r="2792" spans="1:58" x14ac:dyDescent="0.25">
      <c r="A2792" s="14"/>
      <c r="B2792" s="14"/>
      <c r="C2792" s="14"/>
      <c r="D2792" s="14"/>
      <c r="E2792" s="14"/>
      <c r="F2792" s="14"/>
      <c r="T2792"/>
      <c r="AK2792" s="12"/>
      <c r="AL2792" s="1"/>
      <c r="AM2792" s="1"/>
      <c r="AN2792" s="1"/>
      <c r="AO2792" s="2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  <c r="BD2792" s="1"/>
      <c r="BE2792" s="1"/>
      <c r="BF2792" s="1"/>
    </row>
    <row r="2793" spans="1:58" x14ac:dyDescent="0.25">
      <c r="A2793" s="14"/>
      <c r="B2793" s="14"/>
      <c r="C2793" s="14"/>
      <c r="D2793" s="14"/>
      <c r="E2793" s="14"/>
      <c r="F2793" s="14"/>
      <c r="T2793"/>
      <c r="AK2793" s="12"/>
      <c r="AL2793" s="1"/>
      <c r="AM2793" s="1"/>
      <c r="AN2793" s="1"/>
      <c r="AO2793" s="2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  <c r="BD2793" s="1"/>
      <c r="BE2793" s="1"/>
      <c r="BF2793" s="1"/>
    </row>
    <row r="2794" spans="1:58" x14ac:dyDescent="0.25">
      <c r="A2794" s="14"/>
      <c r="B2794" s="14"/>
      <c r="C2794" s="14"/>
      <c r="D2794" s="14"/>
      <c r="E2794" s="14"/>
      <c r="F2794" s="14"/>
      <c r="T2794"/>
      <c r="AK2794" s="12"/>
      <c r="AL2794" s="1"/>
      <c r="AM2794" s="1"/>
      <c r="AN2794" s="1"/>
      <c r="AO2794" s="2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  <c r="BD2794" s="1"/>
      <c r="BE2794" s="1"/>
      <c r="BF2794" s="1"/>
    </row>
    <row r="2795" spans="1:58" x14ac:dyDescent="0.25">
      <c r="A2795" s="14"/>
      <c r="B2795" s="14"/>
      <c r="C2795" s="14"/>
      <c r="D2795" s="14"/>
      <c r="E2795" s="14"/>
      <c r="F2795" s="14"/>
      <c r="T2795"/>
      <c r="AK2795" s="12"/>
      <c r="AL2795" s="1"/>
      <c r="AM2795" s="1"/>
      <c r="AN2795" s="1"/>
      <c r="AO2795" s="2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  <c r="BD2795" s="1"/>
      <c r="BE2795" s="1"/>
      <c r="BF2795" s="1"/>
    </row>
    <row r="2796" spans="1:58" x14ac:dyDescent="0.25">
      <c r="A2796" s="14"/>
      <c r="B2796" s="14"/>
      <c r="C2796" s="14"/>
      <c r="D2796" s="14"/>
      <c r="E2796" s="14"/>
      <c r="F2796" s="14"/>
      <c r="T2796"/>
      <c r="AK2796" s="12"/>
      <c r="AL2796" s="1"/>
      <c r="AM2796" s="1"/>
      <c r="AN2796" s="1"/>
      <c r="AO2796" s="2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  <c r="BD2796" s="1"/>
      <c r="BE2796" s="1"/>
      <c r="BF2796" s="1"/>
    </row>
    <row r="2797" spans="1:58" x14ac:dyDescent="0.25">
      <c r="A2797" s="14"/>
      <c r="B2797" s="14"/>
      <c r="C2797" s="14"/>
      <c r="D2797" s="14"/>
      <c r="E2797" s="14"/>
      <c r="F2797" s="14"/>
      <c r="T2797"/>
      <c r="AK2797" s="12"/>
      <c r="AL2797" s="1"/>
      <c r="AM2797" s="1"/>
      <c r="AN2797" s="1"/>
      <c r="AO2797" s="2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  <c r="BD2797" s="1"/>
      <c r="BE2797" s="1"/>
      <c r="BF2797" s="1"/>
    </row>
    <row r="2798" spans="1:58" x14ac:dyDescent="0.25">
      <c r="A2798" s="14"/>
      <c r="B2798" s="14"/>
      <c r="C2798" s="14"/>
      <c r="D2798" s="14"/>
      <c r="E2798" s="14"/>
      <c r="F2798" s="14"/>
      <c r="T2798"/>
      <c r="AK2798" s="12"/>
      <c r="AL2798" s="1"/>
      <c r="AM2798" s="1"/>
      <c r="AN2798" s="1"/>
      <c r="AO2798" s="2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  <c r="BD2798" s="1"/>
      <c r="BE2798" s="1"/>
      <c r="BF2798" s="1"/>
    </row>
    <row r="2799" spans="1:58" x14ac:dyDescent="0.25">
      <c r="A2799" s="14"/>
      <c r="B2799" s="14"/>
      <c r="C2799" s="14"/>
      <c r="D2799" s="14"/>
      <c r="E2799" s="14"/>
      <c r="F2799" s="14"/>
      <c r="T2799"/>
      <c r="AK2799" s="12"/>
      <c r="AL2799" s="1"/>
      <c r="AM2799" s="1"/>
      <c r="AN2799" s="1"/>
      <c r="AO2799" s="2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  <c r="BD2799" s="1"/>
      <c r="BE2799" s="1"/>
      <c r="BF2799" s="1"/>
    </row>
    <row r="2800" spans="1:58" x14ac:dyDescent="0.25">
      <c r="A2800" s="14"/>
      <c r="B2800" s="14"/>
      <c r="C2800" s="14"/>
      <c r="D2800" s="14"/>
      <c r="E2800" s="14"/>
      <c r="F2800" s="14"/>
      <c r="T2800"/>
      <c r="AK2800" s="12"/>
      <c r="AL2800" s="1"/>
      <c r="AM2800" s="1"/>
      <c r="AN2800" s="1"/>
      <c r="AO2800" s="2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s="1"/>
      <c r="BD2800" s="1"/>
      <c r="BE2800" s="1"/>
      <c r="BF2800" s="1"/>
    </row>
    <row r="2801" spans="1:58" x14ac:dyDescent="0.25">
      <c r="A2801" s="14"/>
      <c r="B2801" s="14"/>
      <c r="C2801" s="14"/>
      <c r="D2801" s="14"/>
      <c r="E2801" s="14"/>
      <c r="F2801" s="14"/>
      <c r="T2801"/>
      <c r="AK2801" s="12"/>
      <c r="AL2801" s="1"/>
      <c r="AM2801" s="1"/>
      <c r="AN2801" s="1"/>
      <c r="AO2801" s="2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  <c r="BD2801" s="1"/>
      <c r="BE2801" s="1"/>
      <c r="BF2801" s="1"/>
    </row>
    <row r="2802" spans="1:58" x14ac:dyDescent="0.25">
      <c r="A2802" s="14"/>
      <c r="B2802" s="14"/>
      <c r="C2802" s="14"/>
      <c r="D2802" s="14"/>
      <c r="E2802" s="14"/>
      <c r="F2802" s="14"/>
      <c r="T2802"/>
      <c r="AK2802" s="12"/>
      <c r="AL2802" s="1"/>
      <c r="AM2802" s="1"/>
      <c r="AN2802" s="1"/>
      <c r="AO2802" s="2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  <c r="BD2802" s="1"/>
      <c r="BE2802" s="1"/>
      <c r="BF2802" s="1"/>
    </row>
    <row r="2803" spans="1:58" x14ac:dyDescent="0.25">
      <c r="A2803" s="14"/>
      <c r="B2803" s="14"/>
      <c r="C2803" s="14"/>
      <c r="D2803" s="14"/>
      <c r="E2803" s="14"/>
      <c r="F2803" s="14"/>
      <c r="T2803"/>
      <c r="AK2803" s="12"/>
      <c r="AL2803" s="1"/>
      <c r="AM2803" s="1"/>
      <c r="AN2803" s="1"/>
      <c r="AO2803" s="2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  <c r="BD2803" s="1"/>
      <c r="BE2803" s="1"/>
      <c r="BF2803" s="1"/>
    </row>
    <row r="2804" spans="1:58" x14ac:dyDescent="0.25">
      <c r="A2804" s="14"/>
      <c r="B2804" s="14"/>
      <c r="C2804" s="14"/>
      <c r="D2804" s="14"/>
      <c r="E2804" s="14"/>
      <c r="F2804" s="14"/>
      <c r="T2804"/>
      <c r="AK2804" s="12"/>
      <c r="AL2804" s="1"/>
      <c r="AM2804" s="1"/>
      <c r="AN2804" s="1"/>
      <c r="AO2804" s="2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  <c r="BD2804" s="1"/>
      <c r="BE2804" s="1"/>
      <c r="BF2804" s="1"/>
    </row>
    <row r="2805" spans="1:58" x14ac:dyDescent="0.25">
      <c r="A2805" s="14"/>
      <c r="B2805" s="14"/>
      <c r="C2805" s="14"/>
      <c r="D2805" s="14"/>
      <c r="E2805" s="14"/>
      <c r="F2805" s="14"/>
      <c r="T2805"/>
      <c r="AK2805" s="12"/>
      <c r="AL2805" s="1"/>
      <c r="AM2805" s="1"/>
      <c r="AN2805" s="1"/>
      <c r="AO2805" s="2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  <c r="BD2805" s="1"/>
      <c r="BE2805" s="1"/>
      <c r="BF2805" s="1"/>
    </row>
    <row r="2806" spans="1:58" x14ac:dyDescent="0.25">
      <c r="A2806" s="14"/>
      <c r="B2806" s="14"/>
      <c r="C2806" s="14"/>
      <c r="D2806" s="14"/>
      <c r="E2806" s="14"/>
      <c r="F2806" s="14"/>
      <c r="T2806"/>
      <c r="AK2806" s="12"/>
      <c r="AL2806" s="1"/>
      <c r="AM2806" s="1"/>
      <c r="AN2806" s="1"/>
      <c r="AO2806" s="2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s="1"/>
      <c r="BD2806" s="1"/>
      <c r="BE2806" s="1"/>
      <c r="BF2806" s="1"/>
    </row>
    <row r="2807" spans="1:58" x14ac:dyDescent="0.25">
      <c r="A2807" s="14"/>
      <c r="B2807" s="14"/>
      <c r="C2807" s="14"/>
      <c r="D2807" s="14"/>
      <c r="E2807" s="14"/>
      <c r="F2807" s="14"/>
      <c r="T2807"/>
      <c r="AK2807" s="12"/>
      <c r="AL2807" s="1"/>
      <c r="AM2807" s="1"/>
      <c r="AN2807" s="1"/>
      <c r="AO2807" s="2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s="1"/>
      <c r="BD2807" s="1"/>
      <c r="BE2807" s="1"/>
      <c r="BF2807" s="1"/>
    </row>
    <row r="2808" spans="1:58" x14ac:dyDescent="0.25">
      <c r="A2808" s="14"/>
      <c r="B2808" s="14"/>
      <c r="C2808" s="14"/>
      <c r="D2808" s="14"/>
      <c r="E2808" s="14"/>
      <c r="F2808" s="14"/>
      <c r="T2808"/>
      <c r="AK2808" s="12"/>
      <c r="AL2808" s="1"/>
      <c r="AM2808" s="1"/>
      <c r="AN2808" s="1"/>
      <c r="AO2808" s="2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  <c r="BD2808" s="1"/>
      <c r="BE2808" s="1"/>
      <c r="BF2808" s="1"/>
    </row>
    <row r="2809" spans="1:58" x14ac:dyDescent="0.25">
      <c r="A2809" s="14"/>
      <c r="B2809" s="14"/>
      <c r="C2809" s="14"/>
      <c r="D2809" s="14"/>
      <c r="E2809" s="14"/>
      <c r="F2809" s="14"/>
      <c r="T2809"/>
      <c r="AK2809" s="12"/>
      <c r="AL2809" s="1"/>
      <c r="AM2809" s="1"/>
      <c r="AN2809" s="1"/>
      <c r="AO2809" s="2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  <c r="BD2809" s="1"/>
      <c r="BE2809" s="1"/>
      <c r="BF2809" s="1"/>
    </row>
    <row r="2810" spans="1:58" x14ac:dyDescent="0.25">
      <c r="A2810" s="14"/>
      <c r="B2810" s="14"/>
      <c r="C2810" s="14"/>
      <c r="D2810" s="14"/>
      <c r="E2810" s="14"/>
      <c r="F2810" s="14"/>
      <c r="T2810"/>
      <c r="AK2810" s="12"/>
      <c r="AL2810" s="1"/>
      <c r="AM2810" s="1"/>
      <c r="AN2810" s="1"/>
      <c r="AO2810" s="2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  <c r="BD2810" s="1"/>
      <c r="BE2810" s="1"/>
      <c r="BF2810" s="1"/>
    </row>
    <row r="2811" spans="1:58" x14ac:dyDescent="0.25">
      <c r="A2811" s="14"/>
      <c r="B2811" s="14"/>
      <c r="C2811" s="14"/>
      <c r="D2811" s="14"/>
      <c r="E2811" s="14"/>
      <c r="F2811" s="14"/>
      <c r="T2811"/>
      <c r="AK2811" s="12"/>
      <c r="AL2811" s="1"/>
      <c r="AM2811" s="1"/>
      <c r="AN2811" s="1"/>
      <c r="AO2811" s="2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  <c r="BD2811" s="1"/>
      <c r="BE2811" s="1"/>
      <c r="BF2811" s="1"/>
    </row>
    <row r="2812" spans="1:58" x14ac:dyDescent="0.25">
      <c r="A2812" s="14"/>
      <c r="B2812" s="14"/>
      <c r="C2812" s="14"/>
      <c r="D2812" s="14"/>
      <c r="E2812" s="14"/>
      <c r="F2812" s="14"/>
      <c r="T2812"/>
      <c r="AK2812" s="12"/>
      <c r="AL2812" s="1"/>
      <c r="AM2812" s="1"/>
      <c r="AN2812" s="1"/>
      <c r="AO2812" s="2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  <c r="BC2812" s="1"/>
      <c r="BD2812" s="1"/>
      <c r="BE2812" s="1"/>
      <c r="BF2812" s="1"/>
    </row>
    <row r="2813" spans="1:58" x14ac:dyDescent="0.25">
      <c r="A2813" s="14"/>
      <c r="B2813" s="14"/>
      <c r="C2813" s="14"/>
      <c r="D2813" s="14"/>
      <c r="E2813" s="14"/>
      <c r="F2813" s="14"/>
      <c r="T2813"/>
      <c r="AK2813" s="12"/>
      <c r="AL2813" s="1"/>
      <c r="AM2813" s="1"/>
      <c r="AN2813" s="1"/>
      <c r="AO2813" s="2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  <c r="BD2813" s="1"/>
      <c r="BE2813" s="1"/>
      <c r="BF2813" s="1"/>
    </row>
    <row r="2814" spans="1:58" x14ac:dyDescent="0.25">
      <c r="A2814" s="14"/>
      <c r="B2814" s="14"/>
      <c r="C2814" s="14"/>
      <c r="D2814" s="14"/>
      <c r="E2814" s="14"/>
      <c r="F2814" s="14"/>
      <c r="T2814"/>
      <c r="AK2814" s="12"/>
      <c r="AL2814" s="1"/>
      <c r="AM2814" s="1"/>
      <c r="AN2814" s="1"/>
      <c r="AO2814" s="2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  <c r="BD2814" s="1"/>
      <c r="BE2814" s="1"/>
      <c r="BF2814" s="1"/>
    </row>
    <row r="2815" spans="1:58" x14ac:dyDescent="0.25">
      <c r="A2815" s="14"/>
      <c r="B2815" s="14"/>
      <c r="C2815" s="14"/>
      <c r="D2815" s="14"/>
      <c r="E2815" s="14"/>
      <c r="F2815" s="14"/>
      <c r="T2815"/>
      <c r="AK2815" s="12"/>
      <c r="AL2815" s="1"/>
      <c r="AM2815" s="1"/>
      <c r="AN2815" s="1"/>
      <c r="AO2815" s="2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  <c r="BD2815" s="1"/>
      <c r="BE2815" s="1"/>
      <c r="BF2815" s="1"/>
    </row>
    <row r="2816" spans="1:58" x14ac:dyDescent="0.25">
      <c r="A2816" s="14"/>
      <c r="B2816" s="14"/>
      <c r="C2816" s="14"/>
      <c r="D2816" s="14"/>
      <c r="E2816" s="14"/>
      <c r="F2816" s="14"/>
      <c r="T2816"/>
      <c r="AK2816" s="12"/>
      <c r="AL2816" s="1"/>
      <c r="AM2816" s="1"/>
      <c r="AN2816" s="1"/>
      <c r="AO2816" s="2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  <c r="BD2816" s="1"/>
      <c r="BE2816" s="1"/>
      <c r="BF2816" s="1"/>
    </row>
    <row r="2817" spans="1:58" x14ac:dyDescent="0.25">
      <c r="A2817" s="14"/>
      <c r="B2817" s="14"/>
      <c r="C2817" s="14"/>
      <c r="D2817" s="14"/>
      <c r="E2817" s="14"/>
      <c r="F2817" s="14"/>
      <c r="T2817"/>
      <c r="AK2817" s="12"/>
      <c r="AL2817" s="1"/>
      <c r="AM2817" s="1"/>
      <c r="AN2817" s="1"/>
      <c r="AO2817" s="2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  <c r="BD2817" s="1"/>
      <c r="BE2817" s="1"/>
      <c r="BF2817" s="1"/>
    </row>
    <row r="2818" spans="1:58" x14ac:dyDescent="0.25">
      <c r="A2818" s="14"/>
      <c r="B2818" s="14"/>
      <c r="C2818" s="14"/>
      <c r="D2818" s="14"/>
      <c r="E2818" s="14"/>
      <c r="F2818" s="14"/>
      <c r="T2818"/>
      <c r="AK2818" s="12"/>
      <c r="AL2818" s="1"/>
      <c r="AM2818" s="1"/>
      <c r="AN2818" s="1"/>
      <c r="AO2818" s="2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  <c r="BD2818" s="1"/>
      <c r="BE2818" s="1"/>
      <c r="BF2818" s="1"/>
    </row>
    <row r="2819" spans="1:58" x14ac:dyDescent="0.25">
      <c r="A2819" s="14"/>
      <c r="B2819" s="14"/>
      <c r="C2819" s="14"/>
      <c r="D2819" s="14"/>
      <c r="E2819" s="14"/>
      <c r="F2819" s="14"/>
      <c r="T2819"/>
      <c r="AK2819" s="12"/>
      <c r="AL2819" s="1"/>
      <c r="AM2819" s="1"/>
      <c r="AN2819" s="1"/>
      <c r="AO2819" s="2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  <c r="BD2819" s="1"/>
      <c r="BE2819" s="1"/>
      <c r="BF2819" s="1"/>
    </row>
    <row r="2820" spans="1:58" x14ac:dyDescent="0.25">
      <c r="A2820" s="14"/>
      <c r="B2820" s="14"/>
      <c r="C2820" s="14"/>
      <c r="D2820" s="14"/>
      <c r="E2820" s="14"/>
      <c r="F2820" s="14"/>
      <c r="T2820"/>
      <c r="AK2820" s="12"/>
      <c r="AL2820" s="1"/>
      <c r="AM2820" s="1"/>
      <c r="AN2820" s="1"/>
      <c r="AO2820" s="2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  <c r="BD2820" s="1"/>
      <c r="BE2820" s="1"/>
      <c r="BF2820" s="1"/>
    </row>
    <row r="2821" spans="1:58" x14ac:dyDescent="0.25">
      <c r="A2821" s="14"/>
      <c r="B2821" s="14"/>
      <c r="C2821" s="14"/>
      <c r="D2821" s="14"/>
      <c r="E2821" s="14"/>
      <c r="F2821" s="14"/>
      <c r="T2821"/>
      <c r="AK2821" s="12"/>
      <c r="AL2821" s="1"/>
      <c r="AM2821" s="1"/>
      <c r="AN2821" s="1"/>
      <c r="AO2821" s="2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  <c r="BD2821" s="1"/>
      <c r="BE2821" s="1"/>
      <c r="BF2821" s="1"/>
    </row>
    <row r="2822" spans="1:58" x14ac:dyDescent="0.25">
      <c r="A2822" s="14"/>
      <c r="B2822" s="14"/>
      <c r="C2822" s="14"/>
      <c r="D2822" s="14"/>
      <c r="E2822" s="14"/>
      <c r="F2822" s="14"/>
      <c r="T2822"/>
      <c r="AK2822" s="12"/>
      <c r="AL2822" s="1"/>
      <c r="AM2822" s="1"/>
      <c r="AN2822" s="1"/>
      <c r="AO2822" s="2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  <c r="BD2822" s="1"/>
      <c r="BE2822" s="1"/>
      <c r="BF2822" s="1"/>
    </row>
    <row r="2823" spans="1:58" x14ac:dyDescent="0.25">
      <c r="A2823" s="14"/>
      <c r="B2823" s="14"/>
      <c r="C2823" s="14"/>
      <c r="D2823" s="14"/>
      <c r="E2823" s="14"/>
      <c r="F2823" s="14"/>
      <c r="T2823"/>
      <c r="AK2823" s="12"/>
      <c r="AL2823" s="1"/>
      <c r="AM2823" s="1"/>
      <c r="AN2823" s="1"/>
      <c r="AO2823" s="2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  <c r="BD2823" s="1"/>
      <c r="BE2823" s="1"/>
      <c r="BF2823" s="1"/>
    </row>
    <row r="2824" spans="1:58" x14ac:dyDescent="0.25">
      <c r="A2824" s="14"/>
      <c r="B2824" s="14"/>
      <c r="C2824" s="14"/>
      <c r="D2824" s="14"/>
      <c r="E2824" s="14"/>
      <c r="F2824" s="14"/>
      <c r="T2824"/>
      <c r="AK2824" s="12"/>
      <c r="AL2824" s="1"/>
      <c r="AM2824" s="1"/>
      <c r="AN2824" s="1"/>
      <c r="AO2824" s="2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s="1"/>
      <c r="BD2824" s="1"/>
      <c r="BE2824" s="1"/>
      <c r="BF2824" s="1"/>
    </row>
    <row r="2825" spans="1:58" x14ac:dyDescent="0.25">
      <c r="A2825" s="14"/>
      <c r="B2825" s="14"/>
      <c r="C2825" s="14"/>
      <c r="D2825" s="14"/>
      <c r="E2825" s="14"/>
      <c r="F2825" s="14"/>
      <c r="T2825"/>
      <c r="AK2825" s="12"/>
      <c r="AL2825" s="1"/>
      <c r="AM2825" s="1"/>
      <c r="AN2825" s="1"/>
      <c r="AO2825" s="2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  <c r="BD2825" s="1"/>
      <c r="BE2825" s="1"/>
      <c r="BF2825" s="1"/>
    </row>
    <row r="2826" spans="1:58" x14ac:dyDescent="0.25">
      <c r="A2826" s="14"/>
      <c r="B2826" s="14"/>
      <c r="C2826" s="14"/>
      <c r="D2826" s="14"/>
      <c r="E2826" s="14"/>
      <c r="F2826" s="14"/>
      <c r="T2826"/>
      <c r="AK2826" s="12"/>
      <c r="AL2826" s="1"/>
      <c r="AM2826" s="1"/>
      <c r="AN2826" s="1"/>
      <c r="AO2826" s="2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  <c r="BD2826" s="1"/>
      <c r="BE2826" s="1"/>
      <c r="BF2826" s="1"/>
    </row>
    <row r="2827" spans="1:58" x14ac:dyDescent="0.25">
      <c r="A2827" s="14"/>
      <c r="B2827" s="14"/>
      <c r="C2827" s="14"/>
      <c r="D2827" s="14"/>
      <c r="E2827" s="14"/>
      <c r="F2827" s="14"/>
      <c r="T2827"/>
      <c r="AK2827" s="12"/>
      <c r="AL2827" s="1"/>
      <c r="AM2827" s="1"/>
      <c r="AN2827" s="1"/>
      <c r="AO2827" s="2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  <c r="BD2827" s="1"/>
      <c r="BE2827" s="1"/>
      <c r="BF2827" s="1"/>
    </row>
    <row r="2828" spans="1:58" x14ac:dyDescent="0.25">
      <c r="A2828" s="14"/>
      <c r="B2828" s="14"/>
      <c r="C2828" s="14"/>
      <c r="D2828" s="14"/>
      <c r="E2828" s="14"/>
      <c r="F2828" s="14"/>
      <c r="T2828"/>
      <c r="AK2828" s="12"/>
      <c r="AL2828" s="1"/>
      <c r="AM2828" s="1"/>
      <c r="AN2828" s="1"/>
      <c r="AO2828" s="2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  <c r="BD2828" s="1"/>
      <c r="BE2828" s="1"/>
      <c r="BF2828" s="1"/>
    </row>
    <row r="2829" spans="1:58" x14ac:dyDescent="0.25">
      <c r="A2829" s="14"/>
      <c r="B2829" s="14"/>
      <c r="C2829" s="14"/>
      <c r="D2829" s="14"/>
      <c r="E2829" s="14"/>
      <c r="F2829" s="14"/>
      <c r="T2829"/>
      <c r="AK2829" s="12"/>
      <c r="AL2829" s="1"/>
      <c r="AM2829" s="1"/>
      <c r="AN2829" s="1"/>
      <c r="AO2829" s="2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  <c r="BD2829" s="1"/>
      <c r="BE2829" s="1"/>
      <c r="BF2829" s="1"/>
    </row>
    <row r="2830" spans="1:58" x14ac:dyDescent="0.25">
      <c r="A2830" s="14"/>
      <c r="B2830" s="14"/>
      <c r="C2830" s="14"/>
      <c r="D2830" s="14"/>
      <c r="E2830" s="14"/>
      <c r="F2830" s="14"/>
      <c r="T2830"/>
      <c r="AK2830" s="12"/>
      <c r="AL2830" s="1"/>
      <c r="AM2830" s="1"/>
      <c r="AN2830" s="1"/>
      <c r="AO2830" s="2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  <c r="BD2830" s="1"/>
      <c r="BE2830" s="1"/>
      <c r="BF2830" s="1"/>
    </row>
    <row r="2831" spans="1:58" x14ac:dyDescent="0.25">
      <c r="A2831" s="14"/>
      <c r="B2831" s="14"/>
      <c r="C2831" s="14"/>
      <c r="D2831" s="14"/>
      <c r="E2831" s="14"/>
      <c r="F2831" s="14"/>
      <c r="T2831"/>
      <c r="AK2831" s="12"/>
      <c r="AL2831" s="1"/>
      <c r="AM2831" s="1"/>
      <c r="AN2831" s="1"/>
      <c r="AO2831" s="2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  <c r="BD2831" s="1"/>
      <c r="BE2831" s="1"/>
      <c r="BF2831" s="1"/>
    </row>
    <row r="2832" spans="1:58" x14ac:dyDescent="0.25">
      <c r="A2832" s="14"/>
      <c r="B2832" s="14"/>
      <c r="C2832" s="14"/>
      <c r="D2832" s="14"/>
      <c r="E2832" s="14"/>
      <c r="F2832" s="14"/>
      <c r="T2832"/>
      <c r="AK2832" s="12"/>
      <c r="AL2832" s="1"/>
      <c r="AM2832" s="1"/>
      <c r="AN2832" s="1"/>
      <c r="AO2832" s="2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  <c r="BD2832" s="1"/>
      <c r="BE2832" s="1"/>
      <c r="BF2832" s="1"/>
    </row>
    <row r="2833" spans="1:58" x14ac:dyDescent="0.25">
      <c r="A2833" s="14"/>
      <c r="B2833" s="14"/>
      <c r="C2833" s="14"/>
      <c r="D2833" s="14"/>
      <c r="E2833" s="14"/>
      <c r="F2833" s="14"/>
      <c r="T2833"/>
      <c r="AK2833" s="12"/>
      <c r="AL2833" s="1"/>
      <c r="AM2833" s="1"/>
      <c r="AN2833" s="1"/>
      <c r="AO2833" s="2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  <c r="BD2833" s="1"/>
      <c r="BE2833" s="1"/>
      <c r="BF2833" s="1"/>
    </row>
    <row r="2834" spans="1:58" x14ac:dyDescent="0.25">
      <c r="A2834" s="14"/>
      <c r="B2834" s="14"/>
      <c r="C2834" s="14"/>
      <c r="D2834" s="14"/>
      <c r="E2834" s="14"/>
      <c r="F2834" s="14"/>
      <c r="T2834"/>
      <c r="AK2834" s="12"/>
      <c r="AL2834" s="1"/>
      <c r="AM2834" s="1"/>
      <c r="AN2834" s="1"/>
      <c r="AO2834" s="2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  <c r="BD2834" s="1"/>
      <c r="BE2834" s="1"/>
      <c r="BF2834" s="1"/>
    </row>
    <row r="2835" spans="1:58" x14ac:dyDescent="0.25">
      <c r="A2835" s="14"/>
      <c r="B2835" s="14"/>
      <c r="C2835" s="14"/>
      <c r="D2835" s="14"/>
      <c r="E2835" s="14"/>
      <c r="F2835" s="14"/>
      <c r="T2835"/>
      <c r="AK2835" s="12"/>
      <c r="AL2835" s="1"/>
      <c r="AM2835" s="1"/>
      <c r="AN2835" s="1"/>
      <c r="AO2835" s="2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  <c r="BD2835" s="1"/>
      <c r="BE2835" s="1"/>
      <c r="BF2835" s="1"/>
    </row>
    <row r="2836" spans="1:58" x14ac:dyDescent="0.25">
      <c r="A2836" s="14"/>
      <c r="B2836" s="14"/>
      <c r="C2836" s="14"/>
      <c r="D2836" s="14"/>
      <c r="E2836" s="14"/>
      <c r="F2836" s="14"/>
      <c r="T2836"/>
      <c r="AK2836" s="12"/>
      <c r="AL2836" s="1"/>
      <c r="AM2836" s="1"/>
      <c r="AN2836" s="1"/>
      <c r="AO2836" s="2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  <c r="BD2836" s="1"/>
      <c r="BE2836" s="1"/>
      <c r="BF2836" s="1"/>
    </row>
    <row r="2837" spans="1:58" x14ac:dyDescent="0.25">
      <c r="A2837" s="14"/>
      <c r="B2837" s="14"/>
      <c r="C2837" s="14"/>
      <c r="D2837" s="14"/>
      <c r="E2837" s="14"/>
      <c r="F2837" s="14"/>
      <c r="T2837"/>
      <c r="AK2837" s="12"/>
      <c r="AL2837" s="1"/>
      <c r="AM2837" s="1"/>
      <c r="AN2837" s="1"/>
      <c r="AO2837" s="2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  <c r="BD2837" s="1"/>
      <c r="BE2837" s="1"/>
      <c r="BF2837" s="1"/>
    </row>
    <row r="2838" spans="1:58" x14ac:dyDescent="0.25">
      <c r="A2838" s="14"/>
      <c r="B2838" s="14"/>
      <c r="C2838" s="14"/>
      <c r="D2838" s="14"/>
      <c r="E2838" s="14"/>
      <c r="F2838" s="14"/>
      <c r="T2838"/>
      <c r="AK2838" s="12"/>
      <c r="AL2838" s="1"/>
      <c r="AM2838" s="1"/>
      <c r="AN2838" s="1"/>
      <c r="AO2838" s="2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  <c r="BD2838" s="1"/>
      <c r="BE2838" s="1"/>
      <c r="BF2838" s="1"/>
    </row>
    <row r="2839" spans="1:58" x14ac:dyDescent="0.25">
      <c r="A2839" s="14"/>
      <c r="B2839" s="14"/>
      <c r="C2839" s="14"/>
      <c r="D2839" s="14"/>
      <c r="E2839" s="14"/>
      <c r="F2839" s="14"/>
      <c r="T2839"/>
      <c r="AK2839" s="12"/>
      <c r="AL2839" s="1"/>
      <c r="AM2839" s="1"/>
      <c r="AN2839" s="1"/>
      <c r="AO2839" s="2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  <c r="BD2839" s="1"/>
      <c r="BE2839" s="1"/>
      <c r="BF2839" s="1"/>
    </row>
    <row r="2840" spans="1:58" x14ac:dyDescent="0.25">
      <c r="A2840" s="14"/>
      <c r="B2840" s="14"/>
      <c r="C2840" s="14"/>
      <c r="D2840" s="14"/>
      <c r="E2840" s="14"/>
      <c r="F2840" s="14"/>
      <c r="T2840"/>
      <c r="AK2840" s="12"/>
      <c r="AL2840" s="1"/>
      <c r="AM2840" s="1"/>
      <c r="AN2840" s="1"/>
      <c r="AO2840" s="2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  <c r="BD2840" s="1"/>
      <c r="BE2840" s="1"/>
      <c r="BF2840" s="1"/>
    </row>
    <row r="2841" spans="1:58" x14ac:dyDescent="0.25">
      <c r="A2841" s="14"/>
      <c r="B2841" s="14"/>
      <c r="C2841" s="14"/>
      <c r="D2841" s="14"/>
      <c r="E2841" s="14"/>
      <c r="F2841" s="14"/>
      <c r="T2841"/>
      <c r="AK2841" s="12"/>
      <c r="AL2841" s="1"/>
      <c r="AM2841" s="1"/>
      <c r="AN2841" s="1"/>
      <c r="AO2841" s="2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  <c r="BD2841" s="1"/>
      <c r="BE2841" s="1"/>
      <c r="BF2841" s="1"/>
    </row>
    <row r="2842" spans="1:58" x14ac:dyDescent="0.25">
      <c r="A2842" s="14"/>
      <c r="B2842" s="14"/>
      <c r="C2842" s="14"/>
      <c r="D2842" s="14"/>
      <c r="E2842" s="14"/>
      <c r="F2842" s="14"/>
      <c r="T2842"/>
      <c r="AK2842" s="12"/>
      <c r="AL2842" s="1"/>
      <c r="AM2842" s="1"/>
      <c r="AN2842" s="1"/>
      <c r="AO2842" s="2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  <c r="BD2842" s="1"/>
      <c r="BE2842" s="1"/>
      <c r="BF2842" s="1"/>
    </row>
    <row r="2843" spans="1:58" x14ac:dyDescent="0.25">
      <c r="A2843" s="14"/>
      <c r="B2843" s="14"/>
      <c r="C2843" s="14"/>
      <c r="D2843" s="14"/>
      <c r="E2843" s="14"/>
      <c r="F2843" s="14"/>
      <c r="T2843"/>
      <c r="AK2843" s="12"/>
      <c r="AL2843" s="1"/>
      <c r="AM2843" s="1"/>
      <c r="AN2843" s="1"/>
      <c r="AO2843" s="2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s="1"/>
      <c r="BD2843" s="1"/>
      <c r="BE2843" s="1"/>
      <c r="BF2843" s="1"/>
    </row>
    <row r="2844" spans="1:58" x14ac:dyDescent="0.25">
      <c r="A2844" s="14"/>
      <c r="B2844" s="14"/>
      <c r="C2844" s="14"/>
      <c r="D2844" s="14"/>
      <c r="E2844" s="14"/>
      <c r="F2844" s="14"/>
      <c r="T2844"/>
      <c r="AK2844" s="12"/>
      <c r="AL2844" s="1"/>
      <c r="AM2844" s="1"/>
      <c r="AN2844" s="1"/>
      <c r="AO2844" s="2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  <c r="BD2844" s="1"/>
      <c r="BE2844" s="1"/>
      <c r="BF2844" s="1"/>
    </row>
    <row r="2845" spans="1:58" x14ac:dyDescent="0.25">
      <c r="A2845" s="14"/>
      <c r="B2845" s="14"/>
      <c r="C2845" s="14"/>
      <c r="D2845" s="14"/>
      <c r="E2845" s="14"/>
      <c r="F2845" s="14"/>
      <c r="T2845"/>
      <c r="AK2845" s="12"/>
      <c r="AL2845" s="1"/>
      <c r="AM2845" s="1"/>
      <c r="AN2845" s="1"/>
      <c r="AO2845" s="2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  <c r="BD2845" s="1"/>
      <c r="BE2845" s="1"/>
      <c r="BF2845" s="1"/>
    </row>
  </sheetData>
  <sortState xmlns:xlrd2="http://schemas.microsoft.com/office/spreadsheetml/2017/richdata2" ref="A2:BF211">
    <sortCondition ref="J2:J236"/>
    <sortCondition ref="D2:D236"/>
    <sortCondition ref="K2:K236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TOP User Error VS Account</vt:lpstr>
      <vt:lpstr>Auditors Status</vt:lpstr>
      <vt:lpstr>Status Wise Quality</vt:lpstr>
      <vt:lpstr>DashBoard</vt:lpstr>
      <vt:lpstr>Master Pivot</vt:lpstr>
      <vt:lpstr>Top</vt:lpstr>
      <vt:lpstr>MT-Hospital-Doctor</vt:lpstr>
      <vt:lpstr>Doctor</vt:lpstr>
      <vt:lpstr>Error Details </vt:lpstr>
      <vt:lpstr>Responsible MT Details</vt:lpstr>
      <vt:lpstr>Responsible QA Details</vt:lpstr>
      <vt:lpstr>Tejas Patel's Error Details</vt:lpstr>
      <vt:lpstr>Group</vt:lpstr>
      <vt:lpstr>others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Prit Meena</cp:lastModifiedBy>
  <dcterms:created xsi:type="dcterms:W3CDTF">2021-06-25T07:45:04Z</dcterms:created>
  <dcterms:modified xsi:type="dcterms:W3CDTF">2026-04-28T06:50:53Z</dcterms:modified>
</cp:coreProperties>
</file>